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sept\"/>
    </mc:Choice>
  </mc:AlternateContent>
  <xr:revisionPtr revIDLastSave="0" documentId="13_ncr:1_{A3662B51-EB99-4D5C-BED0-7E0833D7A3C0}" xr6:coauthVersionLast="47" xr6:coauthVersionMax="47" xr10:uidLastSave="{00000000-0000-0000-0000-000000000000}"/>
  <bookViews>
    <workbookView xWindow="-108" yWindow="-108" windowWidth="23256" windowHeight="12576" tabRatio="863" xr2:uid="{00000000-000D-0000-FFFF-FFFF00000000}"/>
  </bookViews>
  <sheets>
    <sheet name="Payroll Summary" sheetId="14" r:id="rId1"/>
    <sheet name="Employees" sheetId="1" r:id="rId2"/>
    <sheet name="Consultant" sheetId="3" r:id="rId3"/>
    <sheet name="Tech Team" sheetId="5" r:id="rId4"/>
    <sheet name="Hiring Team" sheetId="12" r:id="rId5"/>
    <sheet name="Bench September" sheetId="16" state="hidden" r:id="rId6"/>
    <sheet name="Bench Employees" sheetId="13" state="hidden" r:id="rId7"/>
    <sheet name="LOP" sheetId="10" r:id="rId8"/>
    <sheet name="Salaries_to be processed" sheetId="11" r:id="rId9"/>
    <sheet name="Rental Payment" sheetId="8" r:id="rId10"/>
    <sheet name="Salaries_30042026" sheetId="7" state="hidden" r:id="rId11"/>
    <sheet name="Payments_30042026" sheetId="9" state="hidden" r:id="rId12"/>
    <sheet name="Payment" sheetId="2" state="hidden" r:id="rId13"/>
  </sheets>
  <definedNames>
    <definedName name="_xlnm._FilterDatabase" localSheetId="4" hidden="1">'Hiring Team'!$A$1:$AA$1</definedName>
    <definedName name="_xlnm._FilterDatabase" localSheetId="7" hidden="1">LOP!$A$1:$C$1</definedName>
    <definedName name="_xlnm._FilterDatabase" localSheetId="12" hidden="1">Payment!$A$1:$H$1</definedName>
    <definedName name="_xlnm._FilterDatabase" localSheetId="10" hidden="1">Salaries_30042026!$A$1:$H$46</definedName>
    <definedName name="_xlnm._FilterDatabase" localSheetId="8" hidden="1">'Salaries_to be processed'!$B$1:$I$48</definedName>
    <definedName name="_xlnm._FilterDatabase" localSheetId="3" hidden="1">'Tech Team'!$B$1:$AB$23</definedName>
  </definedNames>
  <calcPr calcId="191029"/>
</workbook>
</file>

<file path=xl/calcChain.xml><?xml version="1.0" encoding="utf-8"?>
<calcChain xmlns="http://schemas.openxmlformats.org/spreadsheetml/2006/main">
  <c r="AB26" i="5" l="1"/>
  <c r="G25" i="5"/>
  <c r="K25" i="5" s="1"/>
  <c r="F14" i="16"/>
  <c r="J14" i="16" s="1"/>
  <c r="J15" i="16"/>
  <c r="J16" i="16"/>
  <c r="J17" i="16"/>
  <c r="F7" i="1"/>
  <c r="H7" i="1" s="1"/>
  <c r="G22" i="5"/>
  <c r="G23" i="5"/>
  <c r="F11" i="16"/>
  <c r="J11" i="16" s="1"/>
  <c r="F10" i="16"/>
  <c r="H10" i="16" s="1"/>
  <c r="F9" i="16"/>
  <c r="J9" i="16" s="1"/>
  <c r="F8" i="16"/>
  <c r="J8" i="16" s="1"/>
  <c r="F7" i="16"/>
  <c r="J7" i="16" s="1"/>
  <c r="F6" i="16"/>
  <c r="J6" i="16" s="1"/>
  <c r="F5" i="16"/>
  <c r="J5" i="16" s="1"/>
  <c r="F4" i="16"/>
  <c r="J4" i="16" s="1"/>
  <c r="F3" i="16"/>
  <c r="J3" i="16" s="1"/>
  <c r="F2" i="16"/>
  <c r="J2" i="16" s="1"/>
  <c r="G14" i="5"/>
  <c r="K14" i="5" s="1"/>
  <c r="I25" i="5" l="1"/>
  <c r="J25" i="5" s="1"/>
  <c r="H16" i="16"/>
  <c r="W16" i="16" s="1"/>
  <c r="H11" i="16"/>
  <c r="I11" i="16" s="1"/>
  <c r="H14" i="16"/>
  <c r="H15" i="16"/>
  <c r="H17" i="16"/>
  <c r="W7" i="1"/>
  <c r="L7" i="1" s="1"/>
  <c r="I7" i="1"/>
  <c r="M7" i="1"/>
  <c r="J7" i="1"/>
  <c r="W11" i="16"/>
  <c r="Y11" i="16"/>
  <c r="H5" i="16"/>
  <c r="Y5" i="16" s="1"/>
  <c r="Y10" i="16"/>
  <c r="M10" i="16"/>
  <c r="I10" i="16"/>
  <c r="W10" i="16"/>
  <c r="J10" i="16"/>
  <c r="H9" i="16"/>
  <c r="H8" i="16"/>
  <c r="H7" i="16"/>
  <c r="H6" i="16"/>
  <c r="H4" i="16"/>
  <c r="H3" i="16"/>
  <c r="H2" i="16"/>
  <c r="I14" i="5"/>
  <c r="Z25" i="5" l="1"/>
  <c r="N25" i="5"/>
  <c r="X25" i="5"/>
  <c r="Y16" i="16"/>
  <c r="L16" i="16" s="1"/>
  <c r="M16" i="16"/>
  <c r="I16" i="16"/>
  <c r="M11" i="16"/>
  <c r="Z11" i="16" s="1"/>
  <c r="W14" i="16"/>
  <c r="Y14" i="16"/>
  <c r="I14" i="16"/>
  <c r="M14" i="16"/>
  <c r="W15" i="16"/>
  <c r="M15" i="16"/>
  <c r="Y15" i="16"/>
  <c r="I15" i="16"/>
  <c r="W17" i="16"/>
  <c r="I17" i="16"/>
  <c r="M17" i="16"/>
  <c r="Y17" i="16"/>
  <c r="L10" i="16"/>
  <c r="N10" i="16" s="1"/>
  <c r="I5" i="16"/>
  <c r="U7" i="1"/>
  <c r="X7" i="1"/>
  <c r="S7" i="1"/>
  <c r="K7" i="1"/>
  <c r="N7" i="1"/>
  <c r="Z7" i="1" s="1"/>
  <c r="AB7" i="1" s="1"/>
  <c r="L11" i="16"/>
  <c r="M5" i="16"/>
  <c r="W5" i="16"/>
  <c r="L5" i="16" s="1"/>
  <c r="S5" i="16" s="1"/>
  <c r="K10" i="16"/>
  <c r="Y8" i="16"/>
  <c r="W8" i="16"/>
  <c r="I8" i="16"/>
  <c r="M8" i="16"/>
  <c r="M9" i="16"/>
  <c r="Y9" i="16"/>
  <c r="W9" i="16"/>
  <c r="I9" i="16"/>
  <c r="Y7" i="16"/>
  <c r="W7" i="16"/>
  <c r="I7" i="16"/>
  <c r="M7" i="16"/>
  <c r="W3" i="16"/>
  <c r="I3" i="16"/>
  <c r="Y3" i="16"/>
  <c r="M3" i="16"/>
  <c r="M6" i="16"/>
  <c r="Y6" i="16"/>
  <c r="I6" i="16"/>
  <c r="W6" i="16"/>
  <c r="Y4" i="16"/>
  <c r="W4" i="16"/>
  <c r="I4" i="16"/>
  <c r="M4" i="16"/>
  <c r="I2" i="16"/>
  <c r="Y2" i="16"/>
  <c r="W2" i="16"/>
  <c r="M2" i="16"/>
  <c r="Z14" i="5"/>
  <c r="J14" i="5"/>
  <c r="X14" i="5"/>
  <c r="N14" i="5"/>
  <c r="M25" i="5" l="1"/>
  <c r="Y25" i="5" s="1"/>
  <c r="Z16" i="16"/>
  <c r="AA16" i="16" s="1"/>
  <c r="S16" i="16"/>
  <c r="K16" i="16"/>
  <c r="L7" i="16"/>
  <c r="K7" i="16" s="1"/>
  <c r="L8" i="16"/>
  <c r="U8" i="16" s="1"/>
  <c r="N5" i="16"/>
  <c r="K5" i="16"/>
  <c r="Z14" i="16"/>
  <c r="X5" i="16"/>
  <c r="X10" i="16"/>
  <c r="Z10" i="16" s="1"/>
  <c r="AA10" i="16" s="1"/>
  <c r="L15" i="16"/>
  <c r="K15" i="16" s="1"/>
  <c r="L14" i="16"/>
  <c r="Z15" i="16"/>
  <c r="L2" i="16"/>
  <c r="K2" i="16" s="1"/>
  <c r="U5" i="16"/>
  <c r="S10" i="16"/>
  <c r="L9" i="16"/>
  <c r="K9" i="16" s="1"/>
  <c r="Z17" i="16"/>
  <c r="L17" i="16"/>
  <c r="AA11" i="16"/>
  <c r="K11" i="16"/>
  <c r="S11" i="16"/>
  <c r="L6" i="16"/>
  <c r="X6" i="16" s="1"/>
  <c r="L4" i="16"/>
  <c r="X4" i="16" s="1"/>
  <c r="X8" i="16"/>
  <c r="S8" i="16"/>
  <c r="L3" i="16"/>
  <c r="M14" i="5"/>
  <c r="T25" i="5" l="1"/>
  <c r="O25" i="5"/>
  <c r="AA25" i="5" s="1"/>
  <c r="AB25" i="5" s="1"/>
  <c r="L25" i="5"/>
  <c r="N7" i="16"/>
  <c r="K8" i="16"/>
  <c r="S7" i="16"/>
  <c r="U7" i="16"/>
  <c r="Z5" i="16"/>
  <c r="AA5" i="16" s="1"/>
  <c r="X7" i="16"/>
  <c r="N8" i="16"/>
  <c r="Z8" i="16" s="1"/>
  <c r="AA8" i="16" s="1"/>
  <c r="S15" i="16"/>
  <c r="U9" i="16"/>
  <c r="N9" i="16"/>
  <c r="K6" i="16"/>
  <c r="S6" i="16"/>
  <c r="S14" i="16"/>
  <c r="K14" i="16"/>
  <c r="N2" i="16"/>
  <c r="N4" i="16"/>
  <c r="X2" i="16"/>
  <c r="S2" i="16"/>
  <c r="AA15" i="16"/>
  <c r="AA14" i="16"/>
  <c r="S9" i="16"/>
  <c r="X9" i="16"/>
  <c r="U4" i="16"/>
  <c r="K17" i="16"/>
  <c r="S17" i="16"/>
  <c r="AA17" i="16"/>
  <c r="K4" i="16"/>
  <c r="S4" i="16"/>
  <c r="U6" i="16"/>
  <c r="N6" i="16"/>
  <c r="Z7" i="16"/>
  <c r="AA7" i="16" s="1"/>
  <c r="X3" i="16"/>
  <c r="U3" i="16"/>
  <c r="N3" i="16"/>
  <c r="K3" i="16"/>
  <c r="S3" i="16"/>
  <c r="L14" i="5"/>
  <c r="T14" i="5"/>
  <c r="Y14" i="5"/>
  <c r="O14" i="5"/>
  <c r="Z9" i="16" l="1"/>
  <c r="AA9" i="16" s="1"/>
  <c r="Z4" i="16"/>
  <c r="AA4" i="16" s="1"/>
  <c r="Z2" i="16"/>
  <c r="AA2" i="16" s="1"/>
  <c r="AA14" i="5"/>
  <c r="AB14" i="5" s="1"/>
  <c r="Z3" i="16"/>
  <c r="AA3" i="16" s="1"/>
  <c r="Z6" i="16"/>
  <c r="AA6" i="16" s="1"/>
  <c r="G24" i="5"/>
  <c r="K24" i="5" s="1"/>
  <c r="I24" i="5" l="1"/>
  <c r="Z24" i="5" l="1"/>
  <c r="J24" i="5"/>
  <c r="X24" i="5"/>
  <c r="N24" i="5"/>
  <c r="M24" i="5" l="1"/>
  <c r="O24" i="5" l="1"/>
  <c r="Y24" i="5"/>
  <c r="T24" i="5"/>
  <c r="L24" i="5"/>
  <c r="AA24" i="5" l="1"/>
  <c r="AB24" i="5" s="1"/>
  <c r="E23" i="11" s="1"/>
  <c r="G6" i="5"/>
  <c r="G7" i="5"/>
  <c r="G8" i="5"/>
  <c r="G16" i="5"/>
  <c r="I22" i="5"/>
  <c r="F6" i="1"/>
  <c r="H6" i="1" s="1"/>
  <c r="F5" i="1"/>
  <c r="H5" i="1" s="1"/>
  <c r="H4" i="1"/>
  <c r="M4" i="1" s="1"/>
  <c r="F4" i="1"/>
  <c r="J4" i="1" s="1"/>
  <c r="H3" i="1"/>
  <c r="I3" i="1" s="1"/>
  <c r="I6" i="1" l="1"/>
  <c r="K6" i="1" s="1"/>
  <c r="W6" i="1"/>
  <c r="L6" i="1" s="1"/>
  <c r="M6" i="1"/>
  <c r="J6" i="1"/>
  <c r="U6" i="1"/>
  <c r="X6" i="1"/>
  <c r="N6" i="1"/>
  <c r="S6" i="1"/>
  <c r="W4" i="1"/>
  <c r="I4" i="1"/>
  <c r="Y4" i="1"/>
  <c r="I5" i="1"/>
  <c r="M5" i="1"/>
  <c r="J5" i="1"/>
  <c r="W5" i="1"/>
  <c r="L5" i="1" s="1"/>
  <c r="J3" i="1"/>
  <c r="W3" i="1"/>
  <c r="L3" i="1" s="1"/>
  <c r="U3" i="1" s="1"/>
  <c r="M3" i="1"/>
  <c r="L4" i="1" l="1"/>
  <c r="Z6" i="1"/>
  <c r="AB6" i="1" s="1"/>
  <c r="E21" i="11" s="1"/>
  <c r="S4" i="1"/>
  <c r="K4" i="1"/>
  <c r="N4" i="1"/>
  <c r="U4" i="1"/>
  <c r="X4" i="1"/>
  <c r="S5" i="1"/>
  <c r="U5" i="1"/>
  <c r="X5" i="1"/>
  <c r="K5" i="1"/>
  <c r="N5" i="1"/>
  <c r="Z5" i="1" s="1"/>
  <c r="AB5" i="1" s="1"/>
  <c r="E19" i="11" s="1"/>
  <c r="S3" i="1"/>
  <c r="N3" i="1"/>
  <c r="K3" i="1"/>
  <c r="X3" i="1"/>
  <c r="Z4" i="1" l="1"/>
  <c r="AB4" i="1" s="1"/>
  <c r="E14" i="11" s="1"/>
  <c r="Z3" i="1"/>
  <c r="AB3" i="1" s="1"/>
  <c r="E16" i="11" s="1"/>
  <c r="K18" i="13" l="1"/>
  <c r="J16" i="13"/>
  <c r="H16" i="13"/>
  <c r="W16" i="13" s="1"/>
  <c r="F15" i="13"/>
  <c r="H15" i="13" s="1"/>
  <c r="F14" i="13"/>
  <c r="J14" i="13" s="1"/>
  <c r="F13" i="13"/>
  <c r="J13" i="13" s="1"/>
  <c r="Y16" i="13" l="1"/>
  <c r="L16" i="13" s="1"/>
  <c r="M16" i="13"/>
  <c r="I16" i="13"/>
  <c r="W15" i="13"/>
  <c r="M15" i="13"/>
  <c r="Y15" i="13"/>
  <c r="I15" i="13"/>
  <c r="J15" i="13"/>
  <c r="H14" i="13"/>
  <c r="H13" i="13"/>
  <c r="F12" i="13"/>
  <c r="H12" i="13" s="1"/>
  <c r="C6" i="14"/>
  <c r="C7" i="10"/>
  <c r="I23" i="5"/>
  <c r="F11" i="13"/>
  <c r="J11" i="13" s="1"/>
  <c r="F10" i="13"/>
  <c r="J10" i="13" s="1"/>
  <c r="F9" i="13"/>
  <c r="J9" i="13" s="1"/>
  <c r="F8" i="13"/>
  <c r="J8" i="13" s="1"/>
  <c r="F7" i="13"/>
  <c r="J7" i="13" s="1"/>
  <c r="F6" i="13"/>
  <c r="J6" i="13" s="1"/>
  <c r="F5" i="13"/>
  <c r="J5" i="13" s="1"/>
  <c r="F4" i="13"/>
  <c r="H4" i="13" s="1"/>
  <c r="I4" i="13" s="1"/>
  <c r="F3" i="13"/>
  <c r="J3" i="13" s="1"/>
  <c r="F2" i="13"/>
  <c r="J2" i="13" s="1"/>
  <c r="K16" i="13" l="1"/>
  <c r="S16" i="13"/>
  <c r="N16" i="13"/>
  <c r="X16" i="13"/>
  <c r="L15" i="13"/>
  <c r="N15" i="13" s="1"/>
  <c r="Z16" i="13"/>
  <c r="AA16" i="13" s="1"/>
  <c r="W14" i="13"/>
  <c r="I14" i="13"/>
  <c r="Y14" i="13"/>
  <c r="M14" i="13"/>
  <c r="I13" i="13"/>
  <c r="Y13" i="13"/>
  <c r="W13" i="13"/>
  <c r="L13" i="13" s="1"/>
  <c r="M13" i="13"/>
  <c r="Z13" i="13" s="1"/>
  <c r="Y12" i="13"/>
  <c r="I12" i="13"/>
  <c r="W12" i="13"/>
  <c r="M12" i="13"/>
  <c r="J12" i="13"/>
  <c r="H11" i="13"/>
  <c r="K23" i="5"/>
  <c r="N23" i="5"/>
  <c r="J23" i="5"/>
  <c r="X23" i="5"/>
  <c r="Z23" i="5"/>
  <c r="X22" i="5"/>
  <c r="Z22" i="5"/>
  <c r="J22" i="5"/>
  <c r="N22" i="5"/>
  <c r="K22" i="5"/>
  <c r="H10" i="13"/>
  <c r="H8" i="13"/>
  <c r="H9" i="13"/>
  <c r="H6" i="13"/>
  <c r="H7" i="13"/>
  <c r="H5" i="13"/>
  <c r="J4" i="13"/>
  <c r="M4" i="13"/>
  <c r="W4" i="13"/>
  <c r="Y4" i="13"/>
  <c r="H3" i="13"/>
  <c r="H2" i="13"/>
  <c r="S15" i="13" l="1"/>
  <c r="X15" i="13"/>
  <c r="Z15" i="13" s="1"/>
  <c r="AA15" i="13" s="1"/>
  <c r="K15" i="13"/>
  <c r="Z14" i="13"/>
  <c r="L12" i="13"/>
  <c r="S12" i="13" s="1"/>
  <c r="L14" i="13"/>
  <c r="AA22" i="5"/>
  <c r="AA13" i="13"/>
  <c r="K13" i="13"/>
  <c r="S13" i="13"/>
  <c r="I11" i="13"/>
  <c r="M11" i="13"/>
  <c r="N12" i="13"/>
  <c r="X12" i="13"/>
  <c r="Y11" i="13"/>
  <c r="W11" i="13"/>
  <c r="L11" i="13" s="1"/>
  <c r="M22" i="5"/>
  <c r="L22" i="5" s="1"/>
  <c r="M23" i="5"/>
  <c r="L23" i="5" s="1"/>
  <c r="AA23" i="5"/>
  <c r="Y10" i="13"/>
  <c r="I10" i="13"/>
  <c r="W10" i="13"/>
  <c r="M10" i="13"/>
  <c r="I9" i="13"/>
  <c r="Y9" i="13"/>
  <c r="W9" i="13"/>
  <c r="M9" i="13"/>
  <c r="L4" i="13"/>
  <c r="U4" i="13" s="1"/>
  <c r="Z4" i="13" s="1"/>
  <c r="AA4" i="13" s="1"/>
  <c r="I8" i="13"/>
  <c r="M8" i="13"/>
  <c r="Y8" i="13"/>
  <c r="W8" i="13"/>
  <c r="I7" i="13"/>
  <c r="Y7" i="13"/>
  <c r="W7" i="13"/>
  <c r="M7" i="13"/>
  <c r="M6" i="13"/>
  <c r="I6" i="13"/>
  <c r="Y6" i="13"/>
  <c r="W6" i="13"/>
  <c r="Y5" i="13"/>
  <c r="I5" i="13"/>
  <c r="M5" i="13"/>
  <c r="W5" i="13"/>
  <c r="W2" i="13"/>
  <c r="M2" i="13"/>
  <c r="Y2" i="13"/>
  <c r="I2" i="13"/>
  <c r="M3" i="13"/>
  <c r="Y3" i="13"/>
  <c r="W3" i="13"/>
  <c r="I3" i="13"/>
  <c r="K12" i="13" l="1"/>
  <c r="Z11" i="13"/>
  <c r="Z12" i="13"/>
  <c r="AA12" i="13" s="1"/>
  <c r="AA14" i="13"/>
  <c r="S14" i="13"/>
  <c r="K14" i="13"/>
  <c r="L5" i="13"/>
  <c r="N5" i="13" s="1"/>
  <c r="AB23" i="5"/>
  <c r="T23" i="5"/>
  <c r="L7" i="13"/>
  <c r="K7" i="13" s="1"/>
  <c r="AB22" i="5"/>
  <c r="T22" i="5"/>
  <c r="L10" i="13"/>
  <c r="K10" i="13" s="1"/>
  <c r="Z9" i="13"/>
  <c r="L9" i="13"/>
  <c r="AA11" i="13"/>
  <c r="S11" i="13"/>
  <c r="K11" i="13"/>
  <c r="Z8" i="13"/>
  <c r="Z7" i="13"/>
  <c r="K4" i="13"/>
  <c r="S4" i="13"/>
  <c r="L6" i="13"/>
  <c r="K6" i="13" s="1"/>
  <c r="L8" i="13"/>
  <c r="Z6" i="13"/>
  <c r="L3" i="13"/>
  <c r="N3" i="13" s="1"/>
  <c r="L2" i="13"/>
  <c r="S5" i="13" l="1"/>
  <c r="S6" i="13"/>
  <c r="K5" i="13"/>
  <c r="X5" i="13"/>
  <c r="S7" i="13"/>
  <c r="S10" i="13"/>
  <c r="X10" i="13"/>
  <c r="N10" i="13"/>
  <c r="Z10" i="13" s="1"/>
  <c r="AA10" i="13" s="1"/>
  <c r="AA7" i="13"/>
  <c r="AA9" i="13"/>
  <c r="S9" i="13"/>
  <c r="K9" i="13"/>
  <c r="Z5" i="13"/>
  <c r="AA5" i="13" s="1"/>
  <c r="S8" i="13"/>
  <c r="AA8" i="13"/>
  <c r="K8" i="13"/>
  <c r="AA6" i="13"/>
  <c r="U3" i="13"/>
  <c r="S3" i="13"/>
  <c r="X3" i="13"/>
  <c r="Z3" i="13" s="1"/>
  <c r="AA3" i="13" s="1"/>
  <c r="K3" i="13"/>
  <c r="K2" i="13"/>
  <c r="X2" i="13"/>
  <c r="N2" i="13"/>
  <c r="U2" i="13"/>
  <c r="S2" i="13"/>
  <c r="Z2" i="13" l="1"/>
  <c r="AA2" i="13" s="1"/>
  <c r="D3" i="8" l="1"/>
  <c r="F2" i="12"/>
  <c r="J2" i="12" s="1"/>
  <c r="F3" i="12"/>
  <c r="J3" i="12" s="1"/>
  <c r="F4" i="12"/>
  <c r="J4" i="12" s="1"/>
  <c r="F5" i="12"/>
  <c r="J5" i="12" s="1"/>
  <c r="F6" i="12"/>
  <c r="J6" i="12" s="1"/>
  <c r="F7" i="12"/>
  <c r="J7" i="12" s="1"/>
  <c r="F8" i="12"/>
  <c r="J8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G3" i="5"/>
  <c r="G2" i="5"/>
  <c r="G5" i="5"/>
  <c r="G9" i="5"/>
  <c r="G10" i="5"/>
  <c r="G11" i="5"/>
  <c r="G12" i="5"/>
  <c r="G13" i="5"/>
  <c r="G15" i="5"/>
  <c r="G17" i="5"/>
  <c r="G18" i="5"/>
  <c r="G19" i="5"/>
  <c r="G20" i="5"/>
  <c r="G21" i="5"/>
  <c r="H6" i="12" l="1"/>
  <c r="I6" i="12" s="1"/>
  <c r="H10" i="12"/>
  <c r="Y10" i="12" s="1"/>
  <c r="L10" i="12" s="1"/>
  <c r="H11" i="12"/>
  <c r="I11" i="12" s="1"/>
  <c r="H3" i="12"/>
  <c r="I3" i="12" s="1"/>
  <c r="H8" i="12"/>
  <c r="H9" i="12"/>
  <c r="H7" i="12"/>
  <c r="H13" i="12"/>
  <c r="Y13" i="12" s="1"/>
  <c r="L13" i="12" s="1"/>
  <c r="H5" i="12"/>
  <c r="Y5" i="12" s="1"/>
  <c r="L5" i="12" s="1"/>
  <c r="H4" i="12"/>
  <c r="Y4" i="12" s="1"/>
  <c r="L4" i="12" s="1"/>
  <c r="H14" i="12"/>
  <c r="Y14" i="12" s="1"/>
  <c r="L14" i="12" s="1"/>
  <c r="H2" i="12"/>
  <c r="Y2" i="12" s="1"/>
  <c r="L2" i="12" s="1"/>
  <c r="H12" i="12"/>
  <c r="Y12" i="12" s="1"/>
  <c r="L12" i="12" s="1"/>
  <c r="Y6" i="12" l="1"/>
  <c r="L6" i="12" s="1"/>
  <c r="U6" i="12" s="1"/>
  <c r="Z6" i="12" s="1"/>
  <c r="Y11" i="12"/>
  <c r="L11" i="12" s="1"/>
  <c r="S11" i="12" s="1"/>
  <c r="I10" i="12"/>
  <c r="Y3" i="12"/>
  <c r="L3" i="12" s="1"/>
  <c r="U3" i="12" s="1"/>
  <c r="Z3" i="12" s="1"/>
  <c r="K10" i="12"/>
  <c r="I5" i="12"/>
  <c r="K5" i="12" s="1"/>
  <c r="I13" i="12"/>
  <c r="K13" i="12" s="1"/>
  <c r="U14" i="12"/>
  <c r="Z14" i="12" s="1"/>
  <c r="AA14" i="12" s="1"/>
  <c r="S14" i="12"/>
  <c r="I8" i="12"/>
  <c r="Y8" i="12"/>
  <c r="L8" i="12" s="1"/>
  <c r="I2" i="12"/>
  <c r="K2" i="12" s="1"/>
  <c r="I7" i="12"/>
  <c r="Y7" i="12"/>
  <c r="L7" i="12" s="1"/>
  <c r="I9" i="12"/>
  <c r="Y9" i="12"/>
  <c r="L9" i="12" s="1"/>
  <c r="S5" i="12"/>
  <c r="U5" i="12"/>
  <c r="Z5" i="12" s="1"/>
  <c r="S4" i="12"/>
  <c r="U4" i="12"/>
  <c r="S10" i="12"/>
  <c r="U10" i="12"/>
  <c r="Z10" i="12" s="1"/>
  <c r="AA10" i="12" s="1"/>
  <c r="S2" i="12"/>
  <c r="U2" i="12"/>
  <c r="S13" i="12"/>
  <c r="U13" i="12"/>
  <c r="S12" i="12"/>
  <c r="U12" i="12"/>
  <c r="Z12" i="12" s="1"/>
  <c r="AA12" i="12" s="1"/>
  <c r="I14" i="12"/>
  <c r="K14" i="12" s="1"/>
  <c r="I4" i="12"/>
  <c r="K4" i="12" s="1"/>
  <c r="K11" i="12"/>
  <c r="I12" i="12"/>
  <c r="K12" i="12" s="1"/>
  <c r="D2" i="8"/>
  <c r="D5" i="8" s="1"/>
  <c r="F2" i="1"/>
  <c r="K18" i="5"/>
  <c r="K19" i="5"/>
  <c r="K20" i="5"/>
  <c r="K21" i="5"/>
  <c r="G4" i="5"/>
  <c r="K16" i="5"/>
  <c r="K17" i="5"/>
  <c r="I17" i="5"/>
  <c r="J17" i="5" s="1"/>
  <c r="I18" i="5"/>
  <c r="Z18" i="5" s="1"/>
  <c r="I19" i="5"/>
  <c r="Z19" i="5" s="1"/>
  <c r="I16" i="5"/>
  <c r="N16" i="5" s="1"/>
  <c r="S6" i="12" l="1"/>
  <c r="U11" i="12"/>
  <c r="Z11" i="12" s="1"/>
  <c r="K6" i="12"/>
  <c r="S3" i="12"/>
  <c r="U7" i="12"/>
  <c r="Z7" i="12" s="1"/>
  <c r="AA7" i="12" s="1"/>
  <c r="E33" i="11"/>
  <c r="AA5" i="12"/>
  <c r="S8" i="12"/>
  <c r="E40" i="11"/>
  <c r="AA3" i="12"/>
  <c r="E31" i="11" s="1"/>
  <c r="E38" i="11"/>
  <c r="AA6" i="12"/>
  <c r="E34" i="11" s="1"/>
  <c r="U9" i="12"/>
  <c r="Z9" i="12" s="1"/>
  <c r="AA9" i="12" s="1"/>
  <c r="E42" i="11"/>
  <c r="K3" i="12"/>
  <c r="U8" i="12"/>
  <c r="Z8" i="12" s="1"/>
  <c r="S7" i="12"/>
  <c r="K9" i="12"/>
  <c r="K8" i="12"/>
  <c r="K7" i="12"/>
  <c r="S9" i="12"/>
  <c r="Z13" i="12"/>
  <c r="Z4" i="12"/>
  <c r="Z2" i="12"/>
  <c r="I20" i="5"/>
  <c r="X20" i="5" s="1"/>
  <c r="I21" i="5"/>
  <c r="X21" i="5" s="1"/>
  <c r="X16" i="5"/>
  <c r="N19" i="5"/>
  <c r="J16" i="5"/>
  <c r="J19" i="5"/>
  <c r="X19" i="5"/>
  <c r="M19" i="5" s="1"/>
  <c r="N18" i="5"/>
  <c r="X17" i="5"/>
  <c r="N17" i="5"/>
  <c r="Z17" i="5"/>
  <c r="Z16" i="5"/>
  <c r="J18" i="5"/>
  <c r="X18" i="5"/>
  <c r="M18" i="5" s="1"/>
  <c r="AA8" i="12" l="1"/>
  <c r="E36" i="11" s="1"/>
  <c r="E37" i="11"/>
  <c r="AA11" i="12"/>
  <c r="AA2" i="12"/>
  <c r="E30" i="11" s="1"/>
  <c r="AA4" i="12"/>
  <c r="E32" i="11" s="1"/>
  <c r="AA13" i="12"/>
  <c r="E41" i="11" s="1"/>
  <c r="E35" i="11"/>
  <c r="N20" i="5"/>
  <c r="M16" i="5"/>
  <c r="Z20" i="5"/>
  <c r="M20" i="5" s="1"/>
  <c r="Y20" i="5" s="1"/>
  <c r="J20" i="5"/>
  <c r="L19" i="5"/>
  <c r="N21" i="5"/>
  <c r="J21" i="5"/>
  <c r="Z21" i="5"/>
  <c r="M21" i="5" s="1"/>
  <c r="T19" i="5"/>
  <c r="L18" i="5"/>
  <c r="T18" i="5"/>
  <c r="M17" i="5"/>
  <c r="T17" i="5" s="1"/>
  <c r="AA18" i="5"/>
  <c r="AB18" i="5" s="1"/>
  <c r="E26" i="11" s="1"/>
  <c r="E39" i="11" l="1"/>
  <c r="K16" i="12"/>
  <c r="C5" i="14" s="1"/>
  <c r="L20" i="5"/>
  <c r="T20" i="5"/>
  <c r="O20" i="5"/>
  <c r="AA20" i="5" s="1"/>
  <c r="AB20" i="5" s="1"/>
  <c r="E28" i="11" s="1"/>
  <c r="T16" i="5"/>
  <c r="AA16" i="5"/>
  <c r="AB16" i="5" s="1"/>
  <c r="E24" i="11" s="1"/>
  <c r="L16" i="5"/>
  <c r="AA19" i="5"/>
  <c r="AB19" i="5" s="1"/>
  <c r="E27" i="11" s="1"/>
  <c r="Y17" i="5"/>
  <c r="T21" i="5"/>
  <c r="Y21" i="5"/>
  <c r="L21" i="5"/>
  <c r="O21" i="5"/>
  <c r="O17" i="5"/>
  <c r="L17" i="5"/>
  <c r="AA17" i="5" l="1"/>
  <c r="AB17" i="5" s="1"/>
  <c r="E25" i="11" s="1"/>
  <c r="AA21" i="5"/>
  <c r="AB21" i="5" s="1"/>
  <c r="E29" i="11" s="1"/>
  <c r="E8" i="9"/>
  <c r="E7" i="9"/>
  <c r="E6" i="9"/>
  <c r="E5" i="9"/>
  <c r="E4" i="9"/>
  <c r="E3" i="9"/>
  <c r="E12" i="9" s="1"/>
  <c r="I15" i="5"/>
  <c r="Z15" i="5" s="1"/>
  <c r="K15" i="5"/>
  <c r="J15" i="5" l="1"/>
  <c r="X15" i="5"/>
  <c r="M15" i="5" s="1"/>
  <c r="N15" i="5"/>
  <c r="K8" i="5"/>
  <c r="K9" i="5"/>
  <c r="K10" i="5"/>
  <c r="K11" i="5"/>
  <c r="K12" i="5"/>
  <c r="K13" i="5"/>
  <c r="I8" i="5"/>
  <c r="Z8" i="5" s="1"/>
  <c r="I9" i="5"/>
  <c r="Z9" i="5" s="1"/>
  <c r="I10" i="5"/>
  <c r="Z10" i="5" s="1"/>
  <c r="I11" i="5"/>
  <c r="X11" i="5" s="1"/>
  <c r="I12" i="5"/>
  <c r="N12" i="5" s="1"/>
  <c r="I13" i="5"/>
  <c r="N13" i="5" s="1"/>
  <c r="H3" i="3"/>
  <c r="E4" i="11" s="1"/>
  <c r="H4" i="3"/>
  <c r="E5" i="11" s="1"/>
  <c r="H2" i="3"/>
  <c r="J2" i="1"/>
  <c r="H2" i="1"/>
  <c r="M2" i="1" s="1"/>
  <c r="K3" i="5"/>
  <c r="K2" i="5"/>
  <c r="K4" i="5"/>
  <c r="K5" i="5"/>
  <c r="K6" i="5"/>
  <c r="K7" i="5"/>
  <c r="I3" i="5"/>
  <c r="I2" i="5"/>
  <c r="I4" i="5"/>
  <c r="I5" i="5"/>
  <c r="I6" i="5"/>
  <c r="J6" i="5" s="1"/>
  <c r="I7" i="5"/>
  <c r="Z7" i="5" s="1"/>
  <c r="Z3" i="5" l="1"/>
  <c r="Z4" i="5"/>
  <c r="H5" i="3"/>
  <c r="C3" i="14" s="1"/>
  <c r="E3" i="11"/>
  <c r="D3" i="2"/>
  <c r="D2" i="7"/>
  <c r="D30" i="2"/>
  <c r="D28" i="7"/>
  <c r="D4" i="2"/>
  <c r="D3" i="7"/>
  <c r="D14" i="7"/>
  <c r="D15" i="2"/>
  <c r="D18" i="2"/>
  <c r="D17" i="7"/>
  <c r="N8" i="5"/>
  <c r="X8" i="5"/>
  <c r="M8" i="5" s="1"/>
  <c r="L15" i="5"/>
  <c r="O15" i="5"/>
  <c r="T15" i="5"/>
  <c r="Y15" i="5"/>
  <c r="X5" i="5"/>
  <c r="Z2" i="5"/>
  <c r="N11" i="5"/>
  <c r="N10" i="5"/>
  <c r="X10" i="5"/>
  <c r="M10" i="5" s="1"/>
  <c r="J13" i="5"/>
  <c r="J10" i="5"/>
  <c r="J9" i="5"/>
  <c r="Z13" i="5"/>
  <c r="Z12" i="5"/>
  <c r="J12" i="5"/>
  <c r="X13" i="5"/>
  <c r="X12" i="5"/>
  <c r="J11" i="5"/>
  <c r="N9" i="5"/>
  <c r="Z11" i="5"/>
  <c r="M11" i="5" s="1"/>
  <c r="X3" i="5"/>
  <c r="J8" i="5"/>
  <c r="X9" i="5"/>
  <c r="M9" i="5" s="1"/>
  <c r="X2" i="5"/>
  <c r="N4" i="5"/>
  <c r="N2" i="5"/>
  <c r="N3" i="5"/>
  <c r="J7" i="5"/>
  <c r="N5" i="5"/>
  <c r="N6" i="5"/>
  <c r="X6" i="5"/>
  <c r="J5" i="5"/>
  <c r="Z6" i="5"/>
  <c r="N7" i="5"/>
  <c r="J4" i="5"/>
  <c r="Z5" i="5"/>
  <c r="X4" i="5"/>
  <c r="X7" i="5"/>
  <c r="M7" i="5" s="1"/>
  <c r="J2" i="5"/>
  <c r="I2" i="1"/>
  <c r="W2" i="1"/>
  <c r="J3" i="5"/>
  <c r="M4" i="5" l="1"/>
  <c r="Y8" i="5"/>
  <c r="O8" i="5"/>
  <c r="T10" i="5"/>
  <c r="AA10" i="5"/>
  <c r="T9" i="5"/>
  <c r="AA9" i="5"/>
  <c r="AB9" i="5" s="1"/>
  <c r="E13" i="11" s="1"/>
  <c r="T11" i="5"/>
  <c r="AA11" i="5"/>
  <c r="AB11" i="5" s="1"/>
  <c r="E17" i="11" s="1"/>
  <c r="M3" i="5"/>
  <c r="M5" i="5"/>
  <c r="M2" i="5"/>
  <c r="L8" i="5"/>
  <c r="AA15" i="5"/>
  <c r="M12" i="5"/>
  <c r="M13" i="5"/>
  <c r="O7" i="5"/>
  <c r="Y7" i="5"/>
  <c r="T8" i="5"/>
  <c r="L2" i="1"/>
  <c r="L11" i="5"/>
  <c r="L10" i="5"/>
  <c r="L9" i="5"/>
  <c r="M6" i="5"/>
  <c r="T7" i="5"/>
  <c r="L7" i="5"/>
  <c r="L4" i="5" l="1"/>
  <c r="T4" i="5"/>
  <c r="S2" i="1"/>
  <c r="U2" i="1"/>
  <c r="D37" i="2"/>
  <c r="D46" i="7"/>
  <c r="AB15" i="5"/>
  <c r="E22" i="11" s="1"/>
  <c r="AB10" i="5"/>
  <c r="E15" i="11" s="1"/>
  <c r="AA12" i="5"/>
  <c r="AB12" i="5" s="1"/>
  <c r="E18" i="11" s="1"/>
  <c r="L5" i="5"/>
  <c r="L2" i="5"/>
  <c r="L3" i="5"/>
  <c r="T3" i="5"/>
  <c r="O3" i="5"/>
  <c r="O5" i="5"/>
  <c r="T5" i="5"/>
  <c r="T2" i="5"/>
  <c r="Y3" i="5"/>
  <c r="D39" i="2"/>
  <c r="D37" i="7"/>
  <c r="T13" i="5"/>
  <c r="O2" i="5"/>
  <c r="T6" i="5"/>
  <c r="AA8" i="5"/>
  <c r="AB8" i="5" s="1"/>
  <c r="E12" i="11" s="1"/>
  <c r="D35" i="7"/>
  <c r="Y2" i="5"/>
  <c r="Y5" i="5"/>
  <c r="AA4" i="5"/>
  <c r="D43" i="2"/>
  <c r="D41" i="7"/>
  <c r="D24" i="2"/>
  <c r="D23" i="7"/>
  <c r="D38" i="2"/>
  <c r="D36" i="7"/>
  <c r="D45" i="2"/>
  <c r="D43" i="7"/>
  <c r="D8" i="2"/>
  <c r="D7" i="7"/>
  <c r="D2" i="2"/>
  <c r="K2" i="1"/>
  <c r="X2" i="1"/>
  <c r="N2" i="1"/>
  <c r="Z2" i="1" s="1"/>
  <c r="L13" i="5"/>
  <c r="Y13" i="5"/>
  <c r="O13" i="5"/>
  <c r="AA7" i="5"/>
  <c r="AB7" i="5" s="1"/>
  <c r="E11" i="11" s="1"/>
  <c r="T12" i="5"/>
  <c r="L12" i="5"/>
  <c r="L6" i="5"/>
  <c r="AA3" i="5" l="1"/>
  <c r="AB3" i="5" s="1"/>
  <c r="AB2" i="1"/>
  <c r="D47" i="2"/>
  <c r="D38" i="7"/>
  <c r="D40" i="7"/>
  <c r="D48" i="2"/>
  <c r="D45" i="7"/>
  <c r="D36" i="2"/>
  <c r="AB4" i="5"/>
  <c r="D9" i="7"/>
  <c r="D42" i="2"/>
  <c r="D7" i="2"/>
  <c r="D15" i="7"/>
  <c r="D40" i="2"/>
  <c r="AA5" i="5"/>
  <c r="AA2" i="5"/>
  <c r="D10" i="7"/>
  <c r="D31" i="2"/>
  <c r="D29" i="7"/>
  <c r="D20" i="7"/>
  <c r="D21" i="2"/>
  <c r="AA13" i="5"/>
  <c r="D34" i="7"/>
  <c r="D28" i="2"/>
  <c r="D26" i="7"/>
  <c r="D41" i="2"/>
  <c r="D39" i="7"/>
  <c r="D26" i="2"/>
  <c r="D35" i="2"/>
  <c r="D33" i="7"/>
  <c r="D27" i="2"/>
  <c r="D25" i="7"/>
  <c r="D13" i="2"/>
  <c r="D12" i="7"/>
  <c r="AA6" i="5"/>
  <c r="AB6" i="5" s="1"/>
  <c r="E10" i="11" s="1"/>
  <c r="E8" i="11" l="1"/>
  <c r="E2" i="11"/>
  <c r="AB8" i="1"/>
  <c r="C4" i="14" s="1"/>
  <c r="E6" i="11"/>
  <c r="D29" i="2"/>
  <c r="D27" i="7"/>
  <c r="D6" i="7"/>
  <c r="D19" i="7"/>
  <c r="D14" i="2"/>
  <c r="D30" i="7"/>
  <c r="D13" i="7"/>
  <c r="D11" i="2"/>
  <c r="D6" i="2"/>
  <c r="AB2" i="5"/>
  <c r="D44" i="2"/>
  <c r="D42" i="7"/>
  <c r="D31" i="7"/>
  <c r="D32" i="2"/>
  <c r="D33" i="2"/>
  <c r="D10" i="2"/>
  <c r="D20" i="2"/>
  <c r="D46" i="2"/>
  <c r="AB13" i="5"/>
  <c r="E20" i="11" s="1"/>
  <c r="AB5" i="5"/>
  <c r="E9" i="11" s="1"/>
  <c r="D44" i="7"/>
  <c r="D16" i="2"/>
  <c r="D25" i="2"/>
  <c r="D24" i="7"/>
  <c r="D23" i="2"/>
  <c r="D22" i="7"/>
  <c r="D9" i="2"/>
  <c r="D8" i="7"/>
  <c r="D5" i="2"/>
  <c r="D4" i="7"/>
  <c r="E7" i="11" l="1"/>
  <c r="E48" i="11" s="1"/>
  <c r="C2" i="14"/>
  <c r="D5" i="7"/>
  <c r="D18" i="7"/>
  <c r="D19" i="2"/>
  <c r="D16" i="7"/>
  <c r="D21" i="7"/>
  <c r="D32" i="7"/>
  <c r="D22" i="2"/>
  <c r="D17" i="2"/>
  <c r="D34" i="2"/>
  <c r="D12" i="2"/>
  <c r="D11" i="7"/>
  <c r="D50" i="2" l="1"/>
  <c r="D48" i="7"/>
  <c r="C7" i="14"/>
</calcChain>
</file>

<file path=xl/sharedStrings.xml><?xml version="1.0" encoding="utf-8"?>
<sst xmlns="http://schemas.openxmlformats.org/spreadsheetml/2006/main" count="966" uniqueCount="324">
  <si>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</si>
  <si>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</si>
  <si>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</si>
  <si>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</si>
  <si>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</si>
  <si>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</si>
  <si>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</si>
  <si>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</si>
  <si>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</si>
  <si>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</si>
  <si>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</si>
  <si>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</si>
  <si>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</si>
  <si>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</si>
  <si>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</si>
  <si>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</si>
  <si>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</si>
  <si>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</si>
  <si>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</si>
  <si>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</si>
  <si>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</si>
  <si>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</si>
  <si>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</si>
  <si>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</si>
  <si>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</si>
  <si>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</si>
  <si>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</si>
  <si>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</si>
  <si>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</si>
  <si>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</si>
  <si>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</si>
  <si>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</si>
  <si>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</si>
  <si>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</si>
  <si>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</si>
  <si>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</si>
  <si>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</si>
  <si>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</si>
  <si>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</si>
  <si>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</si>
  <si>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</si>
  <si>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</si>
  <si>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</si>
  <si>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</si>
  <si>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</si>
  <si>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</si>
  <si>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</si>
  <si>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</si>
  <si>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</si>
  <si>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</si>
  <si>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</si>
  <si>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</si>
  <si>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</si>
  <si>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</si>
  <si>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</si>
  <si>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</si>
  <si>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</si>
  <si>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</si>
  <si>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</si>
  <si>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</si>
  <si>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</si>
  <si>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</si>
  <si>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</si>
  <si>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</si>
  <si>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</si>
  <si>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</si>
  <si>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</si>
  <si>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</si>
  <si>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</si>
  <si>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</si>
  <si>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</si>
  <si>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</si>
  <si>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</si>
  <si>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</si>
  <si>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</si>
  <si>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</si>
  <si>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</si>
  <si>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</si>
  <si>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</si>
  <si>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</si>
  <si>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</si>
  <si>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</si>
  <si>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</si>
  <si>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</si>
  <si>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</si>
  <si>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</si>
  <si>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</si>
  <si>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</si>
  <si>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</si>
  <si>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</si>
  <si>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</si>
  <si>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</si>
  <si>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</si>
  <si>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</si>
  <si>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</si>
  <si>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</si>
  <si>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</si>
  <si>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</si>
  <si>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</si>
  <si>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</si>
  <si>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</si>
  <si>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</si>
  <si>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</si>
  <si>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</si>
  <si>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</si>
  <si>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</si>
  <si>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</si>
  <si>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</si>
  <si>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</si>
  <si>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</si>
  <si>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</si>
  <si>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</si>
  <si>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</si>
  <si>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</si>
  <si>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</si>
  <si>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</si>
  <si>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</si>
  <si>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</si>
  <si>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</si>
  <si>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</si>
  <si>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</si>
  <si>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</si>
  <si>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</si>
  <si>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</si>
  <si>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</si>
  <si>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</si>
  <si>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</si>
  <si>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</si>
  <si>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</si>
  <si>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</si>
  <si>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</si>
  <si>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</si>
  <si>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</si>
  <si>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</si>
  <si>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</si>
  <si>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</si>
  <si>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</si>
  <si>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</si>
  <si>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</si>
  <si>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</si>
  <si>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</si>
  <si>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</si>
  <si>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</si>
  <si>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</si>
  <si>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</si>
  <si>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</si>
  <si>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</si>
  <si>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</si>
  <si>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</si>
  <si>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</si>
  <si>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</si>
  <si>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</si>
  <si>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</si>
  <si>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</si>
  <si>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</si>
  <si>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</si>
  <si>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</si>
  <si>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</si>
  <si>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</si>
  <si>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</si>
  <si>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</si>
  <si>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</si>
  <si>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</si>
  <si>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</si>
  <si>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</si>
  <si>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</si>
  <si>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</si>
  <si>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</si>
  <si>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</si>
  <si>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</si>
  <si>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</si>
  <si>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</si>
  <si>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</si>
  <si>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</si>
  <si>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</si>
  <si>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</si>
  <si>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</si>
  <si>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</si>
  <si>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</si>
  <si>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</si>
  <si>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</si>
  <si>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</si>
  <si>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</si>
  <si>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</si>
  <si>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</si>
  <si>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</si>
  <si>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</si>
  <si>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</si>
  <si>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</si>
  <si>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</si>
  <si>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</si>
  <si>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</si>
  <si>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</si>
  <si>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</si>
  <si>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</si>
  <si>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</si>
  <si>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</si>
  <si>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</si>
  <si>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</si>
  <si>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</si>
  <si>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</si>
  <si>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</si>
  <si>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</si>
  <si>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</si>
  <si>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</si>
  <si>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</si>
  <si>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</si>
  <si>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</si>
  <si>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</si>
  <si>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</si>
  <si>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</si>
  <si>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</si>
  <si>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</si>
  <si>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</si>
  <si>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</si>
  <si>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</si>
  <si>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</si>
  <si>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</si>
  <si>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</si>
  <si>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</si>
  <si>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</si>
  <si>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</si>
  <si>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</si>
  <si>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</si>
  <si>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</si>
  <si>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</si>
  <si>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</si>
  <si>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</si>
  <si>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</si>
  <si>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</si>
  <si>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</si>
  <si>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</si>
  <si>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</si>
  <si>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</si>
  <si>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</si>
  <si>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</si>
  <si>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</si>
  <si>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</si>
  <si>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</si>
  <si>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</si>
  <si>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</si>
  <si>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</si>
  <si>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</si>
  <si>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</si>
  <si>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</si>
  <si>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</si>
  <si>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</si>
  <si>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</si>
  <si>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</si>
  <si>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</si>
  <si>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</si>
  <si>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</si>
  <si>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</si>
  <si>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</si>
  <si>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</si>
  <si>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</si>
  <si>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</si>
  <si>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</si>
  <si>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Actual Cost</t>
  </si>
  <si>
    <t>PUNB0181410</t>
  </si>
  <si>
    <t>Punjab National Bank</t>
  </si>
  <si>
    <t>SBIN0020248</t>
  </si>
  <si>
    <t>SBIN0020947</t>
  </si>
  <si>
    <t>1814100100000327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</si>
  <si>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</si>
  <si>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</si>
  <si>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</si>
  <si>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</si>
  <si>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</si>
  <si>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</si>
  <si>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</si>
  <si>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</si>
  <si>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</si>
  <si>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</si>
  <si>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</si>
  <si>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</si>
  <si>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</si>
  <si>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</si>
  <si>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</si>
  <si>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</si>
  <si>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</si>
  <si>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</si>
  <si>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</si>
  <si>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</si>
  <si>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</si>
  <si>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</si>
  <si>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</si>
  <si>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</si>
  <si>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</si>
  <si>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</si>
  <si>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FDRL0002324</t>
  </si>
  <si>
    <t>FDRL0001756</t>
  </si>
  <si>
    <t>FDRL0002457</t>
  </si>
  <si>
    <t>FDRL0002514</t>
  </si>
  <si>
    <t>FDRL0002371</t>
  </si>
  <si>
    <t>FDRL0001583</t>
  </si>
  <si>
    <t>FDRL0002478</t>
  </si>
  <si>
    <t>FDRL0001569</t>
  </si>
  <si>
    <t>FDRL0002307</t>
  </si>
  <si>
    <t>UTIB0002158</t>
  </si>
  <si>
    <t>Transfer</t>
  </si>
  <si>
    <t>Cash</t>
  </si>
  <si>
    <t>Sno</t>
  </si>
  <si>
    <t>AGS26093</t>
  </si>
  <si>
    <t>Jamboju Eshwar</t>
  </si>
  <si>
    <t>AGS26094</t>
  </si>
  <si>
    <t>Banka Sanhith</t>
  </si>
  <si>
    <t>Employee Category</t>
  </si>
  <si>
    <t>Total Payroll Amount</t>
  </si>
  <si>
    <t>Tech Employees</t>
  </si>
  <si>
    <t>Consultants</t>
  </si>
  <si>
    <t>Internal Employees</t>
  </si>
  <si>
    <t>Grand Total</t>
  </si>
  <si>
    <t>Rental Payments</t>
  </si>
  <si>
    <t>Hiring Team</t>
  </si>
  <si>
    <t>IOBA0001889</t>
  </si>
  <si>
    <t>CNRB0005830</t>
  </si>
  <si>
    <t>Mugidi Pavan Sriram Kalyan</t>
  </si>
  <si>
    <t>AGS26097</t>
  </si>
  <si>
    <t>Thumula Dinesh</t>
  </si>
  <si>
    <t>Narmeta Srujan Reddy</t>
  </si>
  <si>
    <t>Yanamagandla Raghavendar</t>
  </si>
  <si>
    <t xml:space="preserve">Oct Bench </t>
  </si>
  <si>
    <t>02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</si>
</sst>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3" formatCode="_ * #,##0.00_ ;_ * \-#,##0.00_ ;_ * &quot;-&quot;??_ ;_ @_ "/>
    <numFmt numFmtId="164" formatCode="[$-4009]dd\ mmm\ yy"/>
    <numFmt numFmtId="165" formatCode="0.00000000E+00"/>
    <numFmt numFmtId="166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1" xfId="0" applyFont="1" applyBorder="1"/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15" fontId="13" fillId="0" borderId="1" xfId="0" applyNumberFormat="1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/>
    </xf>
    <xf numFmtId="0" fontId="13" fillId="0" borderId="0" xfId="0" applyFont="1"/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15" fontId="13" fillId="0" borderId="2" xfId="0" applyNumberFormat="1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1" fontId="13" fillId="0" borderId="3" xfId="0" applyNumberFormat="1" applyFont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/>
    </xf>
    <xf numFmtId="14" fontId="13" fillId="0" borderId="3" xfId="0" applyNumberFormat="1" applyFont="1" applyBorder="1" applyAlignment="1">
      <alignment horizontal="left" vertical="top"/>
    </xf>
    <xf numFmtId="0" fontId="12" fillId="0" borderId="0" xfId="0" applyFont="1"/>
    <xf numFmtId="2" fontId="9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13" fillId="0" borderId="0" xfId="0" applyNumberFormat="1" applyFont="1" applyAlignment="1">
      <alignment horizontal="left" vertical="top"/>
    </xf>
    <xf numFmtId="0" fontId="2" fillId="0" borderId="4" xfId="0" applyFont="1" applyBorder="1"/>
    <xf numFmtId="1" fontId="1" fillId="0" borderId="1" xfId="0" applyNumberFormat="1" applyFont="1" applyBorder="1"/>
    <xf numFmtId="14" fontId="9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/>
    </xf>
    <xf numFmtId="0" fontId="18" fillId="0" borderId="0" xfId="0" applyFont="1"/>
    <xf numFmtId="0" fontId="18" fillId="0" borderId="1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15" fontId="18" fillId="0" borderId="1" xfId="0" applyNumberFormat="1" applyFont="1" applyBorder="1" applyAlignment="1">
      <alignment horizontal="left" vertical="top"/>
    </xf>
    <xf numFmtId="1" fontId="19" fillId="0" borderId="1" xfId="0" applyNumberFormat="1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1" fontId="18" fillId="0" borderId="1" xfId="0" applyNumberFormat="1" applyFont="1" applyBorder="1" applyAlignment="1">
      <alignment horizontal="left" vertical="top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166" fontId="2" fillId="0" borderId="0" xfId="1" applyNumberFormat="1" applyFont="1" applyAlignment="1">
      <alignment horizontal="right" vertical="center" wrapText="1"/>
    </xf>
    <xf numFmtId="0" fontId="8" fillId="6" borderId="0" xfId="0" applyFont="1" applyFill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6" fontId="2" fillId="6" borderId="7" xfId="1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21" fillId="7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wrapText="1"/>
    </xf>
    <xf numFmtId="0" fontId="21" fillId="7" borderId="1" xfId="0" applyFont="1" applyFill="1" applyBorder="1" applyAlignment="1">
      <alignment horizontal="left" vertical="top"/>
    </xf>
    <xf numFmtId="0" fontId="21" fillId="7" borderId="3" xfId="0" applyFont="1" applyFill="1" applyBorder="1" applyAlignment="1">
      <alignment horizontal="left" vertical="top"/>
    </xf>
    <xf numFmtId="166" fontId="2" fillId="0" borderId="0" xfId="1" applyNumberFormat="1" applyFont="1"/>
    <xf numFmtId="0" fontId="13" fillId="0" borderId="0" xfId="0" applyFont="1" applyAlignment="1">
      <alignment wrapText="1"/>
    </xf>
    <xf numFmtId="2" fontId="13" fillId="0" borderId="1" xfId="0" applyNumberFormat="1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0" fontId="13" fillId="0" borderId="1" xfId="0" applyFont="1" applyBorder="1"/>
    <xf numFmtId="164" fontId="14" fillId="0" borderId="1" xfId="0" applyNumberFormat="1" applyFont="1" applyBorder="1"/>
    <xf numFmtId="1" fontId="13" fillId="0" borderId="1" xfId="0" applyNumberFormat="1" applyFont="1" applyBorder="1"/>
    <xf numFmtId="1" fontId="12" fillId="0" borderId="0" xfId="0" applyNumberFormat="1" applyFont="1"/>
    <xf numFmtId="166" fontId="0" fillId="0" borderId="0" xfId="0" applyNumberFormat="1"/>
    <xf numFmtId="0" fontId="13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/>
    </xf>
    <xf numFmtId="2" fontId="9" fillId="9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left" vertical="top"/>
    </xf>
    <xf numFmtId="0" fontId="13" fillId="7" borderId="3" xfId="0" applyFont="1" applyFill="1" applyBorder="1" applyAlignment="1">
      <alignment horizontal="left" vertical="top"/>
    </xf>
    <xf numFmtId="0" fontId="13" fillId="7" borderId="1" xfId="0" applyFont="1" applyFill="1" applyBorder="1"/>
    <xf numFmtId="0" fontId="14" fillId="7" borderId="1" xfId="0" applyFont="1" applyFill="1" applyBorder="1"/>
    <xf numFmtId="2" fontId="13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 vertical="top"/>
    </xf>
    <xf numFmtId="14" fontId="13" fillId="4" borderId="1" xfId="0" applyNumberFormat="1" applyFont="1" applyFill="1" applyBorder="1" applyAlignment="1">
      <alignment horizontal="left" vertical="top"/>
    </xf>
    <xf numFmtId="1" fontId="13" fillId="4" borderId="3" xfId="0" applyNumberFormat="1" applyFont="1" applyFill="1" applyBorder="1" applyAlignment="1">
      <alignment horizontal="left" vertical="top"/>
    </xf>
    <xf numFmtId="0" fontId="13" fillId="4" borderId="0" xfId="0" applyFont="1" applyFill="1"/>
    <xf numFmtId="0" fontId="13" fillId="10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left" vertical="top"/>
    </xf>
    <xf numFmtId="15" fontId="13" fillId="0" borderId="1" xfId="0" applyNumberFormat="1" applyFont="1" applyBorder="1" applyAlignment="1">
      <alignment horizontal="left"/>
    </xf>
    <xf numFmtId="8" fontId="0" fillId="0" borderId="1" xfId="0" applyNumberFormat="1" applyBorder="1" applyAlignment="1">
      <alignment horizontal="right" wrapText="1"/>
    </xf>
    <xf numFmtId="0" fontId="0" fillId="0" borderId="8" xfId="0" applyBorder="1" applyAlignment="1">
      <alignment wrapText="1"/>
    </xf>
    <xf numFmtId="8" fontId="0" fillId="0" borderId="8" xfId="0" applyNumberFormat="1" applyBorder="1" applyAlignment="1">
      <alignment horizontal="right" wrapText="1"/>
    </xf>
    <xf numFmtId="2" fontId="9" fillId="4" borderId="1" xfId="0" applyNumberFormat="1" applyFont="1" applyFill="1" applyBorder="1" applyAlignment="1">
      <alignment horizontal="left"/>
    </xf>
    <xf numFmtId="166" fontId="12" fillId="6" borderId="0" xfId="1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166" fontId="8" fillId="6" borderId="0" xfId="1" applyNumberFormat="1" applyFont="1" applyFill="1" applyAlignment="1">
      <alignment horizontal="center"/>
    </xf>
    <xf numFmtId="166" fontId="12" fillId="0" borderId="0" xfId="1" applyNumberFormat="1" applyFont="1" applyAlignment="1">
      <alignment horizontal="left" vertical="top"/>
    </xf>
    <xf numFmtId="1" fontId="13" fillId="0" borderId="3" xfId="0" applyNumberFormat="1" applyFont="1" applyBorder="1" applyAlignment="1">
      <alignment horizontal="left"/>
    </xf>
    <xf numFmtId="166" fontId="8" fillId="3" borderId="9" xfId="1" applyNumberFormat="1" applyFont="1" applyFill="1" applyBorder="1" applyAlignment="1"/>
    <xf numFmtId="0" fontId="0" fillId="0" borderId="1" xfId="0" applyFont="1" applyBorder="1" applyAlignment="1">
      <alignment horizontal="left" vertical="center" wrapText="1"/>
    </xf>
    <xf numFmtId="166" fontId="0" fillId="0" borderId="1" xfId="1" applyNumberFormat="1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38FE-4538-463D-815C-B51C497855A2}">
  <dimension ref="A1:D13"/>
  <sheetViews>
    <sheetView tabSelected="1" workbookViewId="0">
      <selection activeCell="F15" sqref="F15"/>
    </sheetView>
  </sheetViews>
  <sheetFormatPr defaultRowHeight="14.4" x14ac:dyDescent="0.3"/>
  <cols>
    <col min="1" max="1" width="4.21875" bestFit="1" customWidth="1"/>
    <col min="2" max="2" width="17.5546875" bestFit="1" customWidth="1"/>
    <col min="3" max="3" width="19" bestFit="1" customWidth="1"/>
    <col min="4" max="4" width="9.77734375" bestFit="1" customWidth="1"/>
  </cols>
  <sheetData>
    <row r="1" spans="1:4" x14ac:dyDescent="0.3">
      <c r="A1" s="150" t="s">
        <v>302</v>
      </c>
      <c r="B1" s="150" t="s">
        <v>307</v>
      </c>
      <c r="C1" s="150" t="s">
        <v>308</v>
      </c>
    </row>
    <row r="2" spans="1:4" x14ac:dyDescent="0.3">
      <c r="A2" s="151">
        <v>1</v>
      </c>
      <c r="B2" s="148" t="s">
        <v>309</v>
      </c>
      <c r="C2" s="149">
        <f>'Tech Team'!AB26</f>
        <v>691441.20591569389</v>
      </c>
    </row>
    <row r="3" spans="1:4" x14ac:dyDescent="0.3">
      <c r="A3" s="151">
        <v>2</v>
      </c>
      <c r="B3" s="148" t="s">
        <v>310</v>
      </c>
      <c r="C3" s="149">
        <f>Consultant!H5</f>
        <v>229400</v>
      </c>
    </row>
    <row r="4" spans="1:4" x14ac:dyDescent="0.3">
      <c r="A4" s="151">
        <v>3</v>
      </c>
      <c r="B4" s="148" t="s">
        <v>311</v>
      </c>
      <c r="C4" s="149">
        <f>Employees!AB8</f>
        <v>221871.60939063851</v>
      </c>
    </row>
    <row r="5" spans="1:4" x14ac:dyDescent="0.3">
      <c r="A5" s="151">
        <v>4</v>
      </c>
      <c r="B5" s="148" t="s">
        <v>314</v>
      </c>
      <c r="C5" s="149">
        <f>'Hiring Team'!K16</f>
        <v>244651.23481735322</v>
      </c>
    </row>
    <row r="6" spans="1:4" x14ac:dyDescent="0.3">
      <c r="A6" s="151">
        <v>5</v>
      </c>
      <c r="B6" s="148" t="s">
        <v>313</v>
      </c>
      <c r="C6" s="149">
        <f>'Rental Payment'!D5</f>
        <v>180000</v>
      </c>
    </row>
    <row r="7" spans="1:4" x14ac:dyDescent="0.3">
      <c r="B7" s="95" t="s">
        <v>312</v>
      </c>
      <c r="C7" s="96">
        <f>SUM(C2:C6)</f>
        <v>1567364.0501236857</v>
      </c>
    </row>
    <row r="12" spans="1:4" x14ac:dyDescent="0.3">
      <c r="D12" s="117"/>
    </row>
    <row r="13" spans="1:4" x14ac:dyDescent="0.3">
      <c r="D13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zoomScale="80" zoomScaleNormal="80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AB2" sqref="AB2"/>
    </sheetView>
  </sheetViews>
  <sheetFormatPr defaultColWidth="11.5546875" defaultRowHeight="12" x14ac:dyDescent="0.25"/>
  <cols>
    <col min="1" max="1" width="10.33203125" style="63" bestFit="1" customWidth="1"/>
    <col min="2" max="2" width="22.6640625" style="63" bestFit="1" customWidth="1"/>
    <col min="3" max="3" width="9.77734375" style="63" customWidth="1"/>
    <col min="4" max="4" width="11.109375" style="63" customWidth="1"/>
    <col min="5" max="5" width="7.6640625" style="63" bestFit="1" customWidth="1"/>
    <col min="6" max="7" width="8.21875" style="63" bestFit="1" customWidth="1"/>
    <col min="8" max="8" width="8.5546875" style="63" customWidth="1"/>
    <col min="9" max="9" width="8.88671875" style="63" customWidth="1"/>
    <col min="10" max="10" width="12.109375" style="63" customWidth="1"/>
    <col min="11" max="11" width="10.77734375" style="63" customWidth="1"/>
    <col min="12" max="12" width="11.109375" style="63" bestFit="1" customWidth="1"/>
    <col min="13" max="13" width="10.5546875" style="63" bestFit="1" customWidth="1"/>
    <col min="14" max="14" width="10.88671875" style="63" bestFit="1" customWidth="1"/>
    <col min="15" max="15" width="10.21875" style="63" bestFit="1" customWidth="1"/>
    <col min="16" max="16" width="6.33203125" style="63" bestFit="1" customWidth="1"/>
    <col min="17" max="17" width="11.21875" style="63" bestFit="1" customWidth="1"/>
    <col min="18" max="18" width="11.5546875" style="63"/>
    <col min="19" max="19" width="7.21875" style="63" bestFit="1" customWidth="1"/>
    <col min="20" max="20" width="3.77734375" style="63" bestFit="1" customWidth="1"/>
    <col min="21" max="21" width="8.77734375" style="63" bestFit="1" customWidth="1"/>
    <col min="22" max="22" width="9.44140625" style="63" bestFit="1" customWidth="1"/>
    <col min="23" max="23" width="10.21875" style="63" bestFit="1" customWidth="1"/>
    <col min="24" max="24" width="10.6640625" style="63" bestFit="1" customWidth="1"/>
    <col min="25" max="25" width="7.109375" style="63" bestFit="1" customWidth="1"/>
    <col min="26" max="26" width="9.44140625" style="63" bestFit="1" customWidth="1"/>
    <col min="27" max="27" width="8.77734375" style="63" bestFit="1" customWidth="1"/>
    <col min="28" max="28" width="11.33203125" style="63" bestFit="1" customWidth="1"/>
    <col min="29" max="16384" width="11.5546875" style="63"/>
  </cols>
  <sheetData>
    <row r="1" spans="1:28" s="108" customFormat="1" ht="24" x14ac:dyDescent="0.25">
      <c r="A1" s="69" t="s">
        <v>1</v>
      </c>
      <c r="B1" s="69" t="s">
        <v>0</v>
      </c>
      <c r="C1" s="69" t="s">
        <v>21</v>
      </c>
      <c r="D1" s="69" t="s">
        <v>25</v>
      </c>
      <c r="E1" s="69" t="s">
        <v>22</v>
      </c>
      <c r="F1" s="69" t="s">
        <v>23</v>
      </c>
      <c r="G1" s="69" t="s">
        <v>24</v>
      </c>
      <c r="H1" s="69" t="s">
        <v>2</v>
      </c>
      <c r="I1" s="69" t="s">
        <v>3</v>
      </c>
      <c r="J1" s="69" t="s">
        <v>4</v>
      </c>
      <c r="K1" s="69" t="s">
        <v>5</v>
      </c>
      <c r="L1" s="69" t="s">
        <v>54</v>
      </c>
      <c r="M1" s="69" t="s">
        <v>10</v>
      </c>
      <c r="N1" s="69" t="s">
        <v>11</v>
      </c>
      <c r="O1" s="69" t="s">
        <v>12</v>
      </c>
      <c r="P1" s="69" t="s">
        <v>6</v>
      </c>
      <c r="Q1" s="69" t="s">
        <v>7</v>
      </c>
      <c r="R1" s="69" t="s">
        <v>8</v>
      </c>
      <c r="S1" s="69" t="s">
        <v>9</v>
      </c>
      <c r="T1" s="69" t="s">
        <v>13</v>
      </c>
      <c r="U1" s="69" t="s">
        <v>14</v>
      </c>
      <c r="V1" s="69" t="s">
        <v>15</v>
      </c>
      <c r="W1" s="69" t="s">
        <v>18</v>
      </c>
      <c r="X1" s="69" t="s">
        <v>19</v>
      </c>
      <c r="Y1" s="69" t="s">
        <v>20</v>
      </c>
      <c r="Z1" s="69" t="s">
        <v>16</v>
      </c>
      <c r="AA1" s="69" t="s">
        <v>100</v>
      </c>
      <c r="AB1" s="69" t="s">
        <v>17</v>
      </c>
    </row>
    <row r="2" spans="1:28" s="101" customFormat="1" x14ac:dyDescent="0.25">
      <c r="A2" s="109" t="s">
        <v>96</v>
      </c>
      <c r="B2" s="109" t="s">
        <v>97</v>
      </c>
      <c r="C2" s="110">
        <v>46086</v>
      </c>
      <c r="D2" s="111">
        <v>100000</v>
      </c>
      <c r="E2" s="111">
        <v>30</v>
      </c>
      <c r="F2" s="112">
        <f>E2-G2</f>
        <v>30</v>
      </c>
      <c r="G2" s="112">
        <v>0</v>
      </c>
      <c r="H2" s="112">
        <f>(+D2*49.99999%)/E2*F2</f>
        <v>49999.989999999991</v>
      </c>
      <c r="I2" s="112">
        <f>(H2*50%)</f>
        <v>24999.994999999995</v>
      </c>
      <c r="J2" s="112">
        <f>(1600/E2)*F2</f>
        <v>1600</v>
      </c>
      <c r="K2" s="112">
        <f>(L2-H2-I2-J2)</f>
        <v>19195.015000000014</v>
      </c>
      <c r="L2" s="112">
        <f>(D2-W2)/E2*F2-Y2</f>
        <v>95795</v>
      </c>
      <c r="M2" s="112">
        <f>IF($H2*0.12&gt;1800,1800,$H2*0.12)</f>
        <v>1800</v>
      </c>
      <c r="N2" s="112">
        <f>IF(L2&lt;=21000,L2*0.75%,0)</f>
        <v>0</v>
      </c>
      <c r="O2" s="112">
        <v>200</v>
      </c>
      <c r="P2" s="112">
        <v>0</v>
      </c>
      <c r="Q2" s="112"/>
      <c r="R2" s="112">
        <v>0</v>
      </c>
      <c r="S2" s="112">
        <f>L2+P2+Q2+R2</f>
        <v>95795</v>
      </c>
      <c r="T2" s="112">
        <v>0</v>
      </c>
      <c r="U2" s="112">
        <f>ROUND((L2/E2)*G2,0)</f>
        <v>0</v>
      </c>
      <c r="V2" s="112"/>
      <c r="W2" s="112">
        <f>IF($H2*0.12&gt;1800,1800,$H2*0.12)</f>
        <v>1800</v>
      </c>
      <c r="X2" s="112">
        <f>IF(L2&lt;=21000,L2*3.25%,0)</f>
        <v>0</v>
      </c>
      <c r="Y2" s="112">
        <v>2405</v>
      </c>
      <c r="Z2" s="112">
        <f>M2+N2+O2+V2+T2+W2+X2+Y2</f>
        <v>6205</v>
      </c>
      <c r="AA2" s="112"/>
      <c r="AB2" s="112">
        <f>L2-Z2+AA2+M2+Y2</f>
        <v>93795</v>
      </c>
    </row>
    <row r="3" spans="1:28" x14ac:dyDescent="0.25">
      <c r="A3" s="109" t="s">
        <v>152</v>
      </c>
      <c r="B3" s="127" t="s">
        <v>153</v>
      </c>
      <c r="C3" s="110">
        <v>46113</v>
      </c>
      <c r="D3" s="111">
        <v>29166</v>
      </c>
      <c r="E3" s="111">
        <v>30</v>
      </c>
      <c r="F3" s="112">
        <v>24</v>
      </c>
      <c r="G3" s="112">
        <v>0</v>
      </c>
      <c r="H3" s="112">
        <f>(+D3*49.99999%)/E3*F3</f>
        <v>11666.397666719999</v>
      </c>
      <c r="I3" s="112">
        <f>(H3*50%)</f>
        <v>5833.1988333599993</v>
      </c>
      <c r="J3" s="112">
        <f>(1600/E3)*F3</f>
        <v>1280</v>
      </c>
      <c r="K3" s="112">
        <f>(L3-H3-I3-J3)</f>
        <v>2732.229323914883</v>
      </c>
      <c r="L3" s="112">
        <f>(D3-W3)/E3*F3-Y3</f>
        <v>21511.825823994881</v>
      </c>
      <c r="M3" s="112">
        <f>IF($H3*0.12&gt;1800,1800,$H3*0.12)</f>
        <v>1399.9677200063998</v>
      </c>
      <c r="N3" s="112">
        <f>IF(L3&lt;=21000,L3*0.75%,0)</f>
        <v>0</v>
      </c>
      <c r="O3" s="112">
        <v>200</v>
      </c>
      <c r="P3" s="112">
        <v>0</v>
      </c>
      <c r="Q3" s="112"/>
      <c r="R3" s="112">
        <v>0</v>
      </c>
      <c r="S3" s="112">
        <f>L3+P3+Q3+R3</f>
        <v>21511.825823994881</v>
      </c>
      <c r="T3" s="112">
        <v>0</v>
      </c>
      <c r="U3" s="112">
        <f>ROUND((L3/E3)*G3,0)</f>
        <v>0</v>
      </c>
      <c r="V3" s="112"/>
      <c r="W3" s="112">
        <f>IF($H3*0.12&gt;1800,1800,$H3*0.12)</f>
        <v>1399.9677200063998</v>
      </c>
      <c r="X3" s="112">
        <f>IF(L3&lt;=21000,L3*3.25%,0)</f>
        <v>0</v>
      </c>
      <c r="Y3" s="112">
        <v>701</v>
      </c>
      <c r="Z3" s="112">
        <f>M3+N3+O3+V3+T3+W3+X3+Y3</f>
        <v>3700.9354400127995</v>
      </c>
      <c r="AA3" s="112"/>
      <c r="AB3" s="112">
        <f>L3-Z3+AA3+M3+Y3</f>
        <v>19911.858103988481</v>
      </c>
    </row>
    <row r="4" spans="1:28" x14ac:dyDescent="0.25">
      <c r="A4" s="111" t="s">
        <v>148</v>
      </c>
      <c r="B4" s="128" t="s">
        <v>149</v>
      </c>
      <c r="C4" s="110">
        <v>46113</v>
      </c>
      <c r="D4" s="111">
        <v>25000</v>
      </c>
      <c r="E4" s="111">
        <v>30</v>
      </c>
      <c r="F4" s="61">
        <f>E4-G4</f>
        <v>30</v>
      </c>
      <c r="G4" s="61">
        <v>0</v>
      </c>
      <c r="H4" s="112">
        <f t="shared" ref="H4:H5" si="0">(+D4*49.99999%)/E4*F4</f>
        <v>12499.997499999998</v>
      </c>
      <c r="I4" s="112">
        <f t="shared" ref="I4:I6" si="1">(H4*50%)</f>
        <v>6249.9987499999988</v>
      </c>
      <c r="J4" s="112">
        <f t="shared" ref="J4:J5" si="2">(1600/E4)*F4</f>
        <v>1600</v>
      </c>
      <c r="K4" s="112">
        <f t="shared" ref="K4:K5" si="3">(L4-H4-I4-J4)</f>
        <v>2548.7541702500021</v>
      </c>
      <c r="L4" s="112">
        <f t="shared" ref="L4:L5" si="4">(D4-W4)/E4*F4-Y4</f>
        <v>22898.750420249999</v>
      </c>
      <c r="M4" s="112">
        <f t="shared" ref="M4:M7" si="5">IF($H4*0.12&gt;1800,1800,$H4*0.12)</f>
        <v>1499.9996999999996</v>
      </c>
      <c r="N4" s="112">
        <f t="shared" ref="N4:N5" si="6">IF(L4&lt;=21000,L4*0.75%,0)</f>
        <v>0</v>
      </c>
      <c r="O4" s="112">
        <v>200</v>
      </c>
      <c r="P4" s="112">
        <v>0</v>
      </c>
      <c r="Q4" s="112"/>
      <c r="R4" s="112">
        <v>0</v>
      </c>
      <c r="S4" s="112">
        <f t="shared" ref="S4:S5" si="7">L4+P4+Q4+R4</f>
        <v>22898.750420249999</v>
      </c>
      <c r="T4" s="112">
        <v>0</v>
      </c>
      <c r="U4" s="112">
        <f t="shared" ref="U4:U5" si="8">ROUND((L4/E4)*G4,0)</f>
        <v>0</v>
      </c>
      <c r="V4" s="112"/>
      <c r="W4" s="112">
        <f t="shared" ref="W4:W7" si="9">IF($H4*0.12&gt;1800,1800,$H4*0.12)</f>
        <v>1499.9996999999996</v>
      </c>
      <c r="X4" s="112">
        <f t="shared" ref="X4:X5" si="10">IF(L4&lt;=21000,L4*3.25%,0)</f>
        <v>0</v>
      </c>
      <c r="Y4" s="62">
        <f>H4*4.81%</f>
        <v>601.24987974999988</v>
      </c>
      <c r="Z4" s="112">
        <f t="shared" ref="Z4:Z5" si="11">M4+N4+O4+V4+T4+W4+X4+Y4</f>
        <v>3801.249279749999</v>
      </c>
      <c r="AA4" s="112"/>
      <c r="AB4" s="112">
        <f t="shared" ref="AB4:AB5" si="12">L4-Z4+AA4+M4+Y4</f>
        <v>21198.750720250002</v>
      </c>
    </row>
    <row r="5" spans="1:28" x14ac:dyDescent="0.25">
      <c r="A5" s="111" t="s">
        <v>164</v>
      </c>
      <c r="B5" s="128" t="s">
        <v>165</v>
      </c>
      <c r="C5" s="110">
        <v>46113</v>
      </c>
      <c r="D5" s="111">
        <v>41667</v>
      </c>
      <c r="E5" s="111">
        <v>30</v>
      </c>
      <c r="F5" s="61">
        <f>E5-G5</f>
        <v>30</v>
      </c>
      <c r="G5" s="101">
        <v>0</v>
      </c>
      <c r="H5" s="112">
        <f t="shared" si="0"/>
        <v>20833.495833299996</v>
      </c>
      <c r="I5" s="112">
        <f t="shared" si="1"/>
        <v>10416.747916649998</v>
      </c>
      <c r="J5" s="112">
        <f t="shared" si="2"/>
        <v>1600</v>
      </c>
      <c r="K5" s="112">
        <f t="shared" si="3"/>
        <v>6014.7562500500062</v>
      </c>
      <c r="L5" s="112">
        <f t="shared" si="4"/>
        <v>38865</v>
      </c>
      <c r="M5" s="112">
        <f t="shared" si="5"/>
        <v>1800</v>
      </c>
      <c r="N5" s="112">
        <f t="shared" si="6"/>
        <v>0</v>
      </c>
      <c r="O5" s="112">
        <v>200</v>
      </c>
      <c r="P5" s="112">
        <v>0</v>
      </c>
      <c r="Q5" s="112"/>
      <c r="R5" s="112">
        <v>0</v>
      </c>
      <c r="S5" s="112">
        <f t="shared" si="7"/>
        <v>38865</v>
      </c>
      <c r="T5" s="112">
        <v>0</v>
      </c>
      <c r="U5" s="112">
        <f t="shared" si="8"/>
        <v>0</v>
      </c>
      <c r="V5" s="112"/>
      <c r="W5" s="112">
        <f t="shared" si="9"/>
        <v>1800</v>
      </c>
      <c r="X5" s="112">
        <f t="shared" si="10"/>
        <v>0</v>
      </c>
      <c r="Y5" s="112">
        <v>1002</v>
      </c>
      <c r="Z5" s="112">
        <f t="shared" si="11"/>
        <v>4802</v>
      </c>
      <c r="AA5" s="112"/>
      <c r="AB5" s="112">
        <f t="shared" si="12"/>
        <v>36865</v>
      </c>
    </row>
    <row r="6" spans="1:28" x14ac:dyDescent="0.25">
      <c r="A6" s="111" t="s">
        <v>172</v>
      </c>
      <c r="B6" s="128" t="s">
        <v>173</v>
      </c>
      <c r="C6" s="110">
        <v>46114</v>
      </c>
      <c r="D6" s="61">
        <v>34982</v>
      </c>
      <c r="E6" s="111">
        <v>30</v>
      </c>
      <c r="F6" s="61">
        <f>E6-G6</f>
        <v>30</v>
      </c>
      <c r="G6" s="61">
        <v>0</v>
      </c>
      <c r="H6" s="112">
        <f t="shared" ref="H6" si="13">(+D6*49.99999%)/E6*F6</f>
        <v>17490.996501799997</v>
      </c>
      <c r="I6" s="112">
        <f t="shared" si="1"/>
        <v>8745.4982508999983</v>
      </c>
      <c r="J6" s="112">
        <f t="shared" ref="J6" si="14">(1600/E6)*F6</f>
        <v>1600</v>
      </c>
      <c r="K6" s="112">
        <f t="shared" ref="K6" si="15">(L6-H6-I6-J6)</f>
        <v>4521.5052473000051</v>
      </c>
      <c r="L6" s="112">
        <f t="shared" ref="L6" si="16">(D6-W6)/E6*F6-Y6</f>
        <v>32358</v>
      </c>
      <c r="M6" s="112">
        <f t="shared" si="5"/>
        <v>1800</v>
      </c>
      <c r="N6" s="112">
        <f t="shared" ref="N6" si="17">IF(L6&lt;=21000,L6*0.75%,0)</f>
        <v>0</v>
      </c>
      <c r="O6" s="112">
        <v>200</v>
      </c>
      <c r="P6" s="112">
        <v>0</v>
      </c>
      <c r="Q6" s="112"/>
      <c r="R6" s="112">
        <v>0</v>
      </c>
      <c r="S6" s="112">
        <f t="shared" ref="S6" si="18">L6+P6+Q6+R6</f>
        <v>32358</v>
      </c>
      <c r="T6" s="112">
        <v>0</v>
      </c>
      <c r="U6" s="112">
        <f t="shared" ref="U6" si="19">ROUND((L6/E6)*G6,0)</f>
        <v>0</v>
      </c>
      <c r="V6" s="112"/>
      <c r="W6" s="112">
        <f t="shared" si="9"/>
        <v>1800</v>
      </c>
      <c r="X6" s="112">
        <f t="shared" ref="X6" si="20">IF(L6&lt;=21000,L6*3.25%,0)</f>
        <v>0</v>
      </c>
      <c r="Y6" s="112">
        <v>824</v>
      </c>
      <c r="Z6" s="112">
        <f t="shared" ref="Z6" si="21">M6+N6+O6+V6+T6+W6+X6+Y6</f>
        <v>4624</v>
      </c>
      <c r="AA6" s="112"/>
      <c r="AB6" s="112">
        <f t="shared" ref="AB6" si="22">L6-Z6+AA6+M6+Y6</f>
        <v>30358</v>
      </c>
    </row>
    <row r="7" spans="1:28" ht="12.6" thickBot="1" x14ac:dyDescent="0.3">
      <c r="A7" s="111" t="s">
        <v>318</v>
      </c>
      <c r="B7" s="128" t="s">
        <v>317</v>
      </c>
      <c r="C7" s="136">
        <v>46264</v>
      </c>
      <c r="D7" s="112">
        <v>23600</v>
      </c>
      <c r="E7" s="111">
        <v>30</v>
      </c>
      <c r="F7" s="61">
        <f>E7-G7</f>
        <v>30</v>
      </c>
      <c r="G7" s="61">
        <v>0</v>
      </c>
      <c r="H7" s="112">
        <f t="shared" ref="H7" si="23">(+D7*49.99999%)/E7*F7</f>
        <v>11799.997639999998</v>
      </c>
      <c r="I7" s="112">
        <f t="shared" ref="I7" si="24">(H7*50%)</f>
        <v>5899.9988199999989</v>
      </c>
      <c r="J7" s="112">
        <f t="shared" ref="J7" si="25">(1600/E7)*F7</f>
        <v>1600</v>
      </c>
      <c r="K7" s="112">
        <f t="shared" ref="K7" si="26">(L7-H7-I7-J7)</f>
        <v>2059.0038232000024</v>
      </c>
      <c r="L7" s="112">
        <f t="shared" ref="L7" si="27">(D7-W7)/E7*F7-Y7</f>
        <v>21359.000283199999</v>
      </c>
      <c r="M7" s="112">
        <f t="shared" si="5"/>
        <v>1415.9997167999998</v>
      </c>
      <c r="N7" s="112">
        <f t="shared" ref="N7" si="28">IF(L7&lt;=21000,L7*0.75%,0)</f>
        <v>0</v>
      </c>
      <c r="O7" s="112">
        <v>200</v>
      </c>
      <c r="P7" s="112">
        <v>0</v>
      </c>
      <c r="Q7" s="112"/>
      <c r="R7" s="112">
        <v>0</v>
      </c>
      <c r="S7" s="112">
        <f t="shared" ref="S7" si="29">L7+P7+Q7+R7</f>
        <v>21359.000283199999</v>
      </c>
      <c r="T7" s="112">
        <v>0</v>
      </c>
      <c r="U7" s="112">
        <f t="shared" ref="U7" si="30">ROUND((L7/E7)*G7,0)</f>
        <v>0</v>
      </c>
      <c r="V7" s="112"/>
      <c r="W7" s="112">
        <f t="shared" si="9"/>
        <v>1415.9997167999998</v>
      </c>
      <c r="X7" s="112">
        <f t="shared" ref="X7" si="31">IF(L7&lt;=21000,L7*3.25%,0)</f>
        <v>0</v>
      </c>
      <c r="Y7" s="112">
        <v>825</v>
      </c>
      <c r="Z7" s="112">
        <f t="shared" ref="Z7" si="32">M7+N7+O7+V7+T7+W7+X7+Y7</f>
        <v>3856.9994335999995</v>
      </c>
      <c r="AA7" s="112"/>
      <c r="AB7" s="146">
        <f t="shared" ref="AB7" si="33">L7-Z7+AA7+M7+Y7</f>
        <v>19743.000566400002</v>
      </c>
    </row>
    <row r="8" spans="1:28" ht="14.4" customHeight="1" thickBot="1" x14ac:dyDescent="0.35">
      <c r="L8" s="63" t="s">
        <v>28</v>
      </c>
      <c r="AB8" s="147">
        <f>SUM(AB2:AB7)</f>
        <v>221871.60939063851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5"/>
  <sheetViews>
    <sheetView workbookViewId="0">
      <selection activeCell="C27" sqref="C27"/>
    </sheetView>
  </sheetViews>
  <sheetFormatPr defaultColWidth="8.88671875" defaultRowHeight="12" x14ac:dyDescent="0.25"/>
  <cols>
    <col min="1" max="1" width="11.21875" style="63" bestFit="1" customWidth="1"/>
    <col min="2" max="2" width="26.77734375" style="63" bestFit="1" customWidth="1"/>
    <col min="3" max="3" width="9.21875" style="63" bestFit="1" customWidth="1"/>
    <col min="4" max="4" width="6.77734375" style="63" bestFit="1" customWidth="1"/>
    <col min="5" max="5" width="6.88671875" style="63" bestFit="1" customWidth="1"/>
    <col min="6" max="6" width="4" style="63" bestFit="1" customWidth="1"/>
    <col min="7" max="7" width="5.109375" style="63" bestFit="1" customWidth="1"/>
    <col min="8" max="8" width="7.33203125" style="63" bestFit="1" customWidth="1"/>
    <col min="9" max="9" width="6.88671875" style="63" bestFit="1" customWidth="1"/>
    <col min="10" max="16384" width="8.88671875" style="63"/>
  </cols>
  <sheetData>
    <row r="1" spans="1:9" x14ac:dyDescent="0.25">
      <c r="A1" s="69" t="s">
        <v>1</v>
      </c>
      <c r="B1" s="69" t="s">
        <v>0</v>
      </c>
      <c r="C1" s="69" t="s">
        <v>21</v>
      </c>
      <c r="D1" s="69" t="s">
        <v>25</v>
      </c>
      <c r="E1" s="69" t="s">
        <v>53</v>
      </c>
      <c r="F1" s="69" t="s">
        <v>13</v>
      </c>
      <c r="G1" s="69" t="s">
        <v>40</v>
      </c>
      <c r="H1" s="69" t="s">
        <v>41</v>
      </c>
      <c r="I1" s="69" t="s">
        <v>123</v>
      </c>
    </row>
    <row r="2" spans="1:9" x14ac:dyDescent="0.25">
      <c r="A2" s="65" t="s">
        <v>36</v>
      </c>
      <c r="B2" s="125" t="s">
        <v>52</v>
      </c>
      <c r="C2" s="114">
        <v>46055</v>
      </c>
      <c r="D2" s="113">
        <v>80000</v>
      </c>
      <c r="E2" s="113">
        <v>80000</v>
      </c>
      <c r="F2" s="113">
        <v>0</v>
      </c>
      <c r="G2" s="113">
        <v>200</v>
      </c>
      <c r="H2" s="115">
        <f t="shared" ref="H2:H4" si="0">E2-G2</f>
        <v>79800</v>
      </c>
      <c r="I2" s="115"/>
    </row>
    <row r="3" spans="1:9" x14ac:dyDescent="0.25">
      <c r="A3" s="65" t="s">
        <v>35</v>
      </c>
      <c r="B3" s="126" t="s">
        <v>38</v>
      </c>
      <c r="C3" s="114">
        <v>46055</v>
      </c>
      <c r="D3" s="113">
        <v>70000</v>
      </c>
      <c r="E3" s="113">
        <v>70000</v>
      </c>
      <c r="F3" s="113">
        <v>0</v>
      </c>
      <c r="G3" s="113">
        <v>200</v>
      </c>
      <c r="H3" s="115">
        <f t="shared" si="0"/>
        <v>69800</v>
      </c>
      <c r="I3" s="115"/>
    </row>
    <row r="4" spans="1:9" x14ac:dyDescent="0.25">
      <c r="A4" s="65" t="s">
        <v>37</v>
      </c>
      <c r="B4" s="126" t="s">
        <v>39</v>
      </c>
      <c r="C4" s="114">
        <v>46072</v>
      </c>
      <c r="D4" s="113">
        <v>80000</v>
      </c>
      <c r="E4" s="113">
        <v>80000</v>
      </c>
      <c r="F4" s="113">
        <v>0</v>
      </c>
      <c r="G4" s="113">
        <v>200</v>
      </c>
      <c r="H4" s="115">
        <f t="shared" si="0"/>
        <v>79800</v>
      </c>
      <c r="I4" s="115"/>
    </row>
    <row r="5" spans="1:9" x14ac:dyDescent="0.25">
      <c r="G5" s="73" t="s">
        <v>28</v>
      </c>
      <c r="H5" s="116">
        <f>SUM(H2:H4)</f>
        <v>229400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26"/>
  <sheetViews>
    <sheetView zoomScale="90" zoomScaleNormal="9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X29" sqref="X29"/>
    </sheetView>
  </sheetViews>
  <sheetFormatPr defaultColWidth="8.77734375" defaultRowHeight="12" x14ac:dyDescent="0.3"/>
  <cols>
    <col min="1" max="1" width="3.88671875" style="57" customWidth="1"/>
    <col min="2" max="2" width="9.44140625" style="57" bestFit="1" customWidth="1"/>
    <col min="3" max="3" width="24.77734375" style="57" bestFit="1" customWidth="1"/>
    <col min="4" max="4" width="8.77734375" style="57" bestFit="1" customWidth="1"/>
    <col min="5" max="5" width="5.77734375" style="57" bestFit="1" customWidth="1"/>
    <col min="6" max="6" width="6.88671875" style="57" customWidth="1"/>
    <col min="7" max="7" width="4.109375" style="57" bestFit="1" customWidth="1"/>
    <col min="8" max="8" width="3.77734375" style="57" bestFit="1" customWidth="1"/>
    <col min="9" max="10" width="4.88671875" style="57" bestFit="1" customWidth="1"/>
    <col min="11" max="12" width="7.88671875" style="57" bestFit="1" customWidth="1"/>
    <col min="13" max="13" width="6" style="57" bestFit="1" customWidth="1"/>
    <col min="14" max="15" width="7.6640625" style="57" bestFit="1" customWidth="1"/>
    <col min="16" max="16" width="9.21875" style="57" bestFit="1" customWidth="1"/>
    <col min="17" max="17" width="5.77734375" style="57" bestFit="1" customWidth="1"/>
    <col min="18" max="18" width="12.33203125" style="57" bestFit="1" customWidth="1"/>
    <col min="19" max="19" width="6.33203125" style="57" bestFit="1" customWidth="1"/>
    <col min="20" max="20" width="6.6640625" style="57" bestFit="1" customWidth="1"/>
    <col min="21" max="21" width="3.44140625" style="57" bestFit="1" customWidth="1"/>
    <col min="22" max="22" width="5.5546875" style="57" customWidth="1"/>
    <col min="23" max="23" width="7.44140625" style="57" customWidth="1"/>
    <col min="24" max="25" width="7.33203125" style="57" bestFit="1" customWidth="1"/>
    <col min="26" max="26" width="6.33203125" style="57" bestFit="1" customWidth="1"/>
    <col min="27" max="27" width="7.88671875" style="57" bestFit="1" customWidth="1"/>
    <col min="28" max="28" width="10.77734375" style="57" bestFit="1" customWidth="1"/>
    <col min="29" max="16384" width="8.77734375" style="57"/>
  </cols>
  <sheetData>
    <row r="1" spans="1:29" ht="36" x14ac:dyDescent="0.3">
      <c r="B1" s="55" t="s">
        <v>1</v>
      </c>
      <c r="C1" s="55" t="s">
        <v>0</v>
      </c>
      <c r="D1" s="55" t="s">
        <v>21</v>
      </c>
      <c r="E1" s="55" t="s">
        <v>25</v>
      </c>
      <c r="F1" s="70" t="s">
        <v>22</v>
      </c>
      <c r="G1" s="69" t="s">
        <v>23</v>
      </c>
      <c r="H1" s="69" t="s">
        <v>24</v>
      </c>
      <c r="I1" s="55" t="s">
        <v>2</v>
      </c>
      <c r="J1" s="55" t="s">
        <v>3</v>
      </c>
      <c r="K1" s="69" t="s">
        <v>4</v>
      </c>
      <c r="L1" s="69" t="s">
        <v>5</v>
      </c>
      <c r="M1" s="69" t="s">
        <v>54</v>
      </c>
      <c r="N1" s="69" t="s">
        <v>10</v>
      </c>
      <c r="O1" s="69" t="s">
        <v>11</v>
      </c>
      <c r="P1" s="69" t="s">
        <v>12</v>
      </c>
      <c r="Q1" s="56" t="s">
        <v>6</v>
      </c>
      <c r="R1" s="56" t="s">
        <v>7</v>
      </c>
      <c r="S1" s="70" t="s">
        <v>257</v>
      </c>
      <c r="T1" s="70" t="s">
        <v>9</v>
      </c>
      <c r="U1" s="55" t="s">
        <v>13</v>
      </c>
      <c r="V1" s="69" t="s">
        <v>14</v>
      </c>
      <c r="W1" s="69" t="s">
        <v>15</v>
      </c>
      <c r="X1" s="69" t="s">
        <v>18</v>
      </c>
      <c r="Y1" s="69" t="s">
        <v>19</v>
      </c>
      <c r="Z1" s="69" t="s">
        <v>20</v>
      </c>
      <c r="AA1" s="69" t="s">
        <v>16</v>
      </c>
      <c r="AB1" s="69" t="s">
        <v>17</v>
      </c>
    </row>
    <row r="2" spans="1:29" x14ac:dyDescent="0.25">
      <c r="A2" s="57">
        <v>1</v>
      </c>
      <c r="B2" s="58" t="s">
        <v>60</v>
      </c>
      <c r="C2" s="121" t="s">
        <v>61</v>
      </c>
      <c r="D2" s="59">
        <v>46083</v>
      </c>
      <c r="E2" s="60">
        <v>35000</v>
      </c>
      <c r="F2" s="61">
        <v>30</v>
      </c>
      <c r="G2" s="61">
        <f>F2-H2</f>
        <v>29</v>
      </c>
      <c r="H2" s="61">
        <v>1</v>
      </c>
      <c r="I2" s="62">
        <f>(+E2*49.99999%)/F2*G2</f>
        <v>16916.663283333331</v>
      </c>
      <c r="J2" s="62">
        <f>(I2*50%)</f>
        <v>8458.3316416666657</v>
      </c>
      <c r="K2" s="62">
        <f>(1600/F2)*G2</f>
        <v>1546.6666666666667</v>
      </c>
      <c r="L2" s="62">
        <f>(M2-I2-J2-K2)</f>
        <v>4357.9802377383376</v>
      </c>
      <c r="M2" s="62">
        <f>(E2-X2)/F2*G2-Z2</f>
        <v>31279.641829405002</v>
      </c>
      <c r="N2" s="62">
        <f>IF($I2*0.12&gt;1800,1800,$I2*0.12)</f>
        <v>1800</v>
      </c>
      <c r="O2" s="62">
        <f>IF(M2&lt;=21000,M2*0.75%,0)</f>
        <v>0</v>
      </c>
      <c r="P2" s="62">
        <v>200</v>
      </c>
      <c r="Q2" s="62">
        <v>0</v>
      </c>
      <c r="R2" s="62">
        <v>0</v>
      </c>
      <c r="S2" s="62">
        <v>0</v>
      </c>
      <c r="T2" s="62">
        <f>M2+Q2+R2+S2</f>
        <v>31279.641829405002</v>
      </c>
      <c r="U2" s="62">
        <v>0</v>
      </c>
      <c r="V2" s="63">
        <v>0</v>
      </c>
      <c r="W2" s="62">
        <v>0</v>
      </c>
      <c r="X2" s="62">
        <f>IF($I2*0.12&gt;1800,1800,$I2*0.12)</f>
        <v>1800</v>
      </c>
      <c r="Y2" s="62">
        <f>IF(M2&lt;=21000,M2*3.25%,0)</f>
        <v>0</v>
      </c>
      <c r="Z2" s="62">
        <f>I2*4.81%</f>
        <v>813.69150392833319</v>
      </c>
      <c r="AA2" s="62">
        <f>N2+O2+P2+V2+W2+U2+X2+Y2+Z2</f>
        <v>4613.6915039283331</v>
      </c>
      <c r="AB2" s="62">
        <f>M2-AA2+Z2+X2</f>
        <v>29279.641829405002</v>
      </c>
    </row>
    <row r="3" spans="1:29" x14ac:dyDescent="0.25">
      <c r="A3" s="57">
        <v>2</v>
      </c>
      <c r="B3" s="58" t="s">
        <v>56</v>
      </c>
      <c r="C3" s="121" t="s">
        <v>57</v>
      </c>
      <c r="D3" s="59">
        <v>46083</v>
      </c>
      <c r="E3" s="60">
        <v>45000</v>
      </c>
      <c r="F3" s="61">
        <v>30</v>
      </c>
      <c r="G3" s="61">
        <f t="shared" ref="G3:G23" si="0">F3-H3</f>
        <v>29</v>
      </c>
      <c r="H3" s="61">
        <v>1</v>
      </c>
      <c r="I3" s="62">
        <f t="shared" ref="I3:I21" si="1">(+E3*49.99999%)/F3*G3</f>
        <v>21749.995649999997</v>
      </c>
      <c r="J3" s="62">
        <f t="shared" ref="J3:J21" si="2">(I3*50%)</f>
        <v>10874.997824999999</v>
      </c>
      <c r="K3" s="62">
        <f t="shared" ref="K3:K21" si="3">(1600/F3)*G3</f>
        <v>1546.6666666666667</v>
      </c>
      <c r="L3" s="62">
        <f t="shared" ref="L3:L21" si="4">(M3-I3-J3-K3)</f>
        <v>6542.1650675683386</v>
      </c>
      <c r="M3" s="62">
        <f t="shared" ref="M3:M21" si="5">(E3-X3)/F3*G3-Z3</f>
        <v>40713.825209235001</v>
      </c>
      <c r="N3" s="62">
        <f t="shared" ref="N3:N21" si="6">IF($I3*0.12&gt;1800,1800,$I3*0.12)</f>
        <v>1800</v>
      </c>
      <c r="O3" s="62">
        <f>IF(M3&lt;=21000,M3*0.75%,0)</f>
        <v>0</v>
      </c>
      <c r="P3" s="62">
        <v>200</v>
      </c>
      <c r="Q3" s="62">
        <v>0</v>
      </c>
      <c r="R3" s="62">
        <v>0</v>
      </c>
      <c r="S3" s="62">
        <v>0</v>
      </c>
      <c r="T3" s="62">
        <f t="shared" ref="T3:T21" si="7">M3+Q3+R3+S3</f>
        <v>40713.825209235001</v>
      </c>
      <c r="U3" s="62">
        <v>0</v>
      </c>
      <c r="V3" s="63">
        <v>0</v>
      </c>
      <c r="W3" s="62">
        <v>0</v>
      </c>
      <c r="X3" s="62">
        <f t="shared" ref="X3:X21" si="8">IF($I3*0.12&gt;1800,1800,$I3*0.12)</f>
        <v>1800</v>
      </c>
      <c r="Y3" s="62">
        <f>IF(M3&lt;=21000,M3*3.25%,0)</f>
        <v>0</v>
      </c>
      <c r="Z3" s="62">
        <f t="shared" ref="Z3:Z21" si="9">I3*4.81%</f>
        <v>1046.1747907649999</v>
      </c>
      <c r="AA3" s="62">
        <f>N3+O3+P3+W3+U3+X3+Y3+Z3</f>
        <v>4846.1747907649997</v>
      </c>
      <c r="AB3" s="62">
        <f>M3-AA3+Z3+X3+Y3</f>
        <v>38713.825209235001</v>
      </c>
    </row>
    <row r="4" spans="1:29" x14ac:dyDescent="0.25">
      <c r="A4" s="57">
        <v>3</v>
      </c>
      <c r="B4" s="58" t="s">
        <v>62</v>
      </c>
      <c r="C4" s="121" t="s">
        <v>63</v>
      </c>
      <c r="D4" s="59">
        <v>46083</v>
      </c>
      <c r="E4" s="60">
        <v>23000</v>
      </c>
      <c r="F4" s="61">
        <v>30</v>
      </c>
      <c r="G4" s="61">
        <f t="shared" si="0"/>
        <v>29</v>
      </c>
      <c r="H4" s="61">
        <v>1</v>
      </c>
      <c r="I4" s="62">
        <f t="shared" si="1"/>
        <v>11116.664443333331</v>
      </c>
      <c r="J4" s="62">
        <f t="shared" si="2"/>
        <v>5558.3322216666656</v>
      </c>
      <c r="K4" s="62">
        <f t="shared" si="3"/>
        <v>1546.6666666666667</v>
      </c>
      <c r="L4" s="62">
        <f t="shared" si="4"/>
        <v>2187.4253665156712</v>
      </c>
      <c r="M4" s="62">
        <f t="shared" si="5"/>
        <v>20409.088698182335</v>
      </c>
      <c r="N4" s="62">
        <f t="shared" si="6"/>
        <v>1333.9997331999998</v>
      </c>
      <c r="O4" s="62">
        <v>0</v>
      </c>
      <c r="P4" s="62">
        <v>200</v>
      </c>
      <c r="Q4" s="62">
        <v>0</v>
      </c>
      <c r="R4" s="62">
        <v>0</v>
      </c>
      <c r="S4" s="62">
        <v>0</v>
      </c>
      <c r="T4" s="62">
        <f t="shared" si="7"/>
        <v>20409.088698182335</v>
      </c>
      <c r="U4" s="62">
        <v>0</v>
      </c>
      <c r="V4" s="63">
        <v>0</v>
      </c>
      <c r="W4" s="62">
        <v>0</v>
      </c>
      <c r="X4" s="62">
        <f t="shared" si="8"/>
        <v>1333.9997331999998</v>
      </c>
      <c r="Y4" s="62">
        <v>0</v>
      </c>
      <c r="Z4" s="62">
        <f t="shared" si="9"/>
        <v>534.71155972433326</v>
      </c>
      <c r="AA4" s="62">
        <f t="shared" ref="AA4:AA21" si="10">N4+O4+P4+V4+W4+U4+X4+Y4+Z4</f>
        <v>3402.7110261243329</v>
      </c>
      <c r="AB4" s="62">
        <f t="shared" ref="AB4:AB21" si="11">M4-AA4+Z4+X4</f>
        <v>18875.088964982333</v>
      </c>
    </row>
    <row r="5" spans="1:29" x14ac:dyDescent="0.25">
      <c r="A5" s="57">
        <v>4</v>
      </c>
      <c r="B5" s="58" t="s">
        <v>78</v>
      </c>
      <c r="C5" s="121" t="s">
        <v>79</v>
      </c>
      <c r="D5" s="59">
        <v>46083</v>
      </c>
      <c r="E5" s="60">
        <v>35000</v>
      </c>
      <c r="F5" s="61">
        <v>30</v>
      </c>
      <c r="G5" s="61">
        <f t="shared" si="0"/>
        <v>30</v>
      </c>
      <c r="H5" s="61">
        <v>0</v>
      </c>
      <c r="I5" s="62">
        <f t="shared" si="1"/>
        <v>17499.996499999997</v>
      </c>
      <c r="J5" s="62">
        <f t="shared" si="2"/>
        <v>8749.9982499999987</v>
      </c>
      <c r="K5" s="62">
        <f t="shared" si="3"/>
        <v>1600</v>
      </c>
      <c r="L5" s="62">
        <f t="shared" si="4"/>
        <v>4508.2554183500051</v>
      </c>
      <c r="M5" s="62">
        <f t="shared" si="5"/>
        <v>32358.250168350001</v>
      </c>
      <c r="N5" s="62">
        <f t="shared" si="6"/>
        <v>1800</v>
      </c>
      <c r="O5" s="62">
        <f>IF(M5&lt;=21000,M5*0.75%,0)</f>
        <v>0</v>
      </c>
      <c r="P5" s="62">
        <v>200</v>
      </c>
      <c r="Q5" s="62">
        <v>0</v>
      </c>
      <c r="R5" s="62">
        <v>0</v>
      </c>
      <c r="S5" s="62">
        <v>0</v>
      </c>
      <c r="T5" s="62">
        <f t="shared" si="7"/>
        <v>32358.250168350001</v>
      </c>
      <c r="U5" s="62">
        <v>0</v>
      </c>
      <c r="V5" s="63">
        <v>0</v>
      </c>
      <c r="W5" s="62">
        <v>0</v>
      </c>
      <c r="X5" s="62">
        <f t="shared" si="8"/>
        <v>1800</v>
      </c>
      <c r="Y5" s="62">
        <f>IF(M5&lt;=21000,M5*3.25%,0)</f>
        <v>0</v>
      </c>
      <c r="Z5" s="62">
        <f t="shared" si="9"/>
        <v>841.74983164999981</v>
      </c>
      <c r="AA5" s="62">
        <f t="shared" si="10"/>
        <v>4641.7498316499996</v>
      </c>
      <c r="AB5" s="62">
        <f t="shared" si="11"/>
        <v>30358.250168350001</v>
      </c>
    </row>
    <row r="6" spans="1:29" x14ac:dyDescent="0.25">
      <c r="A6" s="57">
        <v>5</v>
      </c>
      <c r="B6" s="58" t="s">
        <v>88</v>
      </c>
      <c r="C6" s="121" t="s">
        <v>89</v>
      </c>
      <c r="D6" s="59">
        <v>46083</v>
      </c>
      <c r="E6" s="60">
        <v>17000</v>
      </c>
      <c r="F6" s="61">
        <v>30</v>
      </c>
      <c r="G6" s="61">
        <f t="shared" si="0"/>
        <v>30</v>
      </c>
      <c r="H6" s="61">
        <v>0</v>
      </c>
      <c r="I6" s="62">
        <f t="shared" si="1"/>
        <v>8499.9982999999993</v>
      </c>
      <c r="J6" s="62">
        <f t="shared" si="2"/>
        <v>4249.9991499999996</v>
      </c>
      <c r="K6" s="62">
        <f t="shared" si="3"/>
        <v>1600</v>
      </c>
      <c r="L6" s="62">
        <f t="shared" si="4"/>
        <v>1221.1528357700008</v>
      </c>
      <c r="M6" s="62">
        <f t="shared" si="5"/>
        <v>15571.15028577</v>
      </c>
      <c r="N6" s="62">
        <f t="shared" si="6"/>
        <v>1019.9997959999998</v>
      </c>
      <c r="O6" s="62">
        <v>0</v>
      </c>
      <c r="P6" s="62">
        <v>200</v>
      </c>
      <c r="Q6" s="62">
        <v>0</v>
      </c>
      <c r="R6" s="62">
        <v>0</v>
      </c>
      <c r="S6" s="62">
        <v>0</v>
      </c>
      <c r="T6" s="62">
        <f t="shared" si="7"/>
        <v>15571.15028577</v>
      </c>
      <c r="U6" s="62">
        <v>0</v>
      </c>
      <c r="V6" s="63">
        <v>0</v>
      </c>
      <c r="W6" s="62">
        <v>0</v>
      </c>
      <c r="X6" s="62">
        <f t="shared" si="8"/>
        <v>1019.9997959999998</v>
      </c>
      <c r="Y6" s="62">
        <v>0</v>
      </c>
      <c r="Z6" s="62">
        <f t="shared" si="9"/>
        <v>408.84991822999996</v>
      </c>
      <c r="AA6" s="62">
        <f t="shared" si="10"/>
        <v>2648.8495102299994</v>
      </c>
      <c r="AB6" s="62">
        <f t="shared" si="11"/>
        <v>14351.15048977</v>
      </c>
      <c r="AC6" s="76"/>
    </row>
    <row r="7" spans="1:29" x14ac:dyDescent="0.25">
      <c r="A7" s="57">
        <v>6</v>
      </c>
      <c r="B7" s="58" t="s">
        <v>92</v>
      </c>
      <c r="C7" s="121" t="s">
        <v>93</v>
      </c>
      <c r="D7" s="59">
        <v>46083</v>
      </c>
      <c r="E7" s="60">
        <v>50000</v>
      </c>
      <c r="F7" s="61">
        <v>30</v>
      </c>
      <c r="G7" s="61">
        <f t="shared" si="0"/>
        <v>30</v>
      </c>
      <c r="H7" s="61">
        <v>0</v>
      </c>
      <c r="I7" s="62">
        <f t="shared" si="1"/>
        <v>24999.994999999995</v>
      </c>
      <c r="J7" s="62">
        <f t="shared" si="2"/>
        <v>12499.997499999998</v>
      </c>
      <c r="K7" s="62">
        <f t="shared" si="3"/>
        <v>1600</v>
      </c>
      <c r="L7" s="62">
        <f t="shared" si="4"/>
        <v>7897.5077405000047</v>
      </c>
      <c r="M7" s="62">
        <f t="shared" si="5"/>
        <v>46997.500240499998</v>
      </c>
      <c r="N7" s="62">
        <f t="shared" si="6"/>
        <v>1800</v>
      </c>
      <c r="O7" s="62">
        <f>IF(M7&lt;=21000,M7*0.75%,0)</f>
        <v>0</v>
      </c>
      <c r="P7" s="62">
        <v>200</v>
      </c>
      <c r="Q7" s="62">
        <v>0</v>
      </c>
      <c r="R7" s="62">
        <v>0</v>
      </c>
      <c r="S7" s="62">
        <v>0</v>
      </c>
      <c r="T7" s="62">
        <f t="shared" si="7"/>
        <v>46997.500240499998</v>
      </c>
      <c r="U7" s="62">
        <v>0</v>
      </c>
      <c r="V7" s="63">
        <v>0</v>
      </c>
      <c r="W7" s="62">
        <v>0</v>
      </c>
      <c r="X7" s="62">
        <f t="shared" si="8"/>
        <v>1800</v>
      </c>
      <c r="Y7" s="62">
        <f>IF(M7&lt;=21000,M7*3.25%,0)</f>
        <v>0</v>
      </c>
      <c r="Z7" s="62">
        <f t="shared" si="9"/>
        <v>1202.4997594999998</v>
      </c>
      <c r="AA7" s="62">
        <f t="shared" si="10"/>
        <v>5002.4997594999995</v>
      </c>
      <c r="AB7" s="62">
        <f t="shared" si="11"/>
        <v>44997.500240499998</v>
      </c>
      <c r="AC7" s="76"/>
    </row>
    <row r="8" spans="1:29" x14ac:dyDescent="0.25">
      <c r="A8" s="57">
        <v>7</v>
      </c>
      <c r="B8" s="64" t="s">
        <v>140</v>
      </c>
      <c r="C8" s="122" t="s">
        <v>141</v>
      </c>
      <c r="D8" s="59">
        <v>46113</v>
      </c>
      <c r="E8" s="60">
        <v>23000</v>
      </c>
      <c r="F8" s="61">
        <v>30</v>
      </c>
      <c r="G8" s="61">
        <f t="shared" si="0"/>
        <v>30</v>
      </c>
      <c r="H8" s="61">
        <v>0</v>
      </c>
      <c r="I8" s="62">
        <f t="shared" si="1"/>
        <v>11499.997699999998</v>
      </c>
      <c r="J8" s="62">
        <f t="shared" si="2"/>
        <v>5749.998849999999</v>
      </c>
      <c r="K8" s="62">
        <f t="shared" si="3"/>
        <v>1600</v>
      </c>
      <c r="L8" s="62">
        <f t="shared" si="4"/>
        <v>2216.8538366300008</v>
      </c>
      <c r="M8" s="62">
        <f t="shared" si="5"/>
        <v>21066.850386629998</v>
      </c>
      <c r="N8" s="62">
        <f t="shared" si="6"/>
        <v>1379.9997239999998</v>
      </c>
      <c r="O8" s="62">
        <f>IF(M8&lt;=21000,M8*0.75%,0)</f>
        <v>0</v>
      </c>
      <c r="P8" s="62">
        <v>200</v>
      </c>
      <c r="Q8" s="62">
        <v>0</v>
      </c>
      <c r="R8" s="62">
        <v>0</v>
      </c>
      <c r="S8" s="62">
        <v>0</v>
      </c>
      <c r="T8" s="62">
        <f t="shared" si="7"/>
        <v>21066.850386629998</v>
      </c>
      <c r="U8" s="62">
        <v>0</v>
      </c>
      <c r="V8" s="63">
        <v>0</v>
      </c>
      <c r="W8" s="62">
        <v>0</v>
      </c>
      <c r="X8" s="62">
        <f t="shared" si="8"/>
        <v>1379.9997239999998</v>
      </c>
      <c r="Y8" s="62">
        <f>IF(M8&lt;=21000,M8*3.25%,0)</f>
        <v>0</v>
      </c>
      <c r="Z8" s="62">
        <f t="shared" si="9"/>
        <v>553.14988936999987</v>
      </c>
      <c r="AA8" s="62">
        <f t="shared" si="10"/>
        <v>3513.1493373699996</v>
      </c>
      <c r="AB8" s="62">
        <f t="shared" si="11"/>
        <v>19486.85066263</v>
      </c>
      <c r="AC8" s="76"/>
    </row>
    <row r="9" spans="1:29" ht="24" x14ac:dyDescent="0.25">
      <c r="A9" s="57">
        <v>8</v>
      </c>
      <c r="B9" s="64" t="s">
        <v>146</v>
      </c>
      <c r="C9" s="122" t="s">
        <v>147</v>
      </c>
      <c r="D9" s="59">
        <v>46114</v>
      </c>
      <c r="E9" s="61">
        <v>23000</v>
      </c>
      <c r="F9" s="61">
        <v>30</v>
      </c>
      <c r="G9" s="61">
        <f t="shared" si="0"/>
        <v>30</v>
      </c>
      <c r="H9" s="61">
        <v>0</v>
      </c>
      <c r="I9" s="62">
        <f t="shared" si="1"/>
        <v>11499.997699999998</v>
      </c>
      <c r="J9" s="62">
        <f t="shared" si="2"/>
        <v>5749.998849999999</v>
      </c>
      <c r="K9" s="62">
        <f t="shared" si="3"/>
        <v>1600</v>
      </c>
      <c r="L9" s="62">
        <f t="shared" si="4"/>
        <v>2216.8538366300008</v>
      </c>
      <c r="M9" s="62">
        <f t="shared" si="5"/>
        <v>21066.850386629998</v>
      </c>
      <c r="N9" s="62">
        <f t="shared" si="6"/>
        <v>1379.9997239999998</v>
      </c>
      <c r="O9" s="62">
        <v>0</v>
      </c>
      <c r="P9" s="62">
        <v>200</v>
      </c>
      <c r="Q9" s="62">
        <v>0</v>
      </c>
      <c r="R9" s="62">
        <v>0</v>
      </c>
      <c r="S9" s="62">
        <v>0</v>
      </c>
      <c r="T9" s="62">
        <f t="shared" si="7"/>
        <v>21066.850386629998</v>
      </c>
      <c r="U9" s="62">
        <v>0</v>
      </c>
      <c r="V9" s="63">
        <v>0</v>
      </c>
      <c r="W9" s="62">
        <v>0</v>
      </c>
      <c r="X9" s="62">
        <f t="shared" si="8"/>
        <v>1379.9997239999998</v>
      </c>
      <c r="Y9" s="62">
        <v>0</v>
      </c>
      <c r="Z9" s="62">
        <f t="shared" si="9"/>
        <v>553.14988936999987</v>
      </c>
      <c r="AA9" s="62">
        <f t="shared" si="10"/>
        <v>3513.1493373699996</v>
      </c>
      <c r="AB9" s="62">
        <f t="shared" si="11"/>
        <v>19486.85066263</v>
      </c>
    </row>
    <row r="10" spans="1:29" x14ac:dyDescent="0.25">
      <c r="A10" s="57">
        <v>9</v>
      </c>
      <c r="B10" s="64" t="s">
        <v>150</v>
      </c>
      <c r="C10" s="122" t="s">
        <v>151</v>
      </c>
      <c r="D10" s="59">
        <v>46113</v>
      </c>
      <c r="E10" s="61">
        <v>15000</v>
      </c>
      <c r="F10" s="61">
        <v>30</v>
      </c>
      <c r="G10" s="61">
        <f t="shared" si="0"/>
        <v>30</v>
      </c>
      <c r="H10" s="61">
        <v>0</v>
      </c>
      <c r="I10" s="62">
        <f t="shared" si="1"/>
        <v>7499.9984999999988</v>
      </c>
      <c r="J10" s="62">
        <f t="shared" si="2"/>
        <v>3749.9992499999994</v>
      </c>
      <c r="K10" s="62">
        <f t="shared" si="3"/>
        <v>1600</v>
      </c>
      <c r="L10" s="62">
        <f t="shared" si="4"/>
        <v>889.25250215000278</v>
      </c>
      <c r="M10" s="62">
        <f t="shared" si="5"/>
        <v>13739.250252150001</v>
      </c>
      <c r="N10" s="62">
        <f t="shared" si="6"/>
        <v>899.99981999999977</v>
      </c>
      <c r="O10" s="62">
        <v>0</v>
      </c>
      <c r="P10" s="62">
        <v>150</v>
      </c>
      <c r="Q10" s="62">
        <v>0</v>
      </c>
      <c r="R10" s="62">
        <v>0</v>
      </c>
      <c r="S10" s="62">
        <v>0</v>
      </c>
      <c r="T10" s="62">
        <f t="shared" si="7"/>
        <v>13739.250252150001</v>
      </c>
      <c r="U10" s="62">
        <v>0</v>
      </c>
      <c r="V10" s="63">
        <v>0</v>
      </c>
      <c r="W10" s="62">
        <v>0</v>
      </c>
      <c r="X10" s="62">
        <f t="shared" si="8"/>
        <v>899.99981999999977</v>
      </c>
      <c r="Y10" s="62">
        <v>0</v>
      </c>
      <c r="Z10" s="62">
        <f t="shared" si="9"/>
        <v>360.74992784999989</v>
      </c>
      <c r="AA10" s="62">
        <f t="shared" si="10"/>
        <v>2310.7495678499995</v>
      </c>
      <c r="AB10" s="62">
        <f t="shared" si="11"/>
        <v>12689.25043215</v>
      </c>
    </row>
    <row r="11" spans="1:29" x14ac:dyDescent="0.25">
      <c r="A11" s="57">
        <v>10</v>
      </c>
      <c r="B11" s="64" t="s">
        <v>160</v>
      </c>
      <c r="C11" s="134" t="s">
        <v>161</v>
      </c>
      <c r="D11" s="59">
        <v>46113</v>
      </c>
      <c r="E11" s="61">
        <v>45000</v>
      </c>
      <c r="F11" s="61">
        <v>30</v>
      </c>
      <c r="G11" s="61">
        <f t="shared" si="0"/>
        <v>30</v>
      </c>
      <c r="H11" s="61">
        <v>0</v>
      </c>
      <c r="I11" s="62">
        <f t="shared" si="1"/>
        <v>22499.995499999997</v>
      </c>
      <c r="J11" s="62">
        <f t="shared" si="2"/>
        <v>11249.997749999999</v>
      </c>
      <c r="K11" s="62">
        <f t="shared" si="3"/>
        <v>1600</v>
      </c>
      <c r="L11" s="62">
        <f t="shared" si="4"/>
        <v>6767.7569664500079</v>
      </c>
      <c r="M11" s="62">
        <f t="shared" si="5"/>
        <v>42117.750216450004</v>
      </c>
      <c r="N11" s="62">
        <f t="shared" si="6"/>
        <v>1800</v>
      </c>
      <c r="O11" s="62">
        <v>0</v>
      </c>
      <c r="P11" s="62">
        <v>200</v>
      </c>
      <c r="Q11" s="62">
        <v>0</v>
      </c>
      <c r="R11" s="62">
        <v>0</v>
      </c>
      <c r="S11" s="62">
        <v>0</v>
      </c>
      <c r="T11" s="62">
        <f t="shared" si="7"/>
        <v>42117.750216450004</v>
      </c>
      <c r="U11" s="62">
        <v>0</v>
      </c>
      <c r="V11" s="63">
        <v>0</v>
      </c>
      <c r="W11" s="62">
        <v>0</v>
      </c>
      <c r="X11" s="62">
        <f t="shared" si="8"/>
        <v>1800</v>
      </c>
      <c r="Y11" s="62">
        <v>0</v>
      </c>
      <c r="Z11" s="62">
        <f t="shared" si="9"/>
        <v>1082.2497835499998</v>
      </c>
      <c r="AA11" s="62">
        <f t="shared" si="10"/>
        <v>4882.2497835499998</v>
      </c>
      <c r="AB11" s="62">
        <f t="shared" si="11"/>
        <v>40117.750216450004</v>
      </c>
    </row>
    <row r="12" spans="1:29" x14ac:dyDescent="0.25">
      <c r="A12" s="57">
        <v>11</v>
      </c>
      <c r="B12" s="64" t="s">
        <v>162</v>
      </c>
      <c r="C12" s="134" t="s">
        <v>163</v>
      </c>
      <c r="D12" s="59">
        <v>46113</v>
      </c>
      <c r="E12" s="61">
        <v>45000</v>
      </c>
      <c r="F12" s="61">
        <v>30</v>
      </c>
      <c r="G12" s="61">
        <f t="shared" si="0"/>
        <v>30</v>
      </c>
      <c r="H12" s="61">
        <v>0</v>
      </c>
      <c r="I12" s="62">
        <f t="shared" si="1"/>
        <v>22499.995499999997</v>
      </c>
      <c r="J12" s="62">
        <f t="shared" si="2"/>
        <v>11249.997749999999</v>
      </c>
      <c r="K12" s="62">
        <f t="shared" si="3"/>
        <v>1600</v>
      </c>
      <c r="L12" s="62">
        <f t="shared" si="4"/>
        <v>6767.7569664500079</v>
      </c>
      <c r="M12" s="62">
        <f t="shared" si="5"/>
        <v>42117.750216450004</v>
      </c>
      <c r="N12" s="62">
        <f t="shared" si="6"/>
        <v>1800</v>
      </c>
      <c r="O12" s="62">
        <v>0</v>
      </c>
      <c r="P12" s="62">
        <v>200</v>
      </c>
      <c r="Q12" s="62">
        <v>0</v>
      </c>
      <c r="R12" s="62">
        <v>0</v>
      </c>
      <c r="S12" s="62">
        <v>0</v>
      </c>
      <c r="T12" s="62">
        <f t="shared" si="7"/>
        <v>42117.750216450004</v>
      </c>
      <c r="U12" s="62">
        <v>0</v>
      </c>
      <c r="V12" s="63">
        <v>0</v>
      </c>
      <c r="W12" s="62">
        <v>0</v>
      </c>
      <c r="X12" s="62">
        <f t="shared" si="8"/>
        <v>1800</v>
      </c>
      <c r="Y12" s="62">
        <v>0</v>
      </c>
      <c r="Z12" s="62">
        <f t="shared" si="9"/>
        <v>1082.2497835499998</v>
      </c>
      <c r="AA12" s="62">
        <f t="shared" si="10"/>
        <v>4882.2497835499998</v>
      </c>
      <c r="AB12" s="62">
        <f t="shared" si="11"/>
        <v>40117.750216450004</v>
      </c>
    </row>
    <row r="13" spans="1:29" x14ac:dyDescent="0.25">
      <c r="A13" s="57">
        <v>12</v>
      </c>
      <c r="B13" s="64" t="s">
        <v>170</v>
      </c>
      <c r="C13" s="134" t="s">
        <v>171</v>
      </c>
      <c r="D13" s="59">
        <v>46113</v>
      </c>
      <c r="E13" s="61">
        <v>23000</v>
      </c>
      <c r="F13" s="61">
        <v>30</v>
      </c>
      <c r="G13" s="61">
        <f t="shared" si="0"/>
        <v>30</v>
      </c>
      <c r="H13" s="61">
        <v>0</v>
      </c>
      <c r="I13" s="62">
        <f t="shared" si="1"/>
        <v>11499.997699999998</v>
      </c>
      <c r="J13" s="62">
        <f t="shared" si="2"/>
        <v>5749.998849999999</v>
      </c>
      <c r="K13" s="62">
        <f t="shared" si="3"/>
        <v>1600</v>
      </c>
      <c r="L13" s="62">
        <f t="shared" si="4"/>
        <v>2216.8538366300008</v>
      </c>
      <c r="M13" s="62">
        <f t="shared" si="5"/>
        <v>21066.850386629998</v>
      </c>
      <c r="N13" s="62">
        <f t="shared" si="6"/>
        <v>1379.9997239999998</v>
      </c>
      <c r="O13" s="62">
        <f>IF(M13&lt;=21000,M13*0.75%,0)</f>
        <v>0</v>
      </c>
      <c r="P13" s="62">
        <v>200</v>
      </c>
      <c r="Q13" s="62">
        <v>0</v>
      </c>
      <c r="R13" s="62">
        <v>0</v>
      </c>
      <c r="S13" s="62">
        <v>0</v>
      </c>
      <c r="T13" s="62">
        <f t="shared" si="7"/>
        <v>21066.850386629998</v>
      </c>
      <c r="U13" s="62">
        <v>0</v>
      </c>
      <c r="V13" s="63">
        <v>0</v>
      </c>
      <c r="W13" s="62">
        <v>0</v>
      </c>
      <c r="X13" s="62">
        <f t="shared" si="8"/>
        <v>1379.9997239999998</v>
      </c>
      <c r="Y13" s="62">
        <f>IF(M13&lt;=21000,M13*3.25%,0)</f>
        <v>0</v>
      </c>
      <c r="Z13" s="62">
        <f t="shared" si="9"/>
        <v>553.14988936999987</v>
      </c>
      <c r="AA13" s="62">
        <f t="shared" si="10"/>
        <v>3513.1493373699996</v>
      </c>
      <c r="AB13" s="62">
        <f t="shared" si="11"/>
        <v>19486.85066263</v>
      </c>
    </row>
    <row r="14" spans="1:29" x14ac:dyDescent="0.25">
      <c r="A14" s="57">
        <v>13</v>
      </c>
      <c r="B14" s="64" t="s">
        <v>208</v>
      </c>
      <c r="C14" s="122" t="s">
        <v>203</v>
      </c>
      <c r="D14" s="59">
        <v>46113</v>
      </c>
      <c r="E14" s="57">
        <v>100000</v>
      </c>
      <c r="F14" s="61">
        <v>30</v>
      </c>
      <c r="G14" s="61">
        <f t="shared" si="0"/>
        <v>30</v>
      </c>
      <c r="H14" s="61">
        <v>0</v>
      </c>
      <c r="I14" s="62">
        <f t="shared" si="1"/>
        <v>49999.989999999991</v>
      </c>
      <c r="J14" s="62">
        <f t="shared" si="2"/>
        <v>24999.994999999995</v>
      </c>
      <c r="K14" s="62">
        <f t="shared" si="3"/>
        <v>1600</v>
      </c>
      <c r="L14" s="62">
        <f t="shared" si="4"/>
        <v>19195.015481000009</v>
      </c>
      <c r="M14" s="62">
        <f t="shared" si="5"/>
        <v>95795.000480999995</v>
      </c>
      <c r="N14" s="62">
        <f t="shared" si="6"/>
        <v>1800</v>
      </c>
      <c r="O14" s="62">
        <f>IF(M14&lt;=21000,M14*0.75%,0)</f>
        <v>0</v>
      </c>
      <c r="P14" s="62">
        <v>200</v>
      </c>
      <c r="Q14" s="62">
        <v>0</v>
      </c>
      <c r="R14" s="62">
        <v>0</v>
      </c>
      <c r="S14" s="62">
        <v>0</v>
      </c>
      <c r="T14" s="62">
        <f t="shared" si="7"/>
        <v>95795.000480999995</v>
      </c>
      <c r="U14" s="62">
        <v>0</v>
      </c>
      <c r="V14" s="63">
        <v>0</v>
      </c>
      <c r="W14" s="62">
        <v>0</v>
      </c>
      <c r="X14" s="62">
        <f t="shared" si="8"/>
        <v>1800</v>
      </c>
      <c r="Y14" s="62">
        <f>IF(M14&lt;=21000,M14*3.25%,0)</f>
        <v>0</v>
      </c>
      <c r="Z14" s="62">
        <f t="shared" si="9"/>
        <v>2404.9995189999995</v>
      </c>
      <c r="AA14" s="62">
        <f t="shared" si="10"/>
        <v>6204.9995189999991</v>
      </c>
      <c r="AB14" s="62">
        <f t="shared" si="11"/>
        <v>93795.000480999995</v>
      </c>
    </row>
    <row r="15" spans="1:29" x14ac:dyDescent="0.25">
      <c r="A15" s="57">
        <v>14</v>
      </c>
      <c r="B15" s="64" t="s">
        <v>209</v>
      </c>
      <c r="C15" s="122" t="s">
        <v>205</v>
      </c>
      <c r="D15" s="66">
        <v>46113</v>
      </c>
      <c r="E15" s="57">
        <v>33333</v>
      </c>
      <c r="F15" s="61">
        <v>30</v>
      </c>
      <c r="G15" s="61">
        <f t="shared" si="0"/>
        <v>30</v>
      </c>
      <c r="H15" s="61">
        <v>0</v>
      </c>
      <c r="I15" s="68">
        <f t="shared" si="1"/>
        <v>16666.496666699997</v>
      </c>
      <c r="J15" s="68">
        <f t="shared" si="2"/>
        <v>8333.2483333499986</v>
      </c>
      <c r="K15" s="68">
        <f t="shared" si="3"/>
        <v>1600</v>
      </c>
      <c r="L15" s="68">
        <f t="shared" si="4"/>
        <v>4131.5965102817318</v>
      </c>
      <c r="M15" s="68">
        <f t="shared" si="5"/>
        <v>30731.341510331727</v>
      </c>
      <c r="N15" s="68">
        <f t="shared" si="6"/>
        <v>1800</v>
      </c>
      <c r="O15" s="68">
        <f>IF(M15&lt;=21000,M15*0.75%,0)</f>
        <v>0</v>
      </c>
      <c r="P15" s="68">
        <v>200</v>
      </c>
      <c r="Q15" s="68">
        <v>0</v>
      </c>
      <c r="R15" s="68">
        <v>0</v>
      </c>
      <c r="S15" s="68">
        <v>0</v>
      </c>
      <c r="T15" s="68">
        <f t="shared" si="7"/>
        <v>30731.341510331727</v>
      </c>
      <c r="U15" s="68">
        <v>0</v>
      </c>
      <c r="V15" s="63">
        <v>0</v>
      </c>
      <c r="W15" s="68">
        <v>0</v>
      </c>
      <c r="X15" s="68">
        <f t="shared" si="8"/>
        <v>1800</v>
      </c>
      <c r="Y15" s="68">
        <f>IF(M15&lt;=21000,M15*3.25%,0)</f>
        <v>0</v>
      </c>
      <c r="Z15" s="68">
        <f t="shared" si="9"/>
        <v>801.65848966826979</v>
      </c>
      <c r="AA15" s="68">
        <f t="shared" si="10"/>
        <v>4601.6584896682698</v>
      </c>
      <c r="AB15" s="68">
        <f t="shared" si="11"/>
        <v>28731.341510331727</v>
      </c>
    </row>
    <row r="16" spans="1:29" x14ac:dyDescent="0.25">
      <c r="A16" s="57">
        <v>15</v>
      </c>
      <c r="B16" s="61" t="s">
        <v>238</v>
      </c>
      <c r="C16" s="123" t="s">
        <v>239</v>
      </c>
      <c r="D16" s="71">
        <v>46146</v>
      </c>
      <c r="E16" s="61">
        <v>23000</v>
      </c>
      <c r="F16" s="61">
        <v>30</v>
      </c>
      <c r="G16" s="61">
        <f t="shared" si="0"/>
        <v>30</v>
      </c>
      <c r="H16" s="61">
        <v>0</v>
      </c>
      <c r="I16" s="68">
        <f t="shared" si="1"/>
        <v>11499.997699999998</v>
      </c>
      <c r="J16" s="68">
        <f t="shared" si="2"/>
        <v>5749.998849999999</v>
      </c>
      <c r="K16" s="68">
        <f t="shared" si="3"/>
        <v>1600</v>
      </c>
      <c r="L16" s="68">
        <f t="shared" si="4"/>
        <v>2216.8538366300008</v>
      </c>
      <c r="M16" s="68">
        <f t="shared" si="5"/>
        <v>21066.850386629998</v>
      </c>
      <c r="N16" s="68">
        <f t="shared" si="6"/>
        <v>1379.9997239999998</v>
      </c>
      <c r="O16" s="68">
        <v>0</v>
      </c>
      <c r="P16" s="68">
        <v>200</v>
      </c>
      <c r="Q16" s="68">
        <v>0</v>
      </c>
      <c r="R16" s="68">
        <v>0</v>
      </c>
      <c r="S16" s="68">
        <v>0</v>
      </c>
      <c r="T16" s="68">
        <f t="shared" si="7"/>
        <v>21066.850386629998</v>
      </c>
      <c r="U16" s="68">
        <v>0</v>
      </c>
      <c r="V16" s="63">
        <v>0</v>
      </c>
      <c r="W16" s="68">
        <v>0</v>
      </c>
      <c r="X16" s="68">
        <f t="shared" si="8"/>
        <v>1379.9997239999998</v>
      </c>
      <c r="Y16" s="68">
        <v>0</v>
      </c>
      <c r="Z16" s="68">
        <f t="shared" si="9"/>
        <v>553.14988936999987</v>
      </c>
      <c r="AA16" s="68">
        <f t="shared" si="10"/>
        <v>3513.1493373699996</v>
      </c>
      <c r="AB16" s="68">
        <f t="shared" si="11"/>
        <v>19486.85066263</v>
      </c>
      <c r="AC16" s="76"/>
    </row>
    <row r="17" spans="1:29" x14ac:dyDescent="0.25">
      <c r="A17" s="57">
        <v>16</v>
      </c>
      <c r="B17" s="129" t="s">
        <v>242</v>
      </c>
      <c r="C17" s="129" t="s">
        <v>243</v>
      </c>
      <c r="D17" s="130">
        <v>46146</v>
      </c>
      <c r="E17" s="129">
        <v>45000</v>
      </c>
      <c r="F17" s="129">
        <v>30</v>
      </c>
      <c r="G17" s="129">
        <f t="shared" si="0"/>
        <v>30</v>
      </c>
      <c r="H17" s="129">
        <v>0</v>
      </c>
      <c r="I17" s="131">
        <f t="shared" si="1"/>
        <v>22499.995499999997</v>
      </c>
      <c r="J17" s="131">
        <f t="shared" si="2"/>
        <v>11249.997749999999</v>
      </c>
      <c r="K17" s="131">
        <f t="shared" si="3"/>
        <v>1600</v>
      </c>
      <c r="L17" s="131">
        <f t="shared" si="4"/>
        <v>6767.7569664500079</v>
      </c>
      <c r="M17" s="131">
        <f t="shared" si="5"/>
        <v>42117.750216450004</v>
      </c>
      <c r="N17" s="131">
        <f t="shared" si="6"/>
        <v>1800</v>
      </c>
      <c r="O17" s="131">
        <f>IF(M17&lt;=21000,M17*0.75%,0)</f>
        <v>0</v>
      </c>
      <c r="P17" s="131">
        <v>200</v>
      </c>
      <c r="Q17" s="131">
        <v>0</v>
      </c>
      <c r="R17" s="131">
        <v>0</v>
      </c>
      <c r="S17" s="131">
        <v>0</v>
      </c>
      <c r="T17" s="131">
        <f t="shared" si="7"/>
        <v>42117.750216450004</v>
      </c>
      <c r="U17" s="131">
        <v>0</v>
      </c>
      <c r="V17" s="132">
        <v>0</v>
      </c>
      <c r="W17" s="131">
        <v>0</v>
      </c>
      <c r="X17" s="131">
        <f t="shared" si="8"/>
        <v>1800</v>
      </c>
      <c r="Y17" s="131">
        <f>IF(M17&lt;=21000,M17*3.25%,0)</f>
        <v>0</v>
      </c>
      <c r="Z17" s="131">
        <f t="shared" si="9"/>
        <v>1082.2497835499998</v>
      </c>
      <c r="AA17" s="131">
        <f t="shared" si="10"/>
        <v>4882.2497835499998</v>
      </c>
      <c r="AB17" s="131">
        <f t="shared" si="11"/>
        <v>40117.750216450004</v>
      </c>
    </row>
    <row r="18" spans="1:29" x14ac:dyDescent="0.25">
      <c r="A18" s="57">
        <v>17</v>
      </c>
      <c r="B18" s="61" t="s">
        <v>244</v>
      </c>
      <c r="C18" s="123" t="s">
        <v>245</v>
      </c>
      <c r="D18" s="71">
        <v>46146</v>
      </c>
      <c r="E18" s="61">
        <v>15000</v>
      </c>
      <c r="F18" s="61">
        <v>30</v>
      </c>
      <c r="G18" s="61">
        <f t="shared" si="0"/>
        <v>30</v>
      </c>
      <c r="H18" s="61">
        <v>0</v>
      </c>
      <c r="I18" s="68">
        <f t="shared" si="1"/>
        <v>7499.9984999999988</v>
      </c>
      <c r="J18" s="68">
        <f t="shared" si="2"/>
        <v>3749.9992499999994</v>
      </c>
      <c r="K18" s="68">
        <f t="shared" si="3"/>
        <v>1600</v>
      </c>
      <c r="L18" s="68">
        <f t="shared" si="4"/>
        <v>889.25250215000278</v>
      </c>
      <c r="M18" s="68">
        <f t="shared" si="5"/>
        <v>13739.250252150001</v>
      </c>
      <c r="N18" s="68">
        <f t="shared" si="6"/>
        <v>899.99981999999977</v>
      </c>
      <c r="O18" s="68">
        <v>0</v>
      </c>
      <c r="P18" s="68">
        <v>150</v>
      </c>
      <c r="Q18" s="68">
        <v>0</v>
      </c>
      <c r="R18" s="68">
        <v>0</v>
      </c>
      <c r="S18" s="68">
        <v>0</v>
      </c>
      <c r="T18" s="68">
        <f t="shared" si="7"/>
        <v>13739.250252150001</v>
      </c>
      <c r="U18" s="68">
        <v>0</v>
      </c>
      <c r="V18" s="63">
        <v>0</v>
      </c>
      <c r="W18" s="68">
        <v>0</v>
      </c>
      <c r="X18" s="68">
        <f t="shared" si="8"/>
        <v>899.99981999999977</v>
      </c>
      <c r="Y18" s="68">
        <v>0</v>
      </c>
      <c r="Z18" s="68">
        <f t="shared" si="9"/>
        <v>360.74992784999989</v>
      </c>
      <c r="AA18" s="68">
        <f t="shared" si="10"/>
        <v>2310.7495678499995</v>
      </c>
      <c r="AB18" s="68">
        <f t="shared" si="11"/>
        <v>12689.25043215</v>
      </c>
    </row>
    <row r="19" spans="1:29" x14ac:dyDescent="0.25">
      <c r="A19" s="57">
        <v>18</v>
      </c>
      <c r="B19" s="61" t="s">
        <v>246</v>
      </c>
      <c r="C19" s="135" t="s">
        <v>247</v>
      </c>
      <c r="D19" s="71">
        <v>46146</v>
      </c>
      <c r="E19" s="61">
        <v>15000</v>
      </c>
      <c r="F19" s="61">
        <v>30</v>
      </c>
      <c r="G19" s="61">
        <f t="shared" si="0"/>
        <v>30</v>
      </c>
      <c r="H19" s="61">
        <v>0</v>
      </c>
      <c r="I19" s="68">
        <f t="shared" si="1"/>
        <v>7499.9984999999988</v>
      </c>
      <c r="J19" s="68">
        <f t="shared" si="2"/>
        <v>3749.9992499999994</v>
      </c>
      <c r="K19" s="68">
        <f t="shared" si="3"/>
        <v>1600</v>
      </c>
      <c r="L19" s="68">
        <f t="shared" si="4"/>
        <v>889.25250215000278</v>
      </c>
      <c r="M19" s="68">
        <f t="shared" si="5"/>
        <v>13739.250252150001</v>
      </c>
      <c r="N19" s="68">
        <f t="shared" si="6"/>
        <v>899.99981999999977</v>
      </c>
      <c r="O19" s="68">
        <v>0</v>
      </c>
      <c r="P19" s="68">
        <v>150</v>
      </c>
      <c r="Q19" s="68">
        <v>0</v>
      </c>
      <c r="R19" s="68">
        <v>0</v>
      </c>
      <c r="S19" s="68">
        <v>0</v>
      </c>
      <c r="T19" s="68">
        <f t="shared" si="7"/>
        <v>13739.250252150001</v>
      </c>
      <c r="U19" s="68">
        <v>0</v>
      </c>
      <c r="V19" s="63">
        <v>0</v>
      </c>
      <c r="W19" s="68">
        <v>0</v>
      </c>
      <c r="X19" s="68">
        <f t="shared" si="8"/>
        <v>899.99981999999977</v>
      </c>
      <c r="Y19" s="68">
        <v>0</v>
      </c>
      <c r="Z19" s="68">
        <f t="shared" si="9"/>
        <v>360.74992784999989</v>
      </c>
      <c r="AA19" s="68">
        <f t="shared" si="10"/>
        <v>2310.7495678499995</v>
      </c>
      <c r="AB19" s="68">
        <f t="shared" si="11"/>
        <v>12689.25043215</v>
      </c>
    </row>
    <row r="20" spans="1:29" x14ac:dyDescent="0.25">
      <c r="A20" s="57">
        <v>19</v>
      </c>
      <c r="B20" s="129" t="s">
        <v>248</v>
      </c>
      <c r="C20" s="129" t="s">
        <v>249</v>
      </c>
      <c r="D20" s="130">
        <v>46146</v>
      </c>
      <c r="E20" s="129">
        <v>45000</v>
      </c>
      <c r="F20" s="129">
        <v>30</v>
      </c>
      <c r="G20" s="129">
        <f t="shared" si="0"/>
        <v>30</v>
      </c>
      <c r="H20" s="129">
        <v>0</v>
      </c>
      <c r="I20" s="131">
        <f t="shared" si="1"/>
        <v>22499.995499999997</v>
      </c>
      <c r="J20" s="131">
        <f t="shared" si="2"/>
        <v>11249.997749999999</v>
      </c>
      <c r="K20" s="131">
        <f t="shared" si="3"/>
        <v>1600</v>
      </c>
      <c r="L20" s="131">
        <f t="shared" si="4"/>
        <v>6767.7569664500079</v>
      </c>
      <c r="M20" s="131">
        <f t="shared" si="5"/>
        <v>42117.750216450004</v>
      </c>
      <c r="N20" s="131">
        <f t="shared" si="6"/>
        <v>1800</v>
      </c>
      <c r="O20" s="131">
        <f>IF(M20&lt;=21000,M20*0.75%,0)</f>
        <v>0</v>
      </c>
      <c r="P20" s="131">
        <v>200</v>
      </c>
      <c r="Q20" s="131">
        <v>0</v>
      </c>
      <c r="R20" s="131">
        <v>0</v>
      </c>
      <c r="S20" s="131">
        <v>0</v>
      </c>
      <c r="T20" s="131">
        <f t="shared" si="7"/>
        <v>42117.750216450004</v>
      </c>
      <c r="U20" s="131">
        <v>0</v>
      </c>
      <c r="V20" s="132">
        <v>0</v>
      </c>
      <c r="W20" s="131">
        <v>0</v>
      </c>
      <c r="X20" s="131">
        <f t="shared" si="8"/>
        <v>1800</v>
      </c>
      <c r="Y20" s="131">
        <f>IF(M20&lt;=21000,M20*3.25%,0)</f>
        <v>0</v>
      </c>
      <c r="Z20" s="131">
        <f t="shared" si="9"/>
        <v>1082.2497835499998</v>
      </c>
      <c r="AA20" s="131">
        <f t="shared" si="10"/>
        <v>4882.2497835499998</v>
      </c>
      <c r="AB20" s="131">
        <f t="shared" si="11"/>
        <v>40117.750216450004</v>
      </c>
    </row>
    <row r="21" spans="1:29" x14ac:dyDescent="0.25">
      <c r="A21" s="57">
        <v>20</v>
      </c>
      <c r="B21" s="61" t="s">
        <v>250</v>
      </c>
      <c r="C21" s="135" t="s">
        <v>251</v>
      </c>
      <c r="D21" s="71">
        <v>46146</v>
      </c>
      <c r="E21" s="61">
        <v>35000</v>
      </c>
      <c r="F21" s="61">
        <v>30</v>
      </c>
      <c r="G21" s="61">
        <f t="shared" si="0"/>
        <v>30</v>
      </c>
      <c r="H21" s="61">
        <v>0</v>
      </c>
      <c r="I21" s="68">
        <f t="shared" si="1"/>
        <v>17499.996499999997</v>
      </c>
      <c r="J21" s="68">
        <f t="shared" si="2"/>
        <v>8749.9982499999987</v>
      </c>
      <c r="K21" s="68">
        <f t="shared" si="3"/>
        <v>1600</v>
      </c>
      <c r="L21" s="68">
        <f t="shared" si="4"/>
        <v>4508.2554183500051</v>
      </c>
      <c r="M21" s="68">
        <f t="shared" si="5"/>
        <v>32358.250168350001</v>
      </c>
      <c r="N21" s="68">
        <f t="shared" si="6"/>
        <v>1800</v>
      </c>
      <c r="O21" s="68">
        <f>IF(M21&lt;=21000,M21*0.75%,0)</f>
        <v>0</v>
      </c>
      <c r="P21" s="68">
        <v>200</v>
      </c>
      <c r="Q21" s="68">
        <v>0</v>
      </c>
      <c r="R21" s="68">
        <v>0</v>
      </c>
      <c r="S21" s="68">
        <v>0</v>
      </c>
      <c r="T21" s="68">
        <f t="shared" si="7"/>
        <v>32358.250168350001</v>
      </c>
      <c r="U21" s="68">
        <v>0</v>
      </c>
      <c r="V21" s="63">
        <v>0</v>
      </c>
      <c r="W21" s="68">
        <v>0</v>
      </c>
      <c r="X21" s="68">
        <f t="shared" si="8"/>
        <v>1800</v>
      </c>
      <c r="Y21" s="68">
        <f>IF(M21&lt;=21000,M21*3.25%,0)</f>
        <v>0</v>
      </c>
      <c r="Z21" s="68">
        <f t="shared" si="9"/>
        <v>841.74983164999981</v>
      </c>
      <c r="AA21" s="68">
        <f t="shared" si="10"/>
        <v>4641.7498316499996</v>
      </c>
      <c r="AB21" s="68">
        <f t="shared" si="11"/>
        <v>30358.250168350001</v>
      </c>
    </row>
    <row r="22" spans="1:29" x14ac:dyDescent="0.25">
      <c r="A22" s="57">
        <v>21</v>
      </c>
      <c r="B22" s="67" t="s">
        <v>303</v>
      </c>
      <c r="C22" s="124" t="s">
        <v>304</v>
      </c>
      <c r="D22" s="94">
        <v>46237</v>
      </c>
      <c r="E22" s="57">
        <v>17500</v>
      </c>
      <c r="F22" s="61">
        <v>30</v>
      </c>
      <c r="G22" s="61">
        <f t="shared" si="0"/>
        <v>30</v>
      </c>
      <c r="H22" s="61">
        <v>0</v>
      </c>
      <c r="I22" s="68">
        <f t="shared" ref="I22:I25" si="12">(+E22*49.99999%)/F22*G22</f>
        <v>8749.9982499999987</v>
      </c>
      <c r="J22" s="68">
        <f t="shared" ref="J22:J25" si="13">(I22*50%)</f>
        <v>4374.9991249999994</v>
      </c>
      <c r="K22" s="68">
        <f t="shared" ref="K22:K25" si="14">(1600/F22)*G22</f>
        <v>1600</v>
      </c>
      <c r="L22" s="68">
        <f t="shared" ref="L22:L25" si="15">(M22-I22-J22-K22)</f>
        <v>1304.1279191750009</v>
      </c>
      <c r="M22" s="68">
        <f t="shared" ref="M22:M25" si="16">(E22-X22)/F22*G22-Z22</f>
        <v>16029.125294174999</v>
      </c>
      <c r="N22" s="68">
        <f t="shared" ref="N22:N25" si="17">IF($I22*0.12&gt;1800,1800,$I22*0.12)</f>
        <v>1049.9997899999998</v>
      </c>
      <c r="O22" s="68">
        <v>0</v>
      </c>
      <c r="P22" s="68">
        <v>150</v>
      </c>
      <c r="Q22" s="68">
        <v>0</v>
      </c>
      <c r="R22" s="68">
        <v>0</v>
      </c>
      <c r="S22" s="68">
        <v>0</v>
      </c>
      <c r="T22" s="68">
        <f t="shared" ref="T22:T25" si="18">M22+Q22+R22+S22</f>
        <v>16029.125294174999</v>
      </c>
      <c r="U22" s="68">
        <v>0</v>
      </c>
      <c r="V22" s="63">
        <v>0</v>
      </c>
      <c r="W22" s="68">
        <v>0</v>
      </c>
      <c r="X22" s="68">
        <f t="shared" ref="X22:X25" si="19">IF($I22*0.12&gt;1800,1800,$I22*0.12)</f>
        <v>1049.9997899999998</v>
      </c>
      <c r="Y22" s="68">
        <v>0</v>
      </c>
      <c r="Z22" s="68">
        <f t="shared" ref="Z22:Z25" si="20">I22*4.81%</f>
        <v>420.8749158249999</v>
      </c>
      <c r="AA22" s="68">
        <f t="shared" ref="AA22:AA25" si="21">N22+O22+P22+V22+W22+U22+X22+Y22+Z22</f>
        <v>2670.8744958249995</v>
      </c>
      <c r="AB22" s="68">
        <f t="shared" ref="AB22:AB23" si="22">M22-AA22+Z22+X22+Y22</f>
        <v>14829.125504174999</v>
      </c>
    </row>
    <row r="23" spans="1:29" x14ac:dyDescent="0.25">
      <c r="A23" s="57">
        <v>22</v>
      </c>
      <c r="B23" s="67" t="s">
        <v>305</v>
      </c>
      <c r="C23" s="124" t="s">
        <v>306</v>
      </c>
      <c r="D23" s="94">
        <v>46237</v>
      </c>
      <c r="E23" s="57">
        <v>17500</v>
      </c>
      <c r="F23" s="67">
        <v>30</v>
      </c>
      <c r="G23" s="67">
        <f t="shared" si="0"/>
        <v>30</v>
      </c>
      <c r="H23" s="67">
        <v>0</v>
      </c>
      <c r="I23" s="68">
        <f t="shared" si="12"/>
        <v>8749.9982499999987</v>
      </c>
      <c r="J23" s="68">
        <f t="shared" si="13"/>
        <v>4374.9991249999994</v>
      </c>
      <c r="K23" s="68">
        <f t="shared" si="14"/>
        <v>1600</v>
      </c>
      <c r="L23" s="68">
        <f t="shared" si="15"/>
        <v>1304.1279191750009</v>
      </c>
      <c r="M23" s="68">
        <f t="shared" si="16"/>
        <v>16029.125294174999</v>
      </c>
      <c r="N23" s="68">
        <f t="shared" si="17"/>
        <v>1049.9997899999998</v>
      </c>
      <c r="O23" s="68">
        <v>0</v>
      </c>
      <c r="P23" s="68">
        <v>150</v>
      </c>
      <c r="Q23" s="68">
        <v>0</v>
      </c>
      <c r="R23" s="68">
        <v>0</v>
      </c>
      <c r="S23" s="68">
        <v>0</v>
      </c>
      <c r="T23" s="68">
        <f t="shared" si="18"/>
        <v>16029.125294174999</v>
      </c>
      <c r="U23" s="68">
        <v>0</v>
      </c>
      <c r="V23" s="63">
        <v>0</v>
      </c>
      <c r="W23" s="68">
        <v>0</v>
      </c>
      <c r="X23" s="68">
        <f t="shared" si="19"/>
        <v>1049.9997899999998</v>
      </c>
      <c r="Y23" s="68">
        <v>0</v>
      </c>
      <c r="Z23" s="68">
        <f t="shared" si="20"/>
        <v>420.8749158249999</v>
      </c>
      <c r="AA23" s="68">
        <f t="shared" si="21"/>
        <v>2670.8744958249995</v>
      </c>
      <c r="AB23" s="68">
        <f t="shared" si="22"/>
        <v>14829.125504174999</v>
      </c>
    </row>
    <row r="24" spans="1:29" x14ac:dyDescent="0.25">
      <c r="A24" s="57">
        <v>23</v>
      </c>
      <c r="B24" s="61" t="s">
        <v>234</v>
      </c>
      <c r="C24" s="61" t="s">
        <v>235</v>
      </c>
      <c r="D24" s="71">
        <v>46146</v>
      </c>
      <c r="E24" s="61">
        <v>35000</v>
      </c>
      <c r="F24" s="61">
        <v>30</v>
      </c>
      <c r="G24" s="61">
        <f t="shared" ref="G24:G25" si="23">F24-H24</f>
        <v>30</v>
      </c>
      <c r="H24" s="61">
        <v>0</v>
      </c>
      <c r="I24" s="62">
        <f t="shared" si="12"/>
        <v>17499.996499999997</v>
      </c>
      <c r="J24" s="62">
        <f t="shared" si="13"/>
        <v>8749.9982499999987</v>
      </c>
      <c r="K24" s="62">
        <f t="shared" si="14"/>
        <v>1600</v>
      </c>
      <c r="L24" s="62">
        <f t="shared" si="15"/>
        <v>4508.2554183500051</v>
      </c>
      <c r="M24" s="62">
        <f t="shared" si="16"/>
        <v>32358.250168350001</v>
      </c>
      <c r="N24" s="62">
        <f t="shared" si="17"/>
        <v>1800</v>
      </c>
      <c r="O24" s="62">
        <f t="shared" ref="O24" si="24">IF(M24&lt;=21000,M24*0.75%,0)</f>
        <v>0</v>
      </c>
      <c r="P24" s="62">
        <v>200</v>
      </c>
      <c r="Q24" s="62">
        <v>0</v>
      </c>
      <c r="R24" s="62">
        <v>0</v>
      </c>
      <c r="S24" s="62">
        <v>0</v>
      </c>
      <c r="T24" s="62">
        <f t="shared" si="18"/>
        <v>32358.250168350001</v>
      </c>
      <c r="U24" s="62">
        <v>0</v>
      </c>
      <c r="V24" s="113">
        <v>0</v>
      </c>
      <c r="W24" s="62">
        <v>0</v>
      </c>
      <c r="X24" s="62">
        <f t="shared" si="19"/>
        <v>1800</v>
      </c>
      <c r="Y24" s="62">
        <f t="shared" ref="Y24" si="25">IF(M24&lt;=21000,M24*3.25%,0)</f>
        <v>0</v>
      </c>
      <c r="Z24" s="62">
        <f t="shared" si="20"/>
        <v>841.74983164999981</v>
      </c>
      <c r="AA24" s="62">
        <f t="shared" si="21"/>
        <v>4641.7498316499996</v>
      </c>
      <c r="AB24" s="62">
        <f t="shared" ref="AB24:AB25" si="26">M24-AA24+Z24+X24</f>
        <v>30358.250168350001</v>
      </c>
    </row>
    <row r="25" spans="1:29" x14ac:dyDescent="0.25">
      <c r="A25" s="57">
        <v>24</v>
      </c>
      <c r="B25" s="58" t="s">
        <v>66</v>
      </c>
      <c r="C25" s="121" t="s">
        <v>67</v>
      </c>
      <c r="D25" s="59" t="s">
        <v>323</v>
      </c>
      <c r="E25" s="60">
        <v>30000</v>
      </c>
      <c r="F25" s="61">
        <v>30</v>
      </c>
      <c r="G25" s="61">
        <f t="shared" si="23"/>
        <v>30</v>
      </c>
      <c r="H25" s="61">
        <v>0</v>
      </c>
      <c r="I25" s="62">
        <f t="shared" si="12"/>
        <v>14999.996999999998</v>
      </c>
      <c r="J25" s="62">
        <f t="shared" si="13"/>
        <v>7499.9984999999988</v>
      </c>
      <c r="K25" s="62">
        <f t="shared" si="14"/>
        <v>1600</v>
      </c>
      <c r="L25" s="62">
        <f t="shared" si="15"/>
        <v>3378.5050043000056</v>
      </c>
      <c r="M25" s="62">
        <f t="shared" si="16"/>
        <v>27478.500504300002</v>
      </c>
      <c r="N25" s="62">
        <f t="shared" si="17"/>
        <v>1799.9996399999995</v>
      </c>
      <c r="O25" s="62">
        <f>IF(M25&lt;=21000,M25*0.75%,0)</f>
        <v>0</v>
      </c>
      <c r="P25" s="62">
        <v>200</v>
      </c>
      <c r="Q25" s="62">
        <v>0</v>
      </c>
      <c r="R25" s="62">
        <v>0</v>
      </c>
      <c r="S25" s="62">
        <v>0</v>
      </c>
      <c r="T25" s="62">
        <f t="shared" si="18"/>
        <v>27478.500504300002</v>
      </c>
      <c r="U25" s="62">
        <v>0</v>
      </c>
      <c r="V25" s="63">
        <v>0</v>
      </c>
      <c r="W25" s="62">
        <v>0</v>
      </c>
      <c r="X25" s="62">
        <f t="shared" si="19"/>
        <v>1799.9996399999995</v>
      </c>
      <c r="Y25" s="62">
        <f>IF(M25&lt;=21000,M25*3.25%,0)</f>
        <v>0</v>
      </c>
      <c r="Z25" s="62">
        <f t="shared" si="20"/>
        <v>721.49985569999978</v>
      </c>
      <c r="AA25" s="62">
        <f t="shared" si="21"/>
        <v>4521.499135699999</v>
      </c>
      <c r="AB25" s="62">
        <f t="shared" si="26"/>
        <v>25478.5008643</v>
      </c>
      <c r="AC25" s="76"/>
    </row>
    <row r="26" spans="1:29" x14ac:dyDescent="0.3">
      <c r="AB26" s="145">
        <f>SUM(AB2:AB25)</f>
        <v>691441.20591569389</v>
      </c>
    </row>
  </sheetData>
  <autoFilter ref="B1:AB23" xr:uid="{B5DCE387-27D4-44EE-A3D1-5D19139B38CB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0A7-FA40-42C2-A0AE-90708849FE17}">
  <dimension ref="A1:AA21"/>
  <sheetViews>
    <sheetView topLeftCell="F1" zoomScale="130" zoomScaleNormal="130" workbookViewId="0">
      <selection activeCell="X21" sqref="X21"/>
    </sheetView>
  </sheetViews>
  <sheetFormatPr defaultColWidth="8.5546875" defaultRowHeight="10.199999999999999" x14ac:dyDescent="0.2"/>
  <cols>
    <col min="1" max="1" width="8.109375" style="85" customWidth="1"/>
    <col min="2" max="2" width="17.109375" style="85" customWidth="1"/>
    <col min="3" max="3" width="7" style="85" customWidth="1"/>
    <col min="4" max="4" width="4.88671875" style="85" customWidth="1"/>
    <col min="5" max="5" width="6.109375" style="85" customWidth="1"/>
    <col min="6" max="6" width="4.44140625" style="85" customWidth="1"/>
    <col min="7" max="7" width="4.77734375" style="85" customWidth="1"/>
    <col min="8" max="8" width="4.6640625" style="85" customWidth="1"/>
    <col min="9" max="9" width="4.77734375" style="85" customWidth="1"/>
    <col min="10" max="11" width="7.21875" style="85" customWidth="1"/>
    <col min="12" max="12" width="5.44140625" style="85" customWidth="1"/>
    <col min="13" max="13" width="6.6640625" style="85" customWidth="1"/>
    <col min="14" max="14" width="7.6640625" style="85" customWidth="1"/>
    <col min="15" max="15" width="8" style="85" customWidth="1"/>
    <col min="16" max="16" width="5.77734375" style="85" customWidth="1"/>
    <col min="17" max="17" width="10.109375" style="85" customWidth="1"/>
    <col min="18" max="18" width="8.5546875" style="85" customWidth="1"/>
    <col min="19" max="19" width="6.109375" style="85" customWidth="1"/>
    <col min="20" max="20" width="3.44140625" style="85" customWidth="1"/>
    <col min="21" max="21" width="7" style="85" customWidth="1"/>
    <col min="22" max="26" width="8.5546875" style="85" customWidth="1"/>
    <col min="27" max="16384" width="8.5546875" style="85"/>
  </cols>
  <sheetData>
    <row r="1" spans="1:27" ht="30.6" x14ac:dyDescent="0.2">
      <c r="A1" s="81" t="s">
        <v>1</v>
      </c>
      <c r="B1" s="81" t="s">
        <v>0</v>
      </c>
      <c r="C1" s="81" t="s">
        <v>21</v>
      </c>
      <c r="D1" s="81" t="s">
        <v>25</v>
      </c>
      <c r="E1" s="82" t="s">
        <v>22</v>
      </c>
      <c r="F1" s="83" t="s">
        <v>23</v>
      </c>
      <c r="G1" s="83" t="s">
        <v>24</v>
      </c>
      <c r="H1" s="81" t="s">
        <v>2</v>
      </c>
      <c r="I1" s="81" t="s">
        <v>3</v>
      </c>
      <c r="J1" s="83" t="s">
        <v>4</v>
      </c>
      <c r="K1" s="83" t="s">
        <v>5</v>
      </c>
      <c r="L1" s="83" t="s">
        <v>54</v>
      </c>
      <c r="M1" s="83" t="s">
        <v>10</v>
      </c>
      <c r="N1" s="83" t="s">
        <v>11</v>
      </c>
      <c r="O1" s="83" t="s">
        <v>12</v>
      </c>
      <c r="P1" s="84" t="s">
        <v>6</v>
      </c>
      <c r="Q1" s="84" t="s">
        <v>7</v>
      </c>
      <c r="R1" s="82" t="s">
        <v>257</v>
      </c>
      <c r="S1" s="82" t="s">
        <v>9</v>
      </c>
      <c r="T1" s="81" t="s">
        <v>13</v>
      </c>
      <c r="U1" s="83" t="s">
        <v>14</v>
      </c>
      <c r="V1" s="83" t="s">
        <v>15</v>
      </c>
      <c r="W1" s="83" t="s">
        <v>18</v>
      </c>
      <c r="X1" s="83" t="s">
        <v>19</v>
      </c>
      <c r="Y1" s="83" t="s">
        <v>20</v>
      </c>
      <c r="Z1" s="83" t="s">
        <v>16</v>
      </c>
      <c r="AA1" s="83" t="s">
        <v>17</v>
      </c>
    </row>
    <row r="2" spans="1:27" x14ac:dyDescent="0.2">
      <c r="A2" s="86" t="s">
        <v>264</v>
      </c>
      <c r="B2" s="87" t="s">
        <v>265</v>
      </c>
      <c r="C2" s="88">
        <v>46174</v>
      </c>
      <c r="D2" s="89">
        <v>18444</v>
      </c>
      <c r="E2" s="90">
        <v>30</v>
      </c>
      <c r="F2" s="90">
        <f t="shared" ref="F2:F14" si="0">E2-G2</f>
        <v>30</v>
      </c>
      <c r="G2" s="90">
        <v>0</v>
      </c>
      <c r="H2" s="91">
        <f t="shared" ref="H2:H14" si="1">(+D2*49.99999%)/E2*F2</f>
        <v>9221.9981555999984</v>
      </c>
      <c r="I2" s="91">
        <f t="shared" ref="I2:I14" si="2">(H2*50%)</f>
        <v>4610.9990777999992</v>
      </c>
      <c r="J2" s="91">
        <f t="shared" ref="J2:J14" si="3">(1600/E2)*F2</f>
        <v>1600</v>
      </c>
      <c r="K2" s="91">
        <f t="shared" ref="K2:K14" si="4">(L2-H2-I2-J2)</f>
        <v>2567.4246553156408</v>
      </c>
      <c r="L2" s="91">
        <f t="shared" ref="L2:L14" si="5">(D2-W2)/E2*F2-Y2</f>
        <v>18000.421888715638</v>
      </c>
      <c r="M2" s="92">
        <v>0</v>
      </c>
      <c r="N2" s="92">
        <v>0</v>
      </c>
      <c r="O2" s="92">
        <v>200</v>
      </c>
      <c r="P2" s="92">
        <v>0</v>
      </c>
      <c r="Q2" s="92">
        <v>0</v>
      </c>
      <c r="R2" s="92">
        <v>0</v>
      </c>
      <c r="S2" s="91">
        <f t="shared" ref="S2:S14" si="6">L2+P2+Q2+R2</f>
        <v>18000.421888715638</v>
      </c>
      <c r="T2" s="92">
        <v>0</v>
      </c>
      <c r="U2" s="93">
        <f t="shared" ref="U2:U14" si="7">ROUND((L2/E2)*G2,0)</f>
        <v>0</v>
      </c>
      <c r="V2" s="92">
        <v>0</v>
      </c>
      <c r="W2" s="92">
        <v>0</v>
      </c>
      <c r="X2" s="92">
        <v>0</v>
      </c>
      <c r="Y2" s="91">
        <f t="shared" ref="Y2:Y14" si="8">H2*4.81%</f>
        <v>443.57811128435992</v>
      </c>
      <c r="Z2" s="91">
        <f t="shared" ref="Z2:Z14" si="9">M2+N2+O2+U2+V2+T2+W2+X2+Y2</f>
        <v>643.57811128435992</v>
      </c>
      <c r="AA2" s="91">
        <f>L2-Z2+Y2+W2+X2+P2+Q2+R2</f>
        <v>17800.421888715638</v>
      </c>
    </row>
    <row r="3" spans="1:27" x14ac:dyDescent="0.2">
      <c r="A3" s="86" t="s">
        <v>266</v>
      </c>
      <c r="B3" s="87" t="s">
        <v>267</v>
      </c>
      <c r="C3" s="88">
        <v>46174</v>
      </c>
      <c r="D3" s="89">
        <v>15370</v>
      </c>
      <c r="E3" s="90">
        <v>30</v>
      </c>
      <c r="F3" s="90">
        <f t="shared" si="0"/>
        <v>30</v>
      </c>
      <c r="G3" s="90">
        <v>0</v>
      </c>
      <c r="H3" s="91">
        <f t="shared" si="1"/>
        <v>7684.9984629999981</v>
      </c>
      <c r="I3" s="91">
        <f t="shared" si="2"/>
        <v>3842.499231499999</v>
      </c>
      <c r="J3" s="91">
        <f t="shared" si="3"/>
        <v>1600</v>
      </c>
      <c r="K3" s="91">
        <f t="shared" si="4"/>
        <v>1872.8538794297046</v>
      </c>
      <c r="L3" s="91">
        <f t="shared" si="5"/>
        <v>15000.351573929702</v>
      </c>
      <c r="M3" s="92">
        <v>0</v>
      </c>
      <c r="N3" s="92">
        <v>0</v>
      </c>
      <c r="O3" s="92">
        <v>200</v>
      </c>
      <c r="P3" s="92">
        <v>0</v>
      </c>
      <c r="Q3" s="92">
        <v>0</v>
      </c>
      <c r="R3" s="92">
        <v>0</v>
      </c>
      <c r="S3" s="91">
        <f t="shared" si="6"/>
        <v>15000.351573929702</v>
      </c>
      <c r="T3" s="92">
        <v>0</v>
      </c>
      <c r="U3" s="93">
        <f t="shared" si="7"/>
        <v>0</v>
      </c>
      <c r="V3" s="92">
        <v>0</v>
      </c>
      <c r="W3" s="92">
        <v>0</v>
      </c>
      <c r="X3" s="92">
        <v>0</v>
      </c>
      <c r="Y3" s="91">
        <f t="shared" si="8"/>
        <v>369.64842607029988</v>
      </c>
      <c r="Z3" s="91">
        <f t="shared" si="9"/>
        <v>569.64842607029982</v>
      </c>
      <c r="AA3" s="91">
        <f t="shared" ref="AA3:AA14" si="10">L3-Z3+Y3+W3+X3+P3+Q3+R3</f>
        <v>14800.351573929702</v>
      </c>
    </row>
    <row r="4" spans="1:27" ht="16.2" customHeight="1" x14ac:dyDescent="0.2">
      <c r="A4" s="86" t="s">
        <v>268</v>
      </c>
      <c r="B4" s="87" t="s">
        <v>269</v>
      </c>
      <c r="C4" s="88">
        <v>46174</v>
      </c>
      <c r="D4" s="89">
        <v>18444</v>
      </c>
      <c r="E4" s="90">
        <v>30</v>
      </c>
      <c r="F4" s="90">
        <f t="shared" si="0"/>
        <v>30</v>
      </c>
      <c r="G4" s="90">
        <v>0</v>
      </c>
      <c r="H4" s="91">
        <f t="shared" si="1"/>
        <v>9221.9981555999984</v>
      </c>
      <c r="I4" s="91">
        <f t="shared" si="2"/>
        <v>4610.9990777999992</v>
      </c>
      <c r="J4" s="91">
        <f t="shared" si="3"/>
        <v>1600</v>
      </c>
      <c r="K4" s="91">
        <f t="shared" si="4"/>
        <v>2567.4246553156408</v>
      </c>
      <c r="L4" s="91">
        <f t="shared" si="5"/>
        <v>18000.421888715638</v>
      </c>
      <c r="M4" s="92">
        <v>0</v>
      </c>
      <c r="N4" s="92">
        <v>0</v>
      </c>
      <c r="O4" s="92">
        <v>200</v>
      </c>
      <c r="P4" s="92">
        <v>0</v>
      </c>
      <c r="Q4" s="92">
        <v>0</v>
      </c>
      <c r="R4" s="92">
        <v>0</v>
      </c>
      <c r="S4" s="91">
        <f t="shared" si="6"/>
        <v>18000.421888715638</v>
      </c>
      <c r="T4" s="92">
        <v>0</v>
      </c>
      <c r="U4" s="93">
        <f t="shared" si="7"/>
        <v>0</v>
      </c>
      <c r="V4" s="92">
        <v>0</v>
      </c>
      <c r="W4" s="92">
        <v>0</v>
      </c>
      <c r="X4" s="92">
        <v>0</v>
      </c>
      <c r="Y4" s="91">
        <f t="shared" si="8"/>
        <v>443.57811128435992</v>
      </c>
      <c r="Z4" s="91">
        <f t="shared" si="9"/>
        <v>643.57811128435992</v>
      </c>
      <c r="AA4" s="91">
        <f t="shared" si="10"/>
        <v>17800.421888715638</v>
      </c>
    </row>
    <row r="5" spans="1:27" x14ac:dyDescent="0.2">
      <c r="A5" s="86" t="s">
        <v>270</v>
      </c>
      <c r="B5" s="87" t="s">
        <v>271</v>
      </c>
      <c r="C5" s="88">
        <v>46174</v>
      </c>
      <c r="D5" s="89">
        <v>15370</v>
      </c>
      <c r="E5" s="90">
        <v>30</v>
      </c>
      <c r="F5" s="90">
        <f t="shared" si="0"/>
        <v>30</v>
      </c>
      <c r="G5" s="90">
        <v>0</v>
      </c>
      <c r="H5" s="91">
        <f t="shared" si="1"/>
        <v>7684.9984629999981</v>
      </c>
      <c r="I5" s="91">
        <f t="shared" si="2"/>
        <v>3842.499231499999</v>
      </c>
      <c r="J5" s="91">
        <f t="shared" si="3"/>
        <v>1600</v>
      </c>
      <c r="K5" s="91">
        <f t="shared" si="4"/>
        <v>1872.8538794297046</v>
      </c>
      <c r="L5" s="91">
        <f t="shared" si="5"/>
        <v>15000.351573929702</v>
      </c>
      <c r="M5" s="92">
        <v>0</v>
      </c>
      <c r="N5" s="92">
        <v>0</v>
      </c>
      <c r="O5" s="92">
        <v>200</v>
      </c>
      <c r="P5" s="92">
        <v>0</v>
      </c>
      <c r="Q5" s="92">
        <v>0</v>
      </c>
      <c r="R5" s="92">
        <v>0</v>
      </c>
      <c r="S5" s="91">
        <f t="shared" si="6"/>
        <v>15000.351573929702</v>
      </c>
      <c r="T5" s="92">
        <v>0</v>
      </c>
      <c r="U5" s="93">
        <f t="shared" si="7"/>
        <v>0</v>
      </c>
      <c r="V5" s="92">
        <v>0</v>
      </c>
      <c r="W5" s="92">
        <v>0</v>
      </c>
      <c r="X5" s="92">
        <v>0</v>
      </c>
      <c r="Y5" s="91">
        <f t="shared" si="8"/>
        <v>369.64842607029988</v>
      </c>
      <c r="Z5" s="91">
        <f t="shared" si="9"/>
        <v>569.64842607029982</v>
      </c>
      <c r="AA5" s="91">
        <f t="shared" si="10"/>
        <v>14800.351573929702</v>
      </c>
    </row>
    <row r="6" spans="1:27" x14ac:dyDescent="0.2">
      <c r="A6" s="86" t="s">
        <v>272</v>
      </c>
      <c r="B6" s="87" t="s">
        <v>273</v>
      </c>
      <c r="C6" s="88">
        <v>46174</v>
      </c>
      <c r="D6" s="89">
        <v>13320</v>
      </c>
      <c r="E6" s="90">
        <v>30</v>
      </c>
      <c r="F6" s="90">
        <f t="shared" si="0"/>
        <v>30</v>
      </c>
      <c r="G6" s="90">
        <v>0</v>
      </c>
      <c r="H6" s="91">
        <f t="shared" si="1"/>
        <v>6659.9986679999993</v>
      </c>
      <c r="I6" s="91">
        <f t="shared" si="2"/>
        <v>3329.9993339999996</v>
      </c>
      <c r="J6" s="91">
        <f t="shared" si="3"/>
        <v>1600</v>
      </c>
      <c r="K6" s="91">
        <f t="shared" si="4"/>
        <v>1409.6560620692012</v>
      </c>
      <c r="L6" s="91">
        <f t="shared" si="5"/>
        <v>12999.6540640692</v>
      </c>
      <c r="M6" s="92">
        <v>0</v>
      </c>
      <c r="N6" s="92">
        <v>0</v>
      </c>
      <c r="O6" s="92">
        <v>150</v>
      </c>
      <c r="P6" s="92">
        <v>0</v>
      </c>
      <c r="Q6" s="92">
        <v>0</v>
      </c>
      <c r="R6" s="92">
        <v>0</v>
      </c>
      <c r="S6" s="91">
        <f t="shared" si="6"/>
        <v>12999.6540640692</v>
      </c>
      <c r="T6" s="92">
        <v>0</v>
      </c>
      <c r="U6" s="93">
        <f t="shared" si="7"/>
        <v>0</v>
      </c>
      <c r="V6" s="92">
        <v>0</v>
      </c>
      <c r="W6" s="92">
        <v>0</v>
      </c>
      <c r="X6" s="92">
        <v>0</v>
      </c>
      <c r="Y6" s="91">
        <f t="shared" si="8"/>
        <v>320.34593593079995</v>
      </c>
      <c r="Z6" s="91">
        <f t="shared" si="9"/>
        <v>470.34593593079995</v>
      </c>
      <c r="AA6" s="91">
        <f t="shared" si="10"/>
        <v>12849.6540640692</v>
      </c>
    </row>
    <row r="7" spans="1:27" x14ac:dyDescent="0.2">
      <c r="A7" s="86" t="s">
        <v>274</v>
      </c>
      <c r="B7" s="87" t="s">
        <v>275</v>
      </c>
      <c r="C7" s="88">
        <v>46174</v>
      </c>
      <c r="D7" s="89">
        <v>12296</v>
      </c>
      <c r="E7" s="90">
        <v>30</v>
      </c>
      <c r="F7" s="90">
        <f t="shared" si="0"/>
        <v>30</v>
      </c>
      <c r="G7" s="90">
        <v>0</v>
      </c>
      <c r="H7" s="91">
        <f t="shared" si="1"/>
        <v>6147.9987703999996</v>
      </c>
      <c r="I7" s="91">
        <f t="shared" si="2"/>
        <v>3073.9993851999998</v>
      </c>
      <c r="J7" s="91">
        <f t="shared" si="3"/>
        <v>1600</v>
      </c>
      <c r="K7" s="91">
        <f t="shared" si="4"/>
        <v>1178.2831035437603</v>
      </c>
      <c r="L7" s="91">
        <f t="shared" si="5"/>
        <v>12000.28125914376</v>
      </c>
      <c r="M7" s="92">
        <v>0</v>
      </c>
      <c r="N7" s="92">
        <v>0</v>
      </c>
      <c r="O7" s="92">
        <v>150</v>
      </c>
      <c r="P7" s="92">
        <v>0</v>
      </c>
      <c r="Q7" s="92">
        <v>0</v>
      </c>
      <c r="R7" s="92">
        <v>0</v>
      </c>
      <c r="S7" s="91">
        <f t="shared" si="6"/>
        <v>12000.28125914376</v>
      </c>
      <c r="T7" s="92">
        <v>0</v>
      </c>
      <c r="U7" s="93">
        <f t="shared" si="7"/>
        <v>0</v>
      </c>
      <c r="V7" s="92">
        <v>0</v>
      </c>
      <c r="W7" s="92">
        <v>0</v>
      </c>
      <c r="X7" s="92">
        <v>0</v>
      </c>
      <c r="Y7" s="91">
        <f t="shared" si="8"/>
        <v>295.71874085623995</v>
      </c>
      <c r="Z7" s="91">
        <f t="shared" si="9"/>
        <v>445.71874085623995</v>
      </c>
      <c r="AA7" s="91">
        <f t="shared" si="10"/>
        <v>11850.28125914376</v>
      </c>
    </row>
    <row r="8" spans="1:27" x14ac:dyDescent="0.2">
      <c r="A8" s="86" t="s">
        <v>276</v>
      </c>
      <c r="B8" s="87" t="s">
        <v>277</v>
      </c>
      <c r="C8" s="88">
        <v>46174</v>
      </c>
      <c r="D8" s="89">
        <v>13320</v>
      </c>
      <c r="E8" s="90">
        <v>30</v>
      </c>
      <c r="F8" s="90">
        <f t="shared" si="0"/>
        <v>30</v>
      </c>
      <c r="G8" s="90">
        <v>0</v>
      </c>
      <c r="H8" s="91">
        <f t="shared" si="1"/>
        <v>6659.9986679999993</v>
      </c>
      <c r="I8" s="91">
        <f t="shared" si="2"/>
        <v>3329.9993339999996</v>
      </c>
      <c r="J8" s="91">
        <f t="shared" si="3"/>
        <v>1600</v>
      </c>
      <c r="K8" s="91">
        <f t="shared" si="4"/>
        <v>1409.6560620692012</v>
      </c>
      <c r="L8" s="91">
        <f t="shared" si="5"/>
        <v>12999.6540640692</v>
      </c>
      <c r="M8" s="92">
        <v>0</v>
      </c>
      <c r="N8" s="92">
        <v>0</v>
      </c>
      <c r="O8" s="92">
        <v>150</v>
      </c>
      <c r="P8" s="92">
        <v>0</v>
      </c>
      <c r="Q8" s="92">
        <v>0</v>
      </c>
      <c r="R8" s="92">
        <v>0</v>
      </c>
      <c r="S8" s="91">
        <f t="shared" si="6"/>
        <v>12999.6540640692</v>
      </c>
      <c r="T8" s="92">
        <v>0</v>
      </c>
      <c r="U8" s="93">
        <f t="shared" si="7"/>
        <v>0</v>
      </c>
      <c r="V8" s="92">
        <v>0</v>
      </c>
      <c r="W8" s="92">
        <v>0</v>
      </c>
      <c r="X8" s="92">
        <v>0</v>
      </c>
      <c r="Y8" s="91">
        <f t="shared" si="8"/>
        <v>320.34593593079995</v>
      </c>
      <c r="Z8" s="91">
        <f t="shared" si="9"/>
        <v>470.34593593079995</v>
      </c>
      <c r="AA8" s="91">
        <f t="shared" si="10"/>
        <v>12849.6540640692</v>
      </c>
    </row>
    <row r="9" spans="1:27" x14ac:dyDescent="0.2">
      <c r="A9" s="86" t="s">
        <v>278</v>
      </c>
      <c r="B9" s="87" t="s">
        <v>279</v>
      </c>
      <c r="C9" s="88">
        <v>46174</v>
      </c>
      <c r="D9" s="89">
        <v>28690</v>
      </c>
      <c r="E9" s="90">
        <v>30</v>
      </c>
      <c r="F9" s="90">
        <f t="shared" si="0"/>
        <v>30</v>
      </c>
      <c r="G9" s="90">
        <v>0</v>
      </c>
      <c r="H9" s="91">
        <f t="shared" si="1"/>
        <v>14344.997130999998</v>
      </c>
      <c r="I9" s="91">
        <f t="shared" si="2"/>
        <v>7172.4985654999991</v>
      </c>
      <c r="J9" s="91">
        <f t="shared" si="3"/>
        <v>1600</v>
      </c>
      <c r="K9" s="91">
        <f t="shared" si="4"/>
        <v>4882.5099414989027</v>
      </c>
      <c r="L9" s="91">
        <f t="shared" si="5"/>
        <v>28000.0056379989</v>
      </c>
      <c r="M9" s="92">
        <v>0</v>
      </c>
      <c r="N9" s="92">
        <v>0</v>
      </c>
      <c r="O9" s="92">
        <v>200</v>
      </c>
      <c r="P9" s="92">
        <v>0</v>
      </c>
      <c r="Q9" s="92">
        <v>0</v>
      </c>
      <c r="R9" s="92">
        <v>0</v>
      </c>
      <c r="S9" s="91">
        <f t="shared" si="6"/>
        <v>28000.0056379989</v>
      </c>
      <c r="T9" s="92">
        <v>0</v>
      </c>
      <c r="U9" s="93">
        <f t="shared" si="7"/>
        <v>0</v>
      </c>
      <c r="V9" s="92">
        <v>0</v>
      </c>
      <c r="W9" s="92">
        <v>0</v>
      </c>
      <c r="X9" s="92">
        <v>0</v>
      </c>
      <c r="Y9" s="91">
        <f t="shared" si="8"/>
        <v>689.99436200109983</v>
      </c>
      <c r="Z9" s="91">
        <f t="shared" si="9"/>
        <v>889.99436200109983</v>
      </c>
      <c r="AA9" s="91">
        <f t="shared" si="10"/>
        <v>27800.0056379989</v>
      </c>
    </row>
    <row r="10" spans="1:27" x14ac:dyDescent="0.2">
      <c r="A10" s="86" t="s">
        <v>280</v>
      </c>
      <c r="B10" s="87" t="s">
        <v>281</v>
      </c>
      <c r="C10" s="88">
        <v>46174</v>
      </c>
      <c r="D10" s="89">
        <v>25616</v>
      </c>
      <c r="E10" s="90">
        <v>30</v>
      </c>
      <c r="F10" s="90">
        <f t="shared" si="0"/>
        <v>30</v>
      </c>
      <c r="G10" s="90">
        <v>0</v>
      </c>
      <c r="H10" s="91">
        <f t="shared" si="1"/>
        <v>12807.997438399998</v>
      </c>
      <c r="I10" s="91">
        <f t="shared" si="2"/>
        <v>6403.998719199999</v>
      </c>
      <c r="J10" s="91">
        <f t="shared" si="3"/>
        <v>1600</v>
      </c>
      <c r="K10" s="91">
        <f t="shared" si="4"/>
        <v>4187.9391656129646</v>
      </c>
      <c r="L10" s="91">
        <f t="shared" si="5"/>
        <v>24999.935323212962</v>
      </c>
      <c r="M10" s="92">
        <v>0</v>
      </c>
      <c r="N10" s="92">
        <v>0</v>
      </c>
      <c r="O10" s="92">
        <v>200</v>
      </c>
      <c r="P10" s="92">
        <v>0</v>
      </c>
      <c r="Q10" s="92">
        <v>0</v>
      </c>
      <c r="R10" s="92">
        <v>0</v>
      </c>
      <c r="S10" s="91">
        <f t="shared" si="6"/>
        <v>24999.935323212962</v>
      </c>
      <c r="T10" s="92">
        <v>0</v>
      </c>
      <c r="U10" s="93">
        <f t="shared" si="7"/>
        <v>0</v>
      </c>
      <c r="V10" s="92">
        <v>0</v>
      </c>
      <c r="W10" s="92">
        <v>0</v>
      </c>
      <c r="X10" s="92">
        <v>0</v>
      </c>
      <c r="Y10" s="91">
        <f t="shared" si="8"/>
        <v>616.06467678703984</v>
      </c>
      <c r="Z10" s="91">
        <f t="shared" si="9"/>
        <v>816.06467678703984</v>
      </c>
      <c r="AA10" s="91">
        <f t="shared" si="10"/>
        <v>24799.935323212962</v>
      </c>
    </row>
    <row r="11" spans="1:27" x14ac:dyDescent="0.2">
      <c r="A11" s="86" t="s">
        <v>282</v>
      </c>
      <c r="B11" s="87" t="s">
        <v>283</v>
      </c>
      <c r="C11" s="88">
        <v>46174</v>
      </c>
      <c r="D11" s="89">
        <v>23567</v>
      </c>
      <c r="E11" s="90">
        <v>30</v>
      </c>
      <c r="F11" s="90">
        <f t="shared" si="0"/>
        <v>30</v>
      </c>
      <c r="G11" s="90">
        <v>0</v>
      </c>
      <c r="H11" s="91">
        <f t="shared" si="1"/>
        <v>11783.497643299999</v>
      </c>
      <c r="I11" s="91">
        <f t="shared" si="2"/>
        <v>5891.7488216499996</v>
      </c>
      <c r="J11" s="91">
        <f t="shared" si="3"/>
        <v>1600</v>
      </c>
      <c r="K11" s="91">
        <f t="shared" si="4"/>
        <v>3724.9672984072722</v>
      </c>
      <c r="L11" s="91">
        <f t="shared" si="5"/>
        <v>23000.213763357271</v>
      </c>
      <c r="M11" s="92">
        <v>0</v>
      </c>
      <c r="N11" s="92">
        <v>0</v>
      </c>
      <c r="O11" s="92">
        <v>200</v>
      </c>
      <c r="P11" s="92">
        <v>0</v>
      </c>
      <c r="Q11" s="92">
        <v>0</v>
      </c>
      <c r="R11" s="92">
        <v>0</v>
      </c>
      <c r="S11" s="91">
        <f t="shared" si="6"/>
        <v>23000.213763357271</v>
      </c>
      <c r="T11" s="92">
        <v>0</v>
      </c>
      <c r="U11" s="93">
        <f t="shared" si="7"/>
        <v>0</v>
      </c>
      <c r="V11" s="92">
        <v>0</v>
      </c>
      <c r="W11" s="92">
        <v>0</v>
      </c>
      <c r="X11" s="92">
        <v>0</v>
      </c>
      <c r="Y11" s="91">
        <f t="shared" si="8"/>
        <v>566.78623664272993</v>
      </c>
      <c r="Z11" s="91">
        <f t="shared" si="9"/>
        <v>766.78623664272993</v>
      </c>
      <c r="AA11" s="91">
        <f t="shared" si="10"/>
        <v>22800.213763357271</v>
      </c>
    </row>
    <row r="12" spans="1:27" x14ac:dyDescent="0.2">
      <c r="A12" s="86" t="s">
        <v>284</v>
      </c>
      <c r="B12" s="87" t="s">
        <v>285</v>
      </c>
      <c r="C12" s="88">
        <v>46174</v>
      </c>
      <c r="D12" s="89">
        <v>46109</v>
      </c>
      <c r="E12" s="90">
        <v>30</v>
      </c>
      <c r="F12" s="90">
        <f t="shared" si="0"/>
        <v>30</v>
      </c>
      <c r="G12" s="90">
        <v>0</v>
      </c>
      <c r="H12" s="91">
        <f t="shared" si="1"/>
        <v>23054.495389099997</v>
      </c>
      <c r="I12" s="91">
        <f t="shared" si="2"/>
        <v>11527.247694549998</v>
      </c>
      <c r="J12" s="91">
        <f t="shared" si="3"/>
        <v>1600</v>
      </c>
      <c r="K12" s="91">
        <f t="shared" si="4"/>
        <v>8818.3356881342952</v>
      </c>
      <c r="L12" s="91">
        <f t="shared" si="5"/>
        <v>45000.07877178429</v>
      </c>
      <c r="M12" s="92">
        <v>0</v>
      </c>
      <c r="N12" s="92">
        <v>0</v>
      </c>
      <c r="O12" s="92">
        <v>200</v>
      </c>
      <c r="P12" s="92">
        <v>0</v>
      </c>
      <c r="Q12" s="92">
        <v>0</v>
      </c>
      <c r="R12" s="92">
        <v>0</v>
      </c>
      <c r="S12" s="91">
        <f t="shared" si="6"/>
        <v>45000.07877178429</v>
      </c>
      <c r="T12" s="92">
        <v>0</v>
      </c>
      <c r="U12" s="93">
        <f t="shared" si="7"/>
        <v>0</v>
      </c>
      <c r="V12" s="92">
        <v>0</v>
      </c>
      <c r="W12" s="92">
        <v>0</v>
      </c>
      <c r="X12" s="92">
        <v>0</v>
      </c>
      <c r="Y12" s="91">
        <f t="shared" si="8"/>
        <v>1108.9212282157098</v>
      </c>
      <c r="Z12" s="91">
        <f t="shared" si="9"/>
        <v>1308.9212282157098</v>
      </c>
      <c r="AA12" s="91">
        <f t="shared" si="10"/>
        <v>44800.07877178429</v>
      </c>
    </row>
    <row r="13" spans="1:27" x14ac:dyDescent="0.2">
      <c r="A13" s="86" t="s">
        <v>286</v>
      </c>
      <c r="B13" s="87" t="s">
        <v>287</v>
      </c>
      <c r="C13" s="88">
        <v>46174</v>
      </c>
      <c r="D13" s="89">
        <v>10246</v>
      </c>
      <c r="E13" s="90">
        <v>30</v>
      </c>
      <c r="F13" s="90">
        <f t="shared" si="0"/>
        <v>30</v>
      </c>
      <c r="G13" s="90">
        <v>0</v>
      </c>
      <c r="H13" s="91">
        <f t="shared" si="1"/>
        <v>5122.9989753999998</v>
      </c>
      <c r="I13" s="91">
        <f t="shared" si="2"/>
        <v>2561.4994876999999</v>
      </c>
      <c r="J13" s="91">
        <f t="shared" si="3"/>
        <v>1600</v>
      </c>
      <c r="K13" s="91">
        <f t="shared" si="4"/>
        <v>715.08528618326</v>
      </c>
      <c r="L13" s="91">
        <f t="shared" si="5"/>
        <v>9999.5837492832597</v>
      </c>
      <c r="M13" s="92">
        <v>0</v>
      </c>
      <c r="N13" s="92">
        <v>0</v>
      </c>
      <c r="O13" s="92">
        <v>150</v>
      </c>
      <c r="P13" s="92">
        <v>0</v>
      </c>
      <c r="Q13" s="92">
        <v>0</v>
      </c>
      <c r="R13" s="92">
        <v>0</v>
      </c>
      <c r="S13" s="91">
        <f t="shared" si="6"/>
        <v>9999.5837492832597</v>
      </c>
      <c r="T13" s="92">
        <v>0</v>
      </c>
      <c r="U13" s="93">
        <f t="shared" si="7"/>
        <v>0</v>
      </c>
      <c r="V13" s="92">
        <v>0</v>
      </c>
      <c r="W13" s="92">
        <v>0</v>
      </c>
      <c r="X13" s="92">
        <v>0</v>
      </c>
      <c r="Y13" s="91">
        <f t="shared" si="8"/>
        <v>246.41625071673997</v>
      </c>
      <c r="Z13" s="91">
        <f t="shared" si="9"/>
        <v>396.41625071673997</v>
      </c>
      <c r="AA13" s="91">
        <f t="shared" si="10"/>
        <v>9849.5837492832597</v>
      </c>
    </row>
    <row r="14" spans="1:27" x14ac:dyDescent="0.2">
      <c r="A14" s="86" t="s">
        <v>288</v>
      </c>
      <c r="B14" s="90" t="s">
        <v>289</v>
      </c>
      <c r="C14" s="88">
        <v>46174</v>
      </c>
      <c r="D14" s="89">
        <v>12296</v>
      </c>
      <c r="E14" s="90">
        <v>30</v>
      </c>
      <c r="F14" s="90">
        <f t="shared" si="0"/>
        <v>30</v>
      </c>
      <c r="G14" s="90">
        <v>0</v>
      </c>
      <c r="H14" s="91">
        <f t="shared" si="1"/>
        <v>6147.9987703999996</v>
      </c>
      <c r="I14" s="91">
        <f t="shared" si="2"/>
        <v>3073.9993851999998</v>
      </c>
      <c r="J14" s="91">
        <f t="shared" si="3"/>
        <v>1600</v>
      </c>
      <c r="K14" s="91">
        <f t="shared" si="4"/>
        <v>1178.2831035437603</v>
      </c>
      <c r="L14" s="91">
        <f t="shared" si="5"/>
        <v>12000.28125914376</v>
      </c>
      <c r="M14" s="92">
        <v>0</v>
      </c>
      <c r="N14" s="92">
        <v>0</v>
      </c>
      <c r="O14" s="92">
        <v>150</v>
      </c>
      <c r="P14" s="92">
        <v>0</v>
      </c>
      <c r="Q14" s="92">
        <v>0</v>
      </c>
      <c r="R14" s="92">
        <v>0</v>
      </c>
      <c r="S14" s="91">
        <f t="shared" si="6"/>
        <v>12000.28125914376</v>
      </c>
      <c r="T14" s="92">
        <v>0</v>
      </c>
      <c r="U14" s="93">
        <f t="shared" si="7"/>
        <v>0</v>
      </c>
      <c r="V14" s="92">
        <v>0</v>
      </c>
      <c r="W14" s="92">
        <v>0</v>
      </c>
      <c r="X14" s="92">
        <v>0</v>
      </c>
      <c r="Y14" s="91">
        <f t="shared" si="8"/>
        <v>295.71874085623995</v>
      </c>
      <c r="Z14" s="91">
        <f t="shared" si="9"/>
        <v>445.71874085623995</v>
      </c>
      <c r="AA14" s="91">
        <f t="shared" si="10"/>
        <v>11850.28125914376</v>
      </c>
    </row>
    <row r="16" spans="1:27" ht="14.4" customHeight="1" x14ac:dyDescent="0.25">
      <c r="H16" s="142" t="s">
        <v>28</v>
      </c>
      <c r="I16" s="142"/>
      <c r="J16" s="142"/>
      <c r="K16" s="141">
        <f>SUM(AA2:AA15)</f>
        <v>244651.23481735322</v>
      </c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21" spans="16:16" ht="12" x14ac:dyDescent="0.25">
      <c r="P21" s="63"/>
    </row>
  </sheetData>
  <autoFilter ref="A1:AA1" xr:uid="{B368C0A7-FA40-42C2-A0AE-90708849FE17}"/>
  <mergeCells count="2">
    <mergeCell ref="K16:AA16"/>
    <mergeCell ref="H16:J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C42B-E355-422B-B7A9-6DF56E27584F}">
  <dimension ref="A1:AB17"/>
  <sheetViews>
    <sheetView topLeftCell="A7" workbookViewId="0">
      <selection activeCell="B21" sqref="B21"/>
    </sheetView>
  </sheetViews>
  <sheetFormatPr defaultRowHeight="14.4" x14ac:dyDescent="0.3"/>
  <cols>
    <col min="2" max="2" width="15.6640625" customWidth="1"/>
    <col min="3" max="3" width="11.77734375" customWidth="1"/>
    <col min="4" max="4" width="13" customWidth="1"/>
  </cols>
  <sheetData>
    <row r="1" spans="1:28" s="57" customFormat="1" ht="24" x14ac:dyDescent="0.3">
      <c r="A1" s="55" t="s">
        <v>1</v>
      </c>
      <c r="B1" s="55" t="s">
        <v>0</v>
      </c>
      <c r="C1" s="55" t="s">
        <v>21</v>
      </c>
      <c r="D1" s="55" t="s">
        <v>25</v>
      </c>
      <c r="E1" s="70" t="s">
        <v>22</v>
      </c>
      <c r="F1" s="69" t="s">
        <v>23</v>
      </c>
      <c r="G1" s="69" t="s">
        <v>24</v>
      </c>
      <c r="H1" s="55" t="s">
        <v>2</v>
      </c>
      <c r="I1" s="55" t="s">
        <v>3</v>
      </c>
      <c r="J1" s="69" t="s">
        <v>4</v>
      </c>
      <c r="K1" s="69" t="s">
        <v>5</v>
      </c>
      <c r="L1" s="69" t="s">
        <v>54</v>
      </c>
      <c r="M1" s="69" t="s">
        <v>10</v>
      </c>
      <c r="N1" s="69" t="s">
        <v>11</v>
      </c>
      <c r="O1" s="69" t="s">
        <v>12</v>
      </c>
      <c r="P1" s="56" t="s">
        <v>6</v>
      </c>
      <c r="Q1" s="56" t="s">
        <v>7</v>
      </c>
      <c r="R1" s="70" t="s">
        <v>257</v>
      </c>
      <c r="S1" s="70" t="s">
        <v>9</v>
      </c>
      <c r="T1" s="55" t="s">
        <v>13</v>
      </c>
      <c r="U1" s="69" t="s">
        <v>14</v>
      </c>
      <c r="V1" s="69" t="s">
        <v>15</v>
      </c>
      <c r="W1" s="69" t="s">
        <v>18</v>
      </c>
      <c r="X1" s="69" t="s">
        <v>19</v>
      </c>
      <c r="Y1" s="69" t="s">
        <v>20</v>
      </c>
      <c r="Z1" s="69" t="s">
        <v>16</v>
      </c>
      <c r="AA1" s="69" t="s">
        <v>17</v>
      </c>
    </row>
    <row r="2" spans="1:28" s="57" customFormat="1" ht="12" x14ac:dyDescent="0.25">
      <c r="A2" s="118" t="s">
        <v>58</v>
      </c>
      <c r="B2" s="118" t="s">
        <v>59</v>
      </c>
      <c r="C2" s="59">
        <v>46083</v>
      </c>
      <c r="D2" s="60">
        <v>45000</v>
      </c>
      <c r="E2" s="61">
        <v>31</v>
      </c>
      <c r="F2" s="61">
        <f t="shared" ref="F2:F11" si="0">E2-G2</f>
        <v>31</v>
      </c>
      <c r="G2" s="61">
        <v>0</v>
      </c>
      <c r="H2" s="62">
        <f t="shared" ref="H2:H11" si="1">(+D2*49.99999%)/E2*F2</f>
        <v>22499.995499999997</v>
      </c>
      <c r="I2" s="62">
        <f t="shared" ref="I2:I11" si="2">(H2*50%)</f>
        <v>11249.997749999999</v>
      </c>
      <c r="J2" s="62">
        <f t="shared" ref="J2:J11" si="3">(1600/E2)*F2</f>
        <v>1600</v>
      </c>
      <c r="K2" s="62">
        <f t="shared" ref="K2:K11" si="4">(L2-H2-I2-J2)</f>
        <v>6767.7569664500079</v>
      </c>
      <c r="L2" s="62">
        <f t="shared" ref="L2:L11" si="5">(D2-W2)/E2*F2-Y2</f>
        <v>42117.750216450004</v>
      </c>
      <c r="M2" s="62">
        <f t="shared" ref="M2:M17" si="6">IF($H2*0.12&gt;1800,1800,$H2*0.12)</f>
        <v>1800</v>
      </c>
      <c r="N2" s="62">
        <f t="shared" ref="N2:N10" si="7">IF(L2&lt;=21000,L2*0.75%,0)</f>
        <v>0</v>
      </c>
      <c r="O2" s="62">
        <v>200</v>
      </c>
      <c r="P2" s="62">
        <v>0</v>
      </c>
      <c r="Q2" s="62">
        <v>0</v>
      </c>
      <c r="R2" s="62">
        <v>0</v>
      </c>
      <c r="S2" s="62">
        <f t="shared" ref="S2:S11" si="8">L2+P2+Q2+R2</f>
        <v>42117.750216450004</v>
      </c>
      <c r="T2" s="62">
        <v>0</v>
      </c>
      <c r="U2" s="63">
        <v>0</v>
      </c>
      <c r="V2" s="62">
        <v>0</v>
      </c>
      <c r="W2" s="62">
        <f t="shared" ref="W2:W17" si="9">IF($H2*0.12&gt;1800,1800,$H2*0.12)</f>
        <v>1800</v>
      </c>
      <c r="X2" s="62">
        <f t="shared" ref="X2:X10" si="10">IF(L2&lt;=21000,L2*3.25%,0)</f>
        <v>0</v>
      </c>
      <c r="Y2" s="62">
        <f t="shared" ref="Y2:Y11" si="11">H2*4.81%</f>
        <v>1082.2497835499998</v>
      </c>
      <c r="Z2" s="62">
        <f t="shared" ref="Z2:Z11" si="12">M2+N2+O2+U2+V2+T2+W2+X2+Y2</f>
        <v>4882.2497835499998</v>
      </c>
      <c r="AA2" s="62">
        <f t="shared" ref="AA2:AA11" si="13">L2-Z2+Y2+W2</f>
        <v>40117.750216450004</v>
      </c>
      <c r="AB2" s="76"/>
    </row>
    <row r="3" spans="1:28" s="57" customFormat="1" ht="12" x14ac:dyDescent="0.25">
      <c r="A3" s="118" t="s">
        <v>64</v>
      </c>
      <c r="B3" s="133" t="s">
        <v>65</v>
      </c>
      <c r="C3" s="59">
        <v>46083</v>
      </c>
      <c r="D3" s="62">
        <v>50000</v>
      </c>
      <c r="E3" s="61">
        <v>31</v>
      </c>
      <c r="F3" s="61">
        <f t="shared" si="0"/>
        <v>31</v>
      </c>
      <c r="G3" s="61">
        <v>0</v>
      </c>
      <c r="H3" s="62">
        <f t="shared" si="1"/>
        <v>24999.994999999995</v>
      </c>
      <c r="I3" s="62">
        <f t="shared" si="2"/>
        <v>12499.997499999998</v>
      </c>
      <c r="J3" s="62">
        <f t="shared" si="3"/>
        <v>1600</v>
      </c>
      <c r="K3" s="62">
        <f t="shared" si="4"/>
        <v>7897.5077405000047</v>
      </c>
      <c r="L3" s="62">
        <f t="shared" si="5"/>
        <v>46997.500240499998</v>
      </c>
      <c r="M3" s="62">
        <f t="shared" si="6"/>
        <v>1800</v>
      </c>
      <c r="N3" s="62">
        <f t="shared" si="7"/>
        <v>0</v>
      </c>
      <c r="O3" s="62">
        <v>200</v>
      </c>
      <c r="P3" s="62">
        <v>0</v>
      </c>
      <c r="Q3" s="62">
        <v>0</v>
      </c>
      <c r="R3" s="62">
        <v>0</v>
      </c>
      <c r="S3" s="62">
        <f t="shared" si="8"/>
        <v>46997.500240499998</v>
      </c>
      <c r="T3" s="62">
        <v>0</v>
      </c>
      <c r="U3" s="63">
        <f t="shared" ref="U3:U9" si="14">ROUND((L3/E3)*G3,0)</f>
        <v>0</v>
      </c>
      <c r="V3" s="62">
        <v>0</v>
      </c>
      <c r="W3" s="62">
        <f t="shared" si="9"/>
        <v>1800</v>
      </c>
      <c r="X3" s="62">
        <f t="shared" si="10"/>
        <v>0</v>
      </c>
      <c r="Y3" s="62">
        <f t="shared" si="11"/>
        <v>1202.4997594999998</v>
      </c>
      <c r="Z3" s="62">
        <f t="shared" si="12"/>
        <v>5002.4997594999995</v>
      </c>
      <c r="AA3" s="62">
        <f t="shared" si="13"/>
        <v>44997.500240499998</v>
      </c>
    </row>
    <row r="4" spans="1:28" s="57" customFormat="1" ht="12" x14ac:dyDescent="0.25">
      <c r="A4" s="118" t="s">
        <v>66</v>
      </c>
      <c r="B4" s="118" t="s">
        <v>67</v>
      </c>
      <c r="C4" s="59">
        <v>46083</v>
      </c>
      <c r="D4" s="60">
        <v>45000</v>
      </c>
      <c r="E4" s="61">
        <v>31</v>
      </c>
      <c r="F4" s="61">
        <f t="shared" si="0"/>
        <v>31</v>
      </c>
      <c r="G4" s="61">
        <v>0</v>
      </c>
      <c r="H4" s="62">
        <f t="shared" si="1"/>
        <v>22499.995499999997</v>
      </c>
      <c r="I4" s="62">
        <f t="shared" si="2"/>
        <v>11249.997749999999</v>
      </c>
      <c r="J4" s="62">
        <f t="shared" si="3"/>
        <v>1600</v>
      </c>
      <c r="K4" s="62">
        <f t="shared" si="4"/>
        <v>6767.7569664500079</v>
      </c>
      <c r="L4" s="62">
        <f t="shared" si="5"/>
        <v>42117.750216450004</v>
      </c>
      <c r="M4" s="62">
        <f t="shared" si="6"/>
        <v>1800</v>
      </c>
      <c r="N4" s="62">
        <f t="shared" si="7"/>
        <v>0</v>
      </c>
      <c r="O4" s="62">
        <v>200</v>
      </c>
      <c r="P4" s="62">
        <v>0</v>
      </c>
      <c r="Q4" s="62">
        <v>0</v>
      </c>
      <c r="R4" s="62">
        <v>0</v>
      </c>
      <c r="S4" s="62">
        <f t="shared" si="8"/>
        <v>42117.750216450004</v>
      </c>
      <c r="T4" s="62">
        <v>0</v>
      </c>
      <c r="U4" s="63">
        <f t="shared" si="14"/>
        <v>0</v>
      </c>
      <c r="V4" s="62">
        <v>0</v>
      </c>
      <c r="W4" s="62">
        <f t="shared" si="9"/>
        <v>1800</v>
      </c>
      <c r="X4" s="62">
        <f t="shared" si="10"/>
        <v>0</v>
      </c>
      <c r="Y4" s="62">
        <f t="shared" si="11"/>
        <v>1082.2497835499998</v>
      </c>
      <c r="Z4" s="62">
        <f t="shared" si="12"/>
        <v>4882.2497835499998</v>
      </c>
      <c r="AA4" s="62">
        <f t="shared" si="13"/>
        <v>40117.750216450004</v>
      </c>
    </row>
    <row r="5" spans="1:28" s="57" customFormat="1" ht="12" x14ac:dyDescent="0.25">
      <c r="A5" s="118" t="s">
        <v>72</v>
      </c>
      <c r="B5" s="133" t="s">
        <v>73</v>
      </c>
      <c r="C5" s="59">
        <v>46083</v>
      </c>
      <c r="D5" s="60">
        <v>45000</v>
      </c>
      <c r="E5" s="61">
        <v>31</v>
      </c>
      <c r="F5" s="61">
        <f t="shared" si="0"/>
        <v>31</v>
      </c>
      <c r="G5" s="61">
        <v>0</v>
      </c>
      <c r="H5" s="62">
        <f t="shared" si="1"/>
        <v>22499.995499999997</v>
      </c>
      <c r="I5" s="62">
        <f t="shared" si="2"/>
        <v>11249.997749999999</v>
      </c>
      <c r="J5" s="62">
        <f t="shared" si="3"/>
        <v>1600</v>
      </c>
      <c r="K5" s="62">
        <f t="shared" si="4"/>
        <v>6767.7569664500079</v>
      </c>
      <c r="L5" s="62">
        <f t="shared" si="5"/>
        <v>42117.750216450004</v>
      </c>
      <c r="M5" s="62">
        <f t="shared" si="6"/>
        <v>1800</v>
      </c>
      <c r="N5" s="62">
        <f t="shared" si="7"/>
        <v>0</v>
      </c>
      <c r="O5" s="62">
        <v>200</v>
      </c>
      <c r="P5" s="62">
        <v>0</v>
      </c>
      <c r="Q5" s="62">
        <v>0</v>
      </c>
      <c r="R5" s="62">
        <v>0</v>
      </c>
      <c r="S5" s="62">
        <f t="shared" si="8"/>
        <v>42117.750216450004</v>
      </c>
      <c r="T5" s="62">
        <v>0</v>
      </c>
      <c r="U5" s="63">
        <f t="shared" si="14"/>
        <v>0</v>
      </c>
      <c r="V5" s="62">
        <v>0</v>
      </c>
      <c r="W5" s="62">
        <f t="shared" si="9"/>
        <v>1800</v>
      </c>
      <c r="X5" s="62">
        <f t="shared" si="10"/>
        <v>0</v>
      </c>
      <c r="Y5" s="62">
        <f t="shared" si="11"/>
        <v>1082.2497835499998</v>
      </c>
      <c r="Z5" s="62">
        <f t="shared" si="12"/>
        <v>4882.2497835499998</v>
      </c>
      <c r="AA5" s="62">
        <f t="shared" si="13"/>
        <v>40117.750216450004</v>
      </c>
    </row>
    <row r="6" spans="1:28" s="57" customFormat="1" ht="12" x14ac:dyDescent="0.25">
      <c r="A6" s="118" t="s">
        <v>74</v>
      </c>
      <c r="B6" s="133" t="s">
        <v>75</v>
      </c>
      <c r="C6" s="59">
        <v>46083</v>
      </c>
      <c r="D6" s="60">
        <v>50000</v>
      </c>
      <c r="E6" s="61">
        <v>31</v>
      </c>
      <c r="F6" s="61">
        <f t="shared" si="0"/>
        <v>31</v>
      </c>
      <c r="G6" s="61">
        <v>0</v>
      </c>
      <c r="H6" s="62">
        <f t="shared" si="1"/>
        <v>24999.994999999995</v>
      </c>
      <c r="I6" s="62">
        <f t="shared" si="2"/>
        <v>12499.997499999998</v>
      </c>
      <c r="J6" s="62">
        <f t="shared" si="3"/>
        <v>1600</v>
      </c>
      <c r="K6" s="62">
        <f t="shared" si="4"/>
        <v>7897.5077405000047</v>
      </c>
      <c r="L6" s="62">
        <f t="shared" si="5"/>
        <v>46997.500240499998</v>
      </c>
      <c r="M6" s="62">
        <f t="shared" si="6"/>
        <v>1800</v>
      </c>
      <c r="N6" s="62">
        <f t="shared" si="7"/>
        <v>0</v>
      </c>
      <c r="O6" s="62">
        <v>200</v>
      </c>
      <c r="P6" s="62">
        <v>0</v>
      </c>
      <c r="Q6" s="62">
        <v>0</v>
      </c>
      <c r="R6" s="62">
        <v>0</v>
      </c>
      <c r="S6" s="62">
        <f t="shared" si="8"/>
        <v>46997.500240499998</v>
      </c>
      <c r="T6" s="62">
        <v>0</v>
      </c>
      <c r="U6" s="63">
        <f t="shared" si="14"/>
        <v>0</v>
      </c>
      <c r="V6" s="62">
        <v>0</v>
      </c>
      <c r="W6" s="62">
        <f t="shared" si="9"/>
        <v>1800</v>
      </c>
      <c r="X6" s="62">
        <f t="shared" si="10"/>
        <v>0</v>
      </c>
      <c r="Y6" s="62">
        <f t="shared" si="11"/>
        <v>1202.4997594999998</v>
      </c>
      <c r="Z6" s="62">
        <f t="shared" si="12"/>
        <v>5002.4997594999995</v>
      </c>
      <c r="AA6" s="62">
        <f t="shared" si="13"/>
        <v>44997.500240499998</v>
      </c>
    </row>
    <row r="7" spans="1:28" s="57" customFormat="1" ht="12" x14ac:dyDescent="0.25">
      <c r="A7" s="118" t="s">
        <v>80</v>
      </c>
      <c r="B7" s="133" t="s">
        <v>81</v>
      </c>
      <c r="C7" s="59">
        <v>46083</v>
      </c>
      <c r="D7" s="60">
        <v>60000</v>
      </c>
      <c r="E7" s="61">
        <v>31</v>
      </c>
      <c r="F7" s="61">
        <f t="shared" si="0"/>
        <v>31</v>
      </c>
      <c r="G7" s="61">
        <v>0</v>
      </c>
      <c r="H7" s="62">
        <f t="shared" si="1"/>
        <v>29999.993999999995</v>
      </c>
      <c r="I7" s="62">
        <f t="shared" si="2"/>
        <v>14999.996999999998</v>
      </c>
      <c r="J7" s="62">
        <f t="shared" si="3"/>
        <v>1600</v>
      </c>
      <c r="K7" s="62">
        <f t="shared" si="4"/>
        <v>10157.009288600007</v>
      </c>
      <c r="L7" s="62">
        <f t="shared" si="5"/>
        <v>56757.0002886</v>
      </c>
      <c r="M7" s="62">
        <f t="shared" si="6"/>
        <v>1800</v>
      </c>
      <c r="N7" s="62">
        <f t="shared" si="7"/>
        <v>0</v>
      </c>
      <c r="O7" s="62">
        <v>200</v>
      </c>
      <c r="P7" s="62">
        <v>0</v>
      </c>
      <c r="Q7" s="62">
        <v>0</v>
      </c>
      <c r="R7" s="62">
        <v>0</v>
      </c>
      <c r="S7" s="62">
        <f t="shared" si="8"/>
        <v>56757.0002886</v>
      </c>
      <c r="T7" s="62">
        <v>0</v>
      </c>
      <c r="U7" s="63">
        <f t="shared" si="14"/>
        <v>0</v>
      </c>
      <c r="V7" s="62">
        <v>0</v>
      </c>
      <c r="W7" s="62">
        <f t="shared" si="9"/>
        <v>1800</v>
      </c>
      <c r="X7" s="62">
        <f t="shared" si="10"/>
        <v>0</v>
      </c>
      <c r="Y7" s="62">
        <f t="shared" si="11"/>
        <v>1442.9997113999996</v>
      </c>
      <c r="Z7" s="62">
        <f t="shared" si="12"/>
        <v>5242.9997113999998</v>
      </c>
      <c r="AA7" s="62">
        <f t="shared" si="13"/>
        <v>54757.0002886</v>
      </c>
    </row>
    <row r="8" spans="1:28" s="57" customFormat="1" ht="24" x14ac:dyDescent="0.25">
      <c r="A8" s="118" t="s">
        <v>84</v>
      </c>
      <c r="B8" s="118" t="s">
        <v>85</v>
      </c>
      <c r="C8" s="59">
        <v>46083</v>
      </c>
      <c r="D8" s="60">
        <v>35000</v>
      </c>
      <c r="E8" s="61">
        <v>31</v>
      </c>
      <c r="F8" s="61">
        <f t="shared" si="0"/>
        <v>31</v>
      </c>
      <c r="G8" s="61">
        <v>0</v>
      </c>
      <c r="H8" s="62">
        <f t="shared" si="1"/>
        <v>17499.996499999997</v>
      </c>
      <c r="I8" s="62">
        <f t="shared" si="2"/>
        <v>8749.9982499999987</v>
      </c>
      <c r="J8" s="62">
        <f t="shared" si="3"/>
        <v>1600</v>
      </c>
      <c r="K8" s="62">
        <f t="shared" si="4"/>
        <v>4508.2554183500051</v>
      </c>
      <c r="L8" s="62">
        <f t="shared" si="5"/>
        <v>32358.250168350001</v>
      </c>
      <c r="M8" s="62">
        <f t="shared" si="6"/>
        <v>1800</v>
      </c>
      <c r="N8" s="62">
        <f t="shared" si="7"/>
        <v>0</v>
      </c>
      <c r="O8" s="62">
        <v>200</v>
      </c>
      <c r="P8" s="62">
        <v>0</v>
      </c>
      <c r="Q8" s="62">
        <v>0</v>
      </c>
      <c r="R8" s="62">
        <v>0</v>
      </c>
      <c r="S8" s="62">
        <f t="shared" si="8"/>
        <v>32358.250168350001</v>
      </c>
      <c r="T8" s="62">
        <v>0</v>
      </c>
      <c r="U8" s="63">
        <f t="shared" si="14"/>
        <v>0</v>
      </c>
      <c r="V8" s="62">
        <v>0</v>
      </c>
      <c r="W8" s="62">
        <f t="shared" si="9"/>
        <v>1800</v>
      </c>
      <c r="X8" s="62">
        <f t="shared" si="10"/>
        <v>0</v>
      </c>
      <c r="Y8" s="62">
        <f t="shared" si="11"/>
        <v>841.74983164999981</v>
      </c>
      <c r="Z8" s="62">
        <f t="shared" si="12"/>
        <v>4641.7498316499996</v>
      </c>
      <c r="AA8" s="62">
        <f t="shared" si="13"/>
        <v>30358.250168350001</v>
      </c>
    </row>
    <row r="9" spans="1:28" s="57" customFormat="1" ht="12" x14ac:dyDescent="0.25">
      <c r="A9" s="118" t="s">
        <v>86</v>
      </c>
      <c r="B9" s="118" t="s">
        <v>87</v>
      </c>
      <c r="C9" s="59">
        <v>46083</v>
      </c>
      <c r="D9" s="60">
        <v>35000</v>
      </c>
      <c r="E9" s="61">
        <v>31</v>
      </c>
      <c r="F9" s="61">
        <f t="shared" si="0"/>
        <v>31</v>
      </c>
      <c r="G9" s="61">
        <v>0</v>
      </c>
      <c r="H9" s="62">
        <f t="shared" si="1"/>
        <v>17499.996499999997</v>
      </c>
      <c r="I9" s="62">
        <f t="shared" si="2"/>
        <v>8749.9982499999987</v>
      </c>
      <c r="J9" s="62">
        <f t="shared" si="3"/>
        <v>1600</v>
      </c>
      <c r="K9" s="62">
        <f t="shared" si="4"/>
        <v>4508.2554183500051</v>
      </c>
      <c r="L9" s="62">
        <f t="shared" si="5"/>
        <v>32358.250168350001</v>
      </c>
      <c r="M9" s="62">
        <f t="shared" si="6"/>
        <v>1800</v>
      </c>
      <c r="N9" s="62">
        <f t="shared" si="7"/>
        <v>0</v>
      </c>
      <c r="O9" s="62">
        <v>200</v>
      </c>
      <c r="P9" s="62">
        <v>0</v>
      </c>
      <c r="Q9" s="62">
        <v>0</v>
      </c>
      <c r="R9" s="62">
        <v>0</v>
      </c>
      <c r="S9" s="62">
        <f t="shared" si="8"/>
        <v>32358.250168350001</v>
      </c>
      <c r="T9" s="62">
        <v>0</v>
      </c>
      <c r="U9" s="63">
        <f t="shared" si="14"/>
        <v>0</v>
      </c>
      <c r="V9" s="62">
        <v>0</v>
      </c>
      <c r="W9" s="62">
        <f t="shared" si="9"/>
        <v>1800</v>
      </c>
      <c r="X9" s="62">
        <f t="shared" si="10"/>
        <v>0</v>
      </c>
      <c r="Y9" s="62">
        <f t="shared" si="11"/>
        <v>841.74983164999981</v>
      </c>
      <c r="Z9" s="62">
        <f t="shared" si="12"/>
        <v>4641.7498316499996</v>
      </c>
      <c r="AA9" s="62">
        <f t="shared" si="13"/>
        <v>30358.250168350001</v>
      </c>
      <c r="AB9" s="76"/>
    </row>
    <row r="10" spans="1:28" s="57" customFormat="1" ht="30" customHeight="1" x14ac:dyDescent="0.25">
      <c r="A10" s="118" t="s">
        <v>94</v>
      </c>
      <c r="B10" s="118" t="s">
        <v>95</v>
      </c>
      <c r="C10" s="59">
        <v>46083</v>
      </c>
      <c r="D10" s="60">
        <v>60000</v>
      </c>
      <c r="E10" s="61">
        <v>31</v>
      </c>
      <c r="F10" s="61">
        <f t="shared" si="0"/>
        <v>31</v>
      </c>
      <c r="G10" s="61">
        <v>0</v>
      </c>
      <c r="H10" s="62">
        <f t="shared" si="1"/>
        <v>29999.993999999995</v>
      </c>
      <c r="I10" s="62">
        <f t="shared" si="2"/>
        <v>14999.996999999998</v>
      </c>
      <c r="J10" s="62">
        <f t="shared" si="3"/>
        <v>1600</v>
      </c>
      <c r="K10" s="62">
        <f t="shared" si="4"/>
        <v>10157.009288600007</v>
      </c>
      <c r="L10" s="62">
        <f t="shared" si="5"/>
        <v>56757.0002886</v>
      </c>
      <c r="M10" s="62">
        <f t="shared" si="6"/>
        <v>1800</v>
      </c>
      <c r="N10" s="62">
        <f t="shared" si="7"/>
        <v>0</v>
      </c>
      <c r="O10" s="62">
        <v>200</v>
      </c>
      <c r="P10" s="62">
        <v>0</v>
      </c>
      <c r="Q10" s="62">
        <v>0</v>
      </c>
      <c r="R10" s="62">
        <v>0</v>
      </c>
      <c r="S10" s="62">
        <f t="shared" si="8"/>
        <v>56757.0002886</v>
      </c>
      <c r="T10" s="62">
        <v>0</v>
      </c>
      <c r="U10" s="63">
        <v>0</v>
      </c>
      <c r="V10" s="62">
        <v>0</v>
      </c>
      <c r="W10" s="62">
        <f t="shared" si="9"/>
        <v>1800</v>
      </c>
      <c r="X10" s="62">
        <f t="shared" si="10"/>
        <v>0</v>
      </c>
      <c r="Y10" s="62">
        <f t="shared" si="11"/>
        <v>1442.9997113999996</v>
      </c>
      <c r="Z10" s="62">
        <f t="shared" si="12"/>
        <v>5242.9997113999998</v>
      </c>
      <c r="AA10" s="62">
        <f t="shared" si="13"/>
        <v>54757.0002886</v>
      </c>
    </row>
    <row r="11" spans="1:28" s="57" customFormat="1" ht="15.6" customHeight="1" x14ac:dyDescent="0.25">
      <c r="A11" s="119" t="s">
        <v>252</v>
      </c>
      <c r="B11" s="119" t="s">
        <v>253</v>
      </c>
      <c r="C11" s="71">
        <v>46146</v>
      </c>
      <c r="D11" s="61">
        <v>15000</v>
      </c>
      <c r="E11" s="61">
        <v>31</v>
      </c>
      <c r="F11" s="61">
        <f t="shared" si="0"/>
        <v>31</v>
      </c>
      <c r="G11" s="61">
        <v>0</v>
      </c>
      <c r="H11" s="68">
        <f t="shared" si="1"/>
        <v>7499.9984999999988</v>
      </c>
      <c r="I11" s="68">
        <f t="shared" si="2"/>
        <v>3749.9992499999994</v>
      </c>
      <c r="J11" s="68">
        <f t="shared" si="3"/>
        <v>1600</v>
      </c>
      <c r="K11" s="68">
        <f t="shared" si="4"/>
        <v>889.25250215000278</v>
      </c>
      <c r="L11" s="68">
        <f t="shared" si="5"/>
        <v>13739.250252150001</v>
      </c>
      <c r="M11" s="68">
        <f t="shared" si="6"/>
        <v>899.99981999999977</v>
      </c>
      <c r="N11" s="68">
        <v>0</v>
      </c>
      <c r="O11" s="68">
        <v>150</v>
      </c>
      <c r="P11" s="68">
        <v>0</v>
      </c>
      <c r="Q11" s="68">
        <v>0</v>
      </c>
      <c r="R11" s="68">
        <v>0</v>
      </c>
      <c r="S11" s="68">
        <f t="shared" si="8"/>
        <v>13739.250252150001</v>
      </c>
      <c r="T11" s="68">
        <v>0</v>
      </c>
      <c r="U11" s="63">
        <v>0</v>
      </c>
      <c r="V11" s="68">
        <v>0</v>
      </c>
      <c r="W11" s="68">
        <f t="shared" si="9"/>
        <v>899.99981999999977</v>
      </c>
      <c r="X11" s="68">
        <v>0</v>
      </c>
      <c r="Y11" s="68">
        <f t="shared" si="11"/>
        <v>360.74992784999989</v>
      </c>
      <c r="Z11" s="68">
        <f t="shared" si="12"/>
        <v>2310.7495678499995</v>
      </c>
      <c r="AA11" s="68">
        <f t="shared" si="13"/>
        <v>12689.25043215</v>
      </c>
    </row>
    <row r="12" spans="1:28" s="57" customFormat="1" ht="15.6" customHeight="1" x14ac:dyDescent="0.25">
      <c r="A12" s="67"/>
      <c r="B12" s="67"/>
      <c r="C12" s="94"/>
      <c r="D12" s="67"/>
      <c r="E12" s="61"/>
      <c r="F12" s="61"/>
      <c r="G12" s="61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3"/>
      <c r="V12" s="68"/>
      <c r="W12" s="68"/>
      <c r="X12" s="68"/>
      <c r="Y12" s="68"/>
      <c r="Z12" s="68"/>
      <c r="AA12" s="68"/>
    </row>
    <row r="13" spans="1:28" x14ac:dyDescent="0.3">
      <c r="A13" s="15"/>
      <c r="B13" s="15"/>
      <c r="C13" s="15"/>
      <c r="D13" s="61"/>
      <c r="E13" s="61"/>
      <c r="F13" s="61"/>
      <c r="G13" s="61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3"/>
      <c r="V13" s="68"/>
      <c r="W13" s="68"/>
      <c r="X13" s="68"/>
      <c r="Y13" s="68"/>
      <c r="Z13" s="68"/>
      <c r="AA13" s="68"/>
    </row>
    <row r="14" spans="1:28" x14ac:dyDescent="0.3">
      <c r="A14" t="s">
        <v>322</v>
      </c>
      <c r="B14" s="138" t="s">
        <v>319</v>
      </c>
      <c r="C14" s="139"/>
      <c r="D14" s="60">
        <v>23000</v>
      </c>
      <c r="E14" s="61">
        <v>30</v>
      </c>
      <c r="F14" s="61">
        <f t="shared" ref="F14" si="15">E14-G14</f>
        <v>30</v>
      </c>
      <c r="G14" s="61"/>
      <c r="H14" s="68">
        <f t="shared" ref="H14:H17" si="16">(+D14*49.99999%)/E14*F14</f>
        <v>11499.997699999998</v>
      </c>
      <c r="I14" s="68">
        <f t="shared" ref="I14:I17" si="17">(H14*50%)</f>
        <v>5749.998849999999</v>
      </c>
      <c r="J14" s="68">
        <f t="shared" ref="J14:J17" si="18">(1600/E14)*F14</f>
        <v>1600</v>
      </c>
      <c r="K14" s="68">
        <f t="shared" ref="K14:K17" si="19">(L14-H14-I14-J14)</f>
        <v>2216.8538366300008</v>
      </c>
      <c r="L14" s="68">
        <f t="shared" ref="L14:L17" si="20">(D14-W14)/E14*F14-Y14</f>
        <v>21066.850386629998</v>
      </c>
      <c r="M14" s="68">
        <f t="shared" si="6"/>
        <v>1379.9997239999998</v>
      </c>
      <c r="N14" s="68">
        <v>0</v>
      </c>
      <c r="O14" s="68">
        <v>150</v>
      </c>
      <c r="P14" s="68">
        <v>0</v>
      </c>
      <c r="Q14" s="68">
        <v>0</v>
      </c>
      <c r="R14" s="68">
        <v>0</v>
      </c>
      <c r="S14" s="68">
        <f t="shared" ref="S14:S17" si="21">L14+P14+Q14+R14</f>
        <v>21066.850386629998</v>
      </c>
      <c r="T14" s="68">
        <v>0</v>
      </c>
      <c r="U14" s="63">
        <v>0</v>
      </c>
      <c r="V14" s="68">
        <v>0</v>
      </c>
      <c r="W14" s="68">
        <f t="shared" si="9"/>
        <v>1379.9997239999998</v>
      </c>
      <c r="X14" s="68">
        <v>4</v>
      </c>
      <c r="Y14" s="68">
        <f t="shared" ref="Y14:Y17" si="22">H14*4.81%</f>
        <v>553.14988936999987</v>
      </c>
      <c r="Z14" s="68">
        <f t="shared" ref="Z14:Z17" si="23">M14+N14+O14+U14+V14+T14+W14+X14+Y14</f>
        <v>3467.1493373699996</v>
      </c>
      <c r="AA14" s="68">
        <f t="shared" ref="AA14:AA17" si="24">L14-Z14+Y14+W14</f>
        <v>19532.85066263</v>
      </c>
    </row>
    <row r="15" spans="1:28" ht="28.8" x14ac:dyDescent="0.3">
      <c r="A15" t="s">
        <v>322</v>
      </c>
      <c r="B15" s="50" t="s">
        <v>163</v>
      </c>
      <c r="C15" s="137"/>
      <c r="D15" s="60">
        <v>45000</v>
      </c>
      <c r="E15" s="61">
        <v>30</v>
      </c>
      <c r="F15" s="61">
        <v>30</v>
      </c>
      <c r="G15" s="61"/>
      <c r="H15" s="68">
        <f t="shared" si="16"/>
        <v>22499.995499999997</v>
      </c>
      <c r="I15" s="68">
        <f t="shared" si="17"/>
        <v>11249.997749999999</v>
      </c>
      <c r="J15" s="68">
        <f t="shared" si="18"/>
        <v>1600</v>
      </c>
      <c r="K15" s="68">
        <f t="shared" si="19"/>
        <v>6767.7569664500079</v>
      </c>
      <c r="L15" s="68">
        <f t="shared" si="20"/>
        <v>42117.750216450004</v>
      </c>
      <c r="M15" s="68">
        <f t="shared" si="6"/>
        <v>1800</v>
      </c>
      <c r="N15" s="68">
        <v>0</v>
      </c>
      <c r="O15" s="68">
        <v>150</v>
      </c>
      <c r="P15" s="68">
        <v>0</v>
      </c>
      <c r="Q15" s="68">
        <v>0</v>
      </c>
      <c r="R15" s="68">
        <v>0</v>
      </c>
      <c r="S15" s="68">
        <f t="shared" si="21"/>
        <v>42117.750216450004</v>
      </c>
      <c r="T15" s="68">
        <v>0</v>
      </c>
      <c r="U15" s="63">
        <v>0</v>
      </c>
      <c r="V15" s="68">
        <v>0</v>
      </c>
      <c r="W15" s="68">
        <f t="shared" si="9"/>
        <v>1800</v>
      </c>
      <c r="X15" s="68">
        <v>5</v>
      </c>
      <c r="Y15" s="68">
        <f t="shared" si="22"/>
        <v>1082.2497835499998</v>
      </c>
      <c r="Z15" s="68">
        <f t="shared" si="23"/>
        <v>4837.2497835499998</v>
      </c>
      <c r="AA15" s="68">
        <f t="shared" si="24"/>
        <v>40162.750216450004</v>
      </c>
    </row>
    <row r="16" spans="1:28" ht="28.8" x14ac:dyDescent="0.3">
      <c r="A16" t="s">
        <v>322</v>
      </c>
      <c r="B16" s="50" t="s">
        <v>320</v>
      </c>
      <c r="C16" s="137"/>
      <c r="D16" s="60">
        <v>15000</v>
      </c>
      <c r="E16" s="61">
        <v>30</v>
      </c>
      <c r="F16" s="61">
        <v>30</v>
      </c>
      <c r="G16" s="67"/>
      <c r="H16" s="68">
        <f t="shared" si="16"/>
        <v>7499.9984999999988</v>
      </c>
      <c r="I16" s="68">
        <f t="shared" si="17"/>
        <v>3749.9992499999994</v>
      </c>
      <c r="J16" s="68">
        <f t="shared" si="18"/>
        <v>1600</v>
      </c>
      <c r="K16" s="68">
        <f t="shared" si="19"/>
        <v>889.25250215000278</v>
      </c>
      <c r="L16" s="68">
        <f t="shared" si="20"/>
        <v>13739.250252150001</v>
      </c>
      <c r="M16" s="68">
        <f t="shared" si="6"/>
        <v>899.99981999999977</v>
      </c>
      <c r="N16" s="68">
        <v>0</v>
      </c>
      <c r="O16" s="68">
        <v>150</v>
      </c>
      <c r="P16" s="68">
        <v>0</v>
      </c>
      <c r="Q16" s="68">
        <v>0</v>
      </c>
      <c r="R16" s="68">
        <v>0</v>
      </c>
      <c r="S16" s="68">
        <f t="shared" si="21"/>
        <v>13739.250252150001</v>
      </c>
      <c r="T16" s="68">
        <v>0</v>
      </c>
      <c r="U16" s="63">
        <v>0</v>
      </c>
      <c r="V16" s="68">
        <v>0</v>
      </c>
      <c r="W16" s="68">
        <f t="shared" si="9"/>
        <v>899.99981999999977</v>
      </c>
      <c r="X16" s="68">
        <v>6</v>
      </c>
      <c r="Y16" s="68">
        <f t="shared" si="22"/>
        <v>360.74992784999989</v>
      </c>
      <c r="Z16" s="68">
        <f t="shared" si="23"/>
        <v>2316.7495678499995</v>
      </c>
      <c r="AA16" s="68">
        <f t="shared" si="24"/>
        <v>12683.25043215</v>
      </c>
    </row>
    <row r="17" spans="1:27" ht="28.8" x14ac:dyDescent="0.3">
      <c r="A17" t="s">
        <v>322</v>
      </c>
      <c r="B17" s="50" t="s">
        <v>321</v>
      </c>
      <c r="C17" s="137"/>
      <c r="D17" s="60">
        <v>45000</v>
      </c>
      <c r="E17" s="61">
        <v>30</v>
      </c>
      <c r="F17" s="61">
        <v>30</v>
      </c>
      <c r="G17" s="61"/>
      <c r="H17" s="62">
        <f t="shared" si="16"/>
        <v>22499.995499999997</v>
      </c>
      <c r="I17" s="62">
        <f t="shared" si="17"/>
        <v>11249.997749999999</v>
      </c>
      <c r="J17" s="62">
        <f t="shared" si="18"/>
        <v>1600</v>
      </c>
      <c r="K17" s="62">
        <f t="shared" si="19"/>
        <v>6767.7569664500079</v>
      </c>
      <c r="L17" s="62">
        <f t="shared" si="20"/>
        <v>42117.750216450004</v>
      </c>
      <c r="M17" s="62">
        <f t="shared" si="6"/>
        <v>1800</v>
      </c>
      <c r="N17" s="62">
        <v>0</v>
      </c>
      <c r="O17" s="62">
        <v>150</v>
      </c>
      <c r="P17" s="62">
        <v>0</v>
      </c>
      <c r="Q17" s="62">
        <v>0</v>
      </c>
      <c r="R17" s="62">
        <v>0</v>
      </c>
      <c r="S17" s="62">
        <f t="shared" si="21"/>
        <v>42117.750216450004</v>
      </c>
      <c r="T17" s="62">
        <v>0</v>
      </c>
      <c r="U17" s="113">
        <v>0</v>
      </c>
      <c r="V17" s="62">
        <v>0</v>
      </c>
      <c r="W17" s="62">
        <f t="shared" si="9"/>
        <v>1800</v>
      </c>
      <c r="X17" s="62">
        <v>7</v>
      </c>
      <c r="Y17" s="62">
        <f t="shared" si="22"/>
        <v>1082.2497835499998</v>
      </c>
      <c r="Z17" s="62">
        <f t="shared" si="23"/>
        <v>4839.2497835499998</v>
      </c>
      <c r="AA17" s="62">
        <f t="shared" si="24"/>
        <v>40160.750216450004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34BD-2539-47FA-8334-D922DCC7CB85}">
  <dimension ref="A1:AA18"/>
  <sheetViews>
    <sheetView topLeftCell="E1" workbookViewId="0">
      <selection activeCell="K18" sqref="K18:R18"/>
    </sheetView>
  </sheetViews>
  <sheetFormatPr defaultRowHeight="14.4" x14ac:dyDescent="0.3"/>
  <cols>
    <col min="2" max="2" width="17" customWidth="1"/>
  </cols>
  <sheetData>
    <row r="1" spans="1:27" s="57" customFormat="1" ht="24" x14ac:dyDescent="0.3">
      <c r="A1" s="55" t="s">
        <v>1</v>
      </c>
      <c r="B1" s="55" t="s">
        <v>0</v>
      </c>
      <c r="C1" s="55" t="s">
        <v>21</v>
      </c>
      <c r="D1" s="55" t="s">
        <v>25</v>
      </c>
      <c r="E1" s="70" t="s">
        <v>22</v>
      </c>
      <c r="F1" s="69" t="s">
        <v>23</v>
      </c>
      <c r="G1" s="69" t="s">
        <v>24</v>
      </c>
      <c r="H1" s="55" t="s">
        <v>2</v>
      </c>
      <c r="I1" s="55" t="s">
        <v>3</v>
      </c>
      <c r="J1" s="69" t="s">
        <v>4</v>
      </c>
      <c r="K1" s="69" t="s">
        <v>5</v>
      </c>
      <c r="L1" s="69" t="s">
        <v>54</v>
      </c>
      <c r="M1" s="69" t="s">
        <v>10</v>
      </c>
      <c r="N1" s="69" t="s">
        <v>11</v>
      </c>
      <c r="O1" s="69" t="s">
        <v>12</v>
      </c>
      <c r="P1" s="56" t="s">
        <v>6</v>
      </c>
      <c r="Q1" s="56" t="s">
        <v>7</v>
      </c>
      <c r="R1" s="70" t="s">
        <v>257</v>
      </c>
      <c r="S1" s="70" t="s">
        <v>9</v>
      </c>
      <c r="T1" s="55" t="s">
        <v>13</v>
      </c>
      <c r="U1" s="69" t="s">
        <v>14</v>
      </c>
      <c r="V1" s="69" t="s">
        <v>15</v>
      </c>
      <c r="W1" s="69" t="s">
        <v>18</v>
      </c>
      <c r="X1" s="69" t="s">
        <v>19</v>
      </c>
      <c r="Y1" s="69" t="s">
        <v>20</v>
      </c>
      <c r="Z1" s="69" t="s">
        <v>16</v>
      </c>
      <c r="AA1" s="69" t="s">
        <v>17</v>
      </c>
    </row>
    <row r="2" spans="1:27" s="57" customFormat="1" ht="24" x14ac:dyDescent="0.25">
      <c r="A2" s="58" t="s">
        <v>68</v>
      </c>
      <c r="B2" s="102" t="s">
        <v>69</v>
      </c>
      <c r="C2" s="59">
        <v>46083</v>
      </c>
      <c r="D2" s="60">
        <v>45000</v>
      </c>
      <c r="E2" s="61">
        <v>31</v>
      </c>
      <c r="F2" s="61">
        <f>E2-G2</f>
        <v>31</v>
      </c>
      <c r="G2" s="61">
        <v>0</v>
      </c>
      <c r="H2" s="62">
        <f t="shared" ref="H2:H16" si="0">(+D2*49.99999%)/E2*F2</f>
        <v>22499.995499999997</v>
      </c>
      <c r="I2" s="62">
        <f t="shared" ref="I2:I16" si="1">(H2*50%)</f>
        <v>11249.997749999999</v>
      </c>
      <c r="J2" s="62">
        <f t="shared" ref="J2:J16" si="2">(1600/E2)*F2</f>
        <v>1600</v>
      </c>
      <c r="K2" s="62">
        <f t="shared" ref="K2:K16" si="3">(L2-H2-I2-J2)</f>
        <v>6767.7569664500079</v>
      </c>
      <c r="L2" s="62">
        <f t="shared" ref="L2:L16" si="4">(D2-W2)/E2*F2-Y2</f>
        <v>42117.750216450004</v>
      </c>
      <c r="M2" s="62">
        <f t="shared" ref="M2:M16" si="5">IF($H2*0.12&gt;1800,1800,$H2*0.12)</f>
        <v>1800</v>
      </c>
      <c r="N2" s="62">
        <f>IF(L2&lt;=21000,L2*0.75%,0)</f>
        <v>0</v>
      </c>
      <c r="O2" s="62">
        <v>200</v>
      </c>
      <c r="P2" s="62">
        <v>0</v>
      </c>
      <c r="Q2" s="62">
        <v>0</v>
      </c>
      <c r="R2" s="62">
        <v>0</v>
      </c>
      <c r="S2" s="62">
        <f t="shared" ref="S2:S16" si="6">L2+P2+Q2+R2</f>
        <v>42117.750216450004</v>
      </c>
      <c r="T2" s="62">
        <v>0</v>
      </c>
      <c r="U2" s="63">
        <f>ROUND((L2/E2)*G2,0)</f>
        <v>0</v>
      </c>
      <c r="V2" s="62">
        <v>0</v>
      </c>
      <c r="W2" s="62">
        <f t="shared" ref="W2:W16" si="7">IF($H2*0.12&gt;1800,1800,$H2*0.12)</f>
        <v>1800</v>
      </c>
      <c r="X2" s="62">
        <f>IF(L2&lt;=21000,L2*3.25%,0)</f>
        <v>0</v>
      </c>
      <c r="Y2" s="62">
        <f t="shared" ref="Y2:Y16" si="8">H2*4.81%</f>
        <v>1082.2497835499998</v>
      </c>
      <c r="Z2" s="62">
        <f>M2+N2+O2+U2+V2+T2+W2+X2+Y2</f>
        <v>4882.2497835499998</v>
      </c>
      <c r="AA2" s="62">
        <f t="shared" ref="AA2:AA12" si="9">L2-Z2+Y2+W2</f>
        <v>40117.750216450004</v>
      </c>
    </row>
    <row r="3" spans="1:27" s="57" customFormat="1" ht="12" x14ac:dyDescent="0.25">
      <c r="A3" s="58" t="s">
        <v>70</v>
      </c>
      <c r="B3" s="102" t="s">
        <v>71</v>
      </c>
      <c r="C3" s="59">
        <v>46083</v>
      </c>
      <c r="D3" s="60">
        <v>45000</v>
      </c>
      <c r="E3" s="61">
        <v>31</v>
      </c>
      <c r="F3" s="61">
        <f>E3-G3</f>
        <v>31</v>
      </c>
      <c r="G3" s="61">
        <v>0</v>
      </c>
      <c r="H3" s="62">
        <f t="shared" si="0"/>
        <v>22499.995499999997</v>
      </c>
      <c r="I3" s="62">
        <f t="shared" si="1"/>
        <v>11249.997749999999</v>
      </c>
      <c r="J3" s="62">
        <f t="shared" si="2"/>
        <v>1600</v>
      </c>
      <c r="K3" s="62">
        <f t="shared" si="3"/>
        <v>6767.7569664500079</v>
      </c>
      <c r="L3" s="62">
        <f t="shared" si="4"/>
        <v>42117.750216450004</v>
      </c>
      <c r="M3" s="62">
        <f t="shared" si="5"/>
        <v>1800</v>
      </c>
      <c r="N3" s="62">
        <f>IF(L3&lt;=21000,L3*0.75%,0)</f>
        <v>0</v>
      </c>
      <c r="O3" s="62">
        <v>200</v>
      </c>
      <c r="P3" s="62">
        <v>0</v>
      </c>
      <c r="Q3" s="62">
        <v>0</v>
      </c>
      <c r="R3" s="62">
        <v>0</v>
      </c>
      <c r="S3" s="62">
        <f t="shared" si="6"/>
        <v>42117.750216450004</v>
      </c>
      <c r="T3" s="62">
        <v>0</v>
      </c>
      <c r="U3" s="63">
        <f>ROUND((L3/E3)*G3,0)</f>
        <v>0</v>
      </c>
      <c r="V3" s="62">
        <v>0</v>
      </c>
      <c r="W3" s="62">
        <f t="shared" si="7"/>
        <v>1800</v>
      </c>
      <c r="X3" s="62">
        <f>IF(L3&lt;=21000,L3*3.25%,0)</f>
        <v>0</v>
      </c>
      <c r="Y3" s="62">
        <f t="shared" si="8"/>
        <v>1082.2497835499998</v>
      </c>
      <c r="Z3" s="62">
        <f>M3+N3+O3+V3+T3+W3+X3+Y3</f>
        <v>4882.2497835499998</v>
      </c>
      <c r="AA3" s="62">
        <f t="shared" si="9"/>
        <v>40117.750216450004</v>
      </c>
    </row>
    <row r="4" spans="1:27" s="57" customFormat="1" ht="24" x14ac:dyDescent="0.25">
      <c r="A4" s="58" t="s">
        <v>82</v>
      </c>
      <c r="B4" s="102" t="s">
        <v>83</v>
      </c>
      <c r="C4" s="59">
        <v>46083</v>
      </c>
      <c r="D4" s="60">
        <v>15000</v>
      </c>
      <c r="E4" s="61">
        <v>31</v>
      </c>
      <c r="F4" s="61">
        <f t="shared" ref="F4" si="10">E4-G4</f>
        <v>31</v>
      </c>
      <c r="G4" s="61">
        <v>0</v>
      </c>
      <c r="H4" s="62">
        <f t="shared" si="0"/>
        <v>7499.9984999999988</v>
      </c>
      <c r="I4" s="62">
        <f t="shared" si="1"/>
        <v>3749.9992499999994</v>
      </c>
      <c r="J4" s="62">
        <f t="shared" si="2"/>
        <v>1600</v>
      </c>
      <c r="K4" s="62">
        <f t="shared" si="3"/>
        <v>889.25250215000278</v>
      </c>
      <c r="L4" s="62">
        <f t="shared" si="4"/>
        <v>13739.250252150001</v>
      </c>
      <c r="M4" s="62">
        <f t="shared" si="5"/>
        <v>899.99981999999977</v>
      </c>
      <c r="N4" s="62">
        <v>0</v>
      </c>
      <c r="O4" s="62">
        <v>200</v>
      </c>
      <c r="P4" s="62">
        <v>0</v>
      </c>
      <c r="Q4" s="62">
        <v>0</v>
      </c>
      <c r="R4" s="62">
        <v>0</v>
      </c>
      <c r="S4" s="62">
        <f t="shared" si="6"/>
        <v>13739.250252150001</v>
      </c>
      <c r="T4" s="62">
        <v>0</v>
      </c>
      <c r="U4" s="63">
        <f>ROUND((L4/E4)*G4,0)</f>
        <v>0</v>
      </c>
      <c r="V4" s="62">
        <v>0</v>
      </c>
      <c r="W4" s="62">
        <f t="shared" si="7"/>
        <v>899.99981999999977</v>
      </c>
      <c r="X4" s="62">
        <v>0</v>
      </c>
      <c r="Y4" s="62">
        <f t="shared" si="8"/>
        <v>360.74992784999989</v>
      </c>
      <c r="Z4" s="62">
        <f t="shared" ref="Z4:Z16" si="11">M4+N4+O4+U4+V4+T4+W4+X4+Y4</f>
        <v>2360.7495678499995</v>
      </c>
      <c r="AA4" s="62">
        <f t="shared" si="9"/>
        <v>12639.25043215</v>
      </c>
    </row>
    <row r="5" spans="1:27" s="57" customFormat="1" ht="12" x14ac:dyDescent="0.25">
      <c r="A5" s="64" t="s">
        <v>142</v>
      </c>
      <c r="B5" s="103" t="s">
        <v>143</v>
      </c>
      <c r="C5" s="59">
        <v>46113</v>
      </c>
      <c r="D5" s="61">
        <v>30000</v>
      </c>
      <c r="E5" s="61">
        <v>31</v>
      </c>
      <c r="F5" s="61">
        <f t="shared" ref="F5:F15" si="12">E5-G5</f>
        <v>31</v>
      </c>
      <c r="G5" s="61">
        <v>0</v>
      </c>
      <c r="H5" s="62">
        <f t="shared" si="0"/>
        <v>14999.996999999998</v>
      </c>
      <c r="I5" s="62">
        <f t="shared" si="1"/>
        <v>7499.9984999999988</v>
      </c>
      <c r="J5" s="62">
        <f t="shared" si="2"/>
        <v>1600</v>
      </c>
      <c r="K5" s="62">
        <f t="shared" si="3"/>
        <v>3378.5050043000056</v>
      </c>
      <c r="L5" s="62">
        <f t="shared" si="4"/>
        <v>27478.500504300002</v>
      </c>
      <c r="M5" s="62">
        <f t="shared" si="5"/>
        <v>1799.9996399999995</v>
      </c>
      <c r="N5" s="62">
        <f>IF(L5&lt;=21000,L5*0.75%,0)</f>
        <v>0</v>
      </c>
      <c r="O5" s="62">
        <v>200</v>
      </c>
      <c r="P5" s="62">
        <v>0</v>
      </c>
      <c r="Q5" s="62">
        <v>0</v>
      </c>
      <c r="R5" s="62">
        <v>0</v>
      </c>
      <c r="S5" s="62">
        <f t="shared" si="6"/>
        <v>27478.500504300002</v>
      </c>
      <c r="T5" s="62">
        <v>0</v>
      </c>
      <c r="U5" s="63">
        <v>0</v>
      </c>
      <c r="V5" s="62">
        <v>0</v>
      </c>
      <c r="W5" s="62">
        <f t="shared" si="7"/>
        <v>1799.9996399999995</v>
      </c>
      <c r="X5" s="62">
        <f>IF(L5&lt;=21000,L5*3.25%,0)</f>
        <v>0</v>
      </c>
      <c r="Y5" s="62">
        <f t="shared" si="8"/>
        <v>721.49985569999978</v>
      </c>
      <c r="Z5" s="62">
        <f t="shared" si="11"/>
        <v>4521.499135699999</v>
      </c>
      <c r="AA5" s="62">
        <f t="shared" si="9"/>
        <v>25478.5008643</v>
      </c>
    </row>
    <row r="6" spans="1:27" s="57" customFormat="1" ht="24" x14ac:dyDescent="0.25">
      <c r="A6" s="64" t="s">
        <v>156</v>
      </c>
      <c r="B6" s="104" t="s">
        <v>157</v>
      </c>
      <c r="C6" s="59">
        <v>46113</v>
      </c>
      <c r="D6" s="61">
        <v>15000</v>
      </c>
      <c r="E6" s="61">
        <v>31</v>
      </c>
      <c r="F6" s="61">
        <f t="shared" si="12"/>
        <v>31</v>
      </c>
      <c r="G6" s="61">
        <v>0</v>
      </c>
      <c r="H6" s="62">
        <f t="shared" si="0"/>
        <v>7499.9984999999988</v>
      </c>
      <c r="I6" s="62">
        <f t="shared" si="1"/>
        <v>3749.9992499999994</v>
      </c>
      <c r="J6" s="62">
        <f t="shared" si="2"/>
        <v>1600</v>
      </c>
      <c r="K6" s="62">
        <f t="shared" si="3"/>
        <v>889.25250215000278</v>
      </c>
      <c r="L6" s="62">
        <f t="shared" si="4"/>
        <v>13739.250252150001</v>
      </c>
      <c r="M6" s="62">
        <f t="shared" si="5"/>
        <v>899.99981999999977</v>
      </c>
      <c r="N6" s="62">
        <v>0</v>
      </c>
      <c r="O6" s="62">
        <v>150</v>
      </c>
      <c r="P6" s="62">
        <v>0</v>
      </c>
      <c r="Q6" s="62">
        <v>0</v>
      </c>
      <c r="R6" s="62">
        <v>0</v>
      </c>
      <c r="S6" s="62">
        <f t="shared" si="6"/>
        <v>13739.250252150001</v>
      </c>
      <c r="T6" s="62">
        <v>0</v>
      </c>
      <c r="U6" s="63">
        <v>0</v>
      </c>
      <c r="V6" s="62">
        <v>0</v>
      </c>
      <c r="W6" s="62">
        <f t="shared" si="7"/>
        <v>899.99981999999977</v>
      </c>
      <c r="X6" s="62">
        <v>0</v>
      </c>
      <c r="Y6" s="62">
        <f t="shared" si="8"/>
        <v>360.74992784999989</v>
      </c>
      <c r="Z6" s="62">
        <f t="shared" si="11"/>
        <v>2310.7495678499995</v>
      </c>
      <c r="AA6" s="62">
        <f t="shared" si="9"/>
        <v>12689.25043215</v>
      </c>
    </row>
    <row r="7" spans="1:27" s="57" customFormat="1" ht="12" x14ac:dyDescent="0.25">
      <c r="A7" s="64" t="s">
        <v>158</v>
      </c>
      <c r="B7" s="104" t="s">
        <v>159</v>
      </c>
      <c r="C7" s="59">
        <v>46113</v>
      </c>
      <c r="D7" s="61">
        <v>15000</v>
      </c>
      <c r="E7" s="61">
        <v>31</v>
      </c>
      <c r="F7" s="61">
        <f t="shared" si="12"/>
        <v>31</v>
      </c>
      <c r="G7" s="61">
        <v>0</v>
      </c>
      <c r="H7" s="62">
        <f t="shared" si="0"/>
        <v>7499.9984999999988</v>
      </c>
      <c r="I7" s="62">
        <f t="shared" si="1"/>
        <v>3749.9992499999994</v>
      </c>
      <c r="J7" s="62">
        <f t="shared" si="2"/>
        <v>1600</v>
      </c>
      <c r="K7" s="62">
        <f t="shared" si="3"/>
        <v>889.25250215000278</v>
      </c>
      <c r="L7" s="62">
        <f t="shared" si="4"/>
        <v>13739.250252150001</v>
      </c>
      <c r="M7" s="62">
        <f t="shared" si="5"/>
        <v>899.99981999999977</v>
      </c>
      <c r="N7" s="62">
        <v>0</v>
      </c>
      <c r="O7" s="62">
        <v>150</v>
      </c>
      <c r="P7" s="62">
        <v>0</v>
      </c>
      <c r="Q7" s="62">
        <v>0</v>
      </c>
      <c r="R7" s="62">
        <v>0</v>
      </c>
      <c r="S7" s="62">
        <f t="shared" si="6"/>
        <v>13739.250252150001</v>
      </c>
      <c r="T7" s="62">
        <v>0</v>
      </c>
      <c r="U7" s="63">
        <v>0</v>
      </c>
      <c r="V7" s="62">
        <v>0</v>
      </c>
      <c r="W7" s="62">
        <f t="shared" si="7"/>
        <v>899.99981999999977</v>
      </c>
      <c r="X7" s="62">
        <v>0</v>
      </c>
      <c r="Y7" s="62">
        <f t="shared" si="8"/>
        <v>360.74992784999989</v>
      </c>
      <c r="Z7" s="62">
        <f t="shared" si="11"/>
        <v>2310.7495678499995</v>
      </c>
      <c r="AA7" s="62">
        <f t="shared" si="9"/>
        <v>12689.25043215</v>
      </c>
    </row>
    <row r="8" spans="1:27" s="57" customFormat="1" ht="12" x14ac:dyDescent="0.25">
      <c r="A8" s="64" t="s">
        <v>166</v>
      </c>
      <c r="B8" s="103" t="s">
        <v>167</v>
      </c>
      <c r="C8" s="59">
        <v>46113</v>
      </c>
      <c r="D8" s="61">
        <v>15000</v>
      </c>
      <c r="E8" s="61">
        <v>31</v>
      </c>
      <c r="F8" s="61">
        <f t="shared" si="12"/>
        <v>31</v>
      </c>
      <c r="G8" s="61">
        <v>0</v>
      </c>
      <c r="H8" s="62">
        <f t="shared" si="0"/>
        <v>7499.9984999999988</v>
      </c>
      <c r="I8" s="62">
        <f t="shared" si="1"/>
        <v>3749.9992499999994</v>
      </c>
      <c r="J8" s="62">
        <f t="shared" si="2"/>
        <v>1600</v>
      </c>
      <c r="K8" s="62">
        <f t="shared" si="3"/>
        <v>889.25250215000278</v>
      </c>
      <c r="L8" s="62">
        <f t="shared" si="4"/>
        <v>13739.250252150001</v>
      </c>
      <c r="M8" s="62">
        <f t="shared" si="5"/>
        <v>899.99981999999977</v>
      </c>
      <c r="N8" s="62">
        <v>0</v>
      </c>
      <c r="O8" s="62">
        <v>150</v>
      </c>
      <c r="P8" s="62">
        <v>0</v>
      </c>
      <c r="Q8" s="62">
        <v>0</v>
      </c>
      <c r="R8" s="62">
        <v>0</v>
      </c>
      <c r="S8" s="62">
        <f t="shared" si="6"/>
        <v>13739.250252150001</v>
      </c>
      <c r="T8" s="62">
        <v>0</v>
      </c>
      <c r="U8" s="63">
        <v>0</v>
      </c>
      <c r="V8" s="62">
        <v>0</v>
      </c>
      <c r="W8" s="62">
        <f t="shared" si="7"/>
        <v>899.99981999999977</v>
      </c>
      <c r="X8" s="62">
        <v>0</v>
      </c>
      <c r="Y8" s="62">
        <f t="shared" si="8"/>
        <v>360.74992784999989</v>
      </c>
      <c r="Z8" s="62">
        <f t="shared" si="11"/>
        <v>2310.7495678499995</v>
      </c>
      <c r="AA8" s="62">
        <f t="shared" si="9"/>
        <v>12689.25043215</v>
      </c>
    </row>
    <row r="9" spans="1:27" s="57" customFormat="1" ht="12" x14ac:dyDescent="0.25">
      <c r="A9" s="64" t="s">
        <v>168</v>
      </c>
      <c r="B9" s="103" t="s">
        <v>169</v>
      </c>
      <c r="C9" s="59">
        <v>46113</v>
      </c>
      <c r="D9" s="61">
        <v>15000</v>
      </c>
      <c r="E9" s="61">
        <v>31</v>
      </c>
      <c r="F9" s="61">
        <f t="shared" si="12"/>
        <v>31</v>
      </c>
      <c r="G9" s="61">
        <v>0</v>
      </c>
      <c r="H9" s="62">
        <f t="shared" si="0"/>
        <v>7499.9984999999988</v>
      </c>
      <c r="I9" s="62">
        <f t="shared" si="1"/>
        <v>3749.9992499999994</v>
      </c>
      <c r="J9" s="62">
        <f t="shared" si="2"/>
        <v>1600</v>
      </c>
      <c r="K9" s="62">
        <f t="shared" si="3"/>
        <v>889.25250215000278</v>
      </c>
      <c r="L9" s="62">
        <f t="shared" si="4"/>
        <v>13739.250252150001</v>
      </c>
      <c r="M9" s="62">
        <f t="shared" si="5"/>
        <v>899.99981999999977</v>
      </c>
      <c r="N9" s="62">
        <v>0</v>
      </c>
      <c r="O9" s="62">
        <v>150</v>
      </c>
      <c r="P9" s="62">
        <v>0</v>
      </c>
      <c r="Q9" s="62">
        <v>0</v>
      </c>
      <c r="R9" s="62">
        <v>0</v>
      </c>
      <c r="S9" s="62">
        <f t="shared" si="6"/>
        <v>13739.250252150001</v>
      </c>
      <c r="T9" s="62">
        <v>0</v>
      </c>
      <c r="U9" s="63">
        <v>0</v>
      </c>
      <c r="V9" s="62">
        <v>0</v>
      </c>
      <c r="W9" s="62">
        <f t="shared" si="7"/>
        <v>899.99981999999977</v>
      </c>
      <c r="X9" s="62">
        <v>0</v>
      </c>
      <c r="Y9" s="62">
        <f t="shared" si="8"/>
        <v>360.74992784999989</v>
      </c>
      <c r="Z9" s="62">
        <f t="shared" si="11"/>
        <v>2310.7495678499995</v>
      </c>
      <c r="AA9" s="62">
        <f t="shared" si="9"/>
        <v>12689.25043215</v>
      </c>
    </row>
    <row r="10" spans="1:27" s="57" customFormat="1" ht="12" x14ac:dyDescent="0.25">
      <c r="A10" s="61" t="s">
        <v>240</v>
      </c>
      <c r="B10" s="105" t="s">
        <v>241</v>
      </c>
      <c r="C10" s="71">
        <v>46146</v>
      </c>
      <c r="D10" s="61">
        <v>30000</v>
      </c>
      <c r="E10" s="61">
        <v>31</v>
      </c>
      <c r="F10" s="61">
        <f t="shared" si="12"/>
        <v>31</v>
      </c>
      <c r="G10" s="61">
        <v>0</v>
      </c>
      <c r="H10" s="68">
        <f t="shared" si="0"/>
        <v>14999.996999999998</v>
      </c>
      <c r="I10" s="68">
        <f t="shared" si="1"/>
        <v>7499.9984999999988</v>
      </c>
      <c r="J10" s="68">
        <f t="shared" si="2"/>
        <v>1600</v>
      </c>
      <c r="K10" s="68">
        <f t="shared" si="3"/>
        <v>3378.5050043000056</v>
      </c>
      <c r="L10" s="68">
        <f t="shared" si="4"/>
        <v>27478.500504300002</v>
      </c>
      <c r="M10" s="68">
        <f t="shared" si="5"/>
        <v>1799.9996399999995</v>
      </c>
      <c r="N10" s="68">
        <f>IF(L10&lt;=21000,L10*0.75%,0)</f>
        <v>0</v>
      </c>
      <c r="O10" s="68">
        <v>200</v>
      </c>
      <c r="P10" s="68">
        <v>0</v>
      </c>
      <c r="Q10" s="68">
        <v>0</v>
      </c>
      <c r="R10" s="68">
        <v>0</v>
      </c>
      <c r="S10" s="68">
        <f t="shared" si="6"/>
        <v>27478.500504300002</v>
      </c>
      <c r="T10" s="68">
        <v>0</v>
      </c>
      <c r="U10" s="63">
        <v>0</v>
      </c>
      <c r="V10" s="68">
        <v>0</v>
      </c>
      <c r="W10" s="68">
        <f t="shared" si="7"/>
        <v>1799.9996399999995</v>
      </c>
      <c r="X10" s="68">
        <f>IF(L10&lt;=21000,L10*3.25%,0)</f>
        <v>0</v>
      </c>
      <c r="Y10" s="68">
        <f t="shared" si="8"/>
        <v>721.49985569999978</v>
      </c>
      <c r="Z10" s="68">
        <f t="shared" si="11"/>
        <v>4521.499135699999</v>
      </c>
      <c r="AA10" s="68">
        <f t="shared" si="9"/>
        <v>25478.5008643</v>
      </c>
    </row>
    <row r="11" spans="1:27" s="57" customFormat="1" ht="12" x14ac:dyDescent="0.25">
      <c r="A11" s="61" t="s">
        <v>255</v>
      </c>
      <c r="B11" s="105" t="s">
        <v>256</v>
      </c>
      <c r="C11" s="71">
        <v>46148</v>
      </c>
      <c r="D11" s="61">
        <v>15000</v>
      </c>
      <c r="E11" s="61">
        <v>31</v>
      </c>
      <c r="F11" s="61">
        <f t="shared" si="12"/>
        <v>31</v>
      </c>
      <c r="G11" s="61">
        <v>0</v>
      </c>
      <c r="H11" s="62">
        <f t="shared" si="0"/>
        <v>7499.9984999999988</v>
      </c>
      <c r="I11" s="62">
        <f t="shared" si="1"/>
        <v>3749.9992499999994</v>
      </c>
      <c r="J11" s="62">
        <f t="shared" si="2"/>
        <v>1600</v>
      </c>
      <c r="K11" s="62">
        <f t="shared" si="3"/>
        <v>889.25250215000278</v>
      </c>
      <c r="L11" s="62">
        <f t="shared" si="4"/>
        <v>13739.250252150001</v>
      </c>
      <c r="M11" s="62">
        <f t="shared" si="5"/>
        <v>899.99981999999977</v>
      </c>
      <c r="N11" s="62">
        <v>0</v>
      </c>
      <c r="O11" s="68">
        <v>150</v>
      </c>
      <c r="P11" s="62">
        <v>0</v>
      </c>
      <c r="Q11" s="62">
        <v>0</v>
      </c>
      <c r="R11" s="62">
        <v>0</v>
      </c>
      <c r="S11" s="62">
        <f t="shared" si="6"/>
        <v>13739.250252150001</v>
      </c>
      <c r="T11" s="62">
        <v>0</v>
      </c>
      <c r="U11" s="63">
        <v>0</v>
      </c>
      <c r="V11" s="62">
        <v>0</v>
      </c>
      <c r="W11" s="62">
        <f t="shared" si="7"/>
        <v>899.99981999999977</v>
      </c>
      <c r="X11" s="62">
        <v>0</v>
      </c>
      <c r="Y11" s="62">
        <f t="shared" si="8"/>
        <v>360.74992784999989</v>
      </c>
      <c r="Z11" s="62">
        <f t="shared" si="11"/>
        <v>2310.7495678499995</v>
      </c>
      <c r="AA11" s="62">
        <f t="shared" si="9"/>
        <v>12689.25043215</v>
      </c>
    </row>
    <row r="12" spans="1:27" s="57" customFormat="1" ht="12" x14ac:dyDescent="0.25">
      <c r="A12" s="64" t="s">
        <v>208</v>
      </c>
      <c r="B12" s="103" t="s">
        <v>203</v>
      </c>
      <c r="C12" s="59">
        <v>46113</v>
      </c>
      <c r="D12" s="57">
        <v>100000</v>
      </c>
      <c r="E12" s="61">
        <v>31</v>
      </c>
      <c r="F12" s="61">
        <f t="shared" si="12"/>
        <v>31</v>
      </c>
      <c r="G12" s="61">
        <v>0</v>
      </c>
      <c r="H12" s="62">
        <f t="shared" si="0"/>
        <v>49999.989999999991</v>
      </c>
      <c r="I12" s="62">
        <f t="shared" si="1"/>
        <v>24999.994999999995</v>
      </c>
      <c r="J12" s="62">
        <f t="shared" si="2"/>
        <v>1600</v>
      </c>
      <c r="K12" s="62">
        <f t="shared" si="3"/>
        <v>19195.015481000009</v>
      </c>
      <c r="L12" s="62">
        <f t="shared" si="4"/>
        <v>95795.000480999995</v>
      </c>
      <c r="M12" s="62">
        <f t="shared" si="5"/>
        <v>1800</v>
      </c>
      <c r="N12" s="62">
        <f>IF(L12&lt;=21000,L12*0.75%,0)</f>
        <v>0</v>
      </c>
      <c r="O12" s="62">
        <v>200</v>
      </c>
      <c r="P12" s="62">
        <v>0</v>
      </c>
      <c r="Q12" s="62">
        <v>0</v>
      </c>
      <c r="R12" s="62">
        <v>0</v>
      </c>
      <c r="S12" s="62">
        <f t="shared" si="6"/>
        <v>95795.000480999995</v>
      </c>
      <c r="T12" s="62">
        <v>0</v>
      </c>
      <c r="U12" s="63">
        <v>0</v>
      </c>
      <c r="V12" s="62">
        <v>0</v>
      </c>
      <c r="W12" s="62">
        <f t="shared" si="7"/>
        <v>1800</v>
      </c>
      <c r="X12" s="62">
        <f>IF(L12&lt;=21000,L12*3.25%,0)</f>
        <v>0</v>
      </c>
      <c r="Y12" s="62">
        <f t="shared" si="8"/>
        <v>2404.9995189999995</v>
      </c>
      <c r="Z12" s="62">
        <f t="shared" si="11"/>
        <v>6204.9995189999991</v>
      </c>
      <c r="AA12" s="62">
        <f t="shared" si="9"/>
        <v>93795.000480999995</v>
      </c>
    </row>
    <row r="13" spans="1:27" s="57" customFormat="1" ht="12" x14ac:dyDescent="0.25">
      <c r="A13" s="61" t="s">
        <v>208</v>
      </c>
      <c r="B13" s="106" t="s">
        <v>254</v>
      </c>
      <c r="C13" s="72">
        <v>46146</v>
      </c>
      <c r="D13" s="67">
        <v>15000</v>
      </c>
      <c r="E13" s="61">
        <v>31</v>
      </c>
      <c r="F13" s="61">
        <f t="shared" si="12"/>
        <v>31</v>
      </c>
      <c r="G13" s="61">
        <v>0</v>
      </c>
      <c r="H13" s="68">
        <f t="shared" si="0"/>
        <v>7499.9984999999988</v>
      </c>
      <c r="I13" s="68">
        <f t="shared" si="1"/>
        <v>3749.9992499999994</v>
      </c>
      <c r="J13" s="68">
        <f t="shared" si="2"/>
        <v>1600</v>
      </c>
      <c r="K13" s="68">
        <f t="shared" si="3"/>
        <v>889.25250215000278</v>
      </c>
      <c r="L13" s="68">
        <f t="shared" si="4"/>
        <v>13739.250252150001</v>
      </c>
      <c r="M13" s="68">
        <f t="shared" si="5"/>
        <v>899.99981999999977</v>
      </c>
      <c r="N13" s="68">
        <v>0</v>
      </c>
      <c r="O13" s="68">
        <v>150</v>
      </c>
      <c r="P13" s="68">
        <v>0</v>
      </c>
      <c r="Q13" s="68">
        <v>0</v>
      </c>
      <c r="R13" s="68">
        <v>0</v>
      </c>
      <c r="S13" s="68">
        <f t="shared" si="6"/>
        <v>13739.250252150001</v>
      </c>
      <c r="T13" s="68">
        <v>0</v>
      </c>
      <c r="U13" s="63">
        <v>0</v>
      </c>
      <c r="V13" s="68">
        <v>0</v>
      </c>
      <c r="W13" s="68">
        <f t="shared" si="7"/>
        <v>899.99981999999977</v>
      </c>
      <c r="X13" s="68">
        <v>0</v>
      </c>
      <c r="Y13" s="68">
        <f t="shared" si="8"/>
        <v>360.74992784999989</v>
      </c>
      <c r="Z13" s="68">
        <f t="shared" si="11"/>
        <v>2310.7495678499995</v>
      </c>
      <c r="AA13" s="68">
        <f>L13-Z13+Y13+W13+X13</f>
        <v>12689.25043215</v>
      </c>
    </row>
    <row r="14" spans="1:27" s="57" customFormat="1" ht="12" x14ac:dyDescent="0.25">
      <c r="A14" s="61" t="s">
        <v>236</v>
      </c>
      <c r="B14" s="105" t="s">
        <v>237</v>
      </c>
      <c r="C14" s="71">
        <v>46146</v>
      </c>
      <c r="D14" s="61">
        <v>15000</v>
      </c>
      <c r="E14" s="61">
        <v>31</v>
      </c>
      <c r="F14" s="61">
        <f t="shared" si="12"/>
        <v>31</v>
      </c>
      <c r="G14" s="61">
        <v>0</v>
      </c>
      <c r="H14" s="68">
        <f t="shared" si="0"/>
        <v>7499.9984999999988</v>
      </c>
      <c r="I14" s="68">
        <f t="shared" si="1"/>
        <v>3749.9992499999994</v>
      </c>
      <c r="J14" s="68">
        <f t="shared" si="2"/>
        <v>1600</v>
      </c>
      <c r="K14" s="68">
        <f t="shared" si="3"/>
        <v>889.25250215000278</v>
      </c>
      <c r="L14" s="68">
        <f t="shared" si="4"/>
        <v>13739.250252150001</v>
      </c>
      <c r="M14" s="68">
        <f t="shared" si="5"/>
        <v>899.99981999999977</v>
      </c>
      <c r="N14" s="68">
        <v>0</v>
      </c>
      <c r="O14" s="68">
        <v>150</v>
      </c>
      <c r="P14" s="68">
        <v>0</v>
      </c>
      <c r="Q14" s="68">
        <v>0</v>
      </c>
      <c r="R14" s="68">
        <v>0</v>
      </c>
      <c r="S14" s="68">
        <f t="shared" si="6"/>
        <v>13739.250252150001</v>
      </c>
      <c r="T14" s="68">
        <v>0</v>
      </c>
      <c r="U14" s="63">
        <v>0</v>
      </c>
      <c r="V14" s="68">
        <v>0</v>
      </c>
      <c r="W14" s="68">
        <f t="shared" si="7"/>
        <v>899.99981999999977</v>
      </c>
      <c r="X14" s="68">
        <v>0</v>
      </c>
      <c r="Y14" s="68">
        <f t="shared" si="8"/>
        <v>360.74992784999989</v>
      </c>
      <c r="Z14" s="68">
        <f t="shared" si="11"/>
        <v>2310.7495678499995</v>
      </c>
      <c r="AA14" s="68">
        <f>L14-Z14+Y14+W14+X14</f>
        <v>12689.25043215</v>
      </c>
    </row>
    <row r="15" spans="1:27" s="57" customFormat="1" ht="12" x14ac:dyDescent="0.25">
      <c r="A15" s="61" t="s">
        <v>234</v>
      </c>
      <c r="B15" s="105" t="s">
        <v>235</v>
      </c>
      <c r="C15" s="71">
        <v>46146</v>
      </c>
      <c r="D15" s="61">
        <v>35000</v>
      </c>
      <c r="E15" s="61">
        <v>31</v>
      </c>
      <c r="F15" s="61">
        <f t="shared" si="12"/>
        <v>31</v>
      </c>
      <c r="G15" s="61">
        <v>0</v>
      </c>
      <c r="H15" s="68">
        <f t="shared" si="0"/>
        <v>17499.996499999997</v>
      </c>
      <c r="I15" s="68">
        <f t="shared" si="1"/>
        <v>8749.9982499999987</v>
      </c>
      <c r="J15" s="68">
        <f t="shared" si="2"/>
        <v>1600</v>
      </c>
      <c r="K15" s="68">
        <f t="shared" si="3"/>
        <v>4508.2554183500051</v>
      </c>
      <c r="L15" s="68">
        <f t="shared" si="4"/>
        <v>32358.250168350001</v>
      </c>
      <c r="M15" s="68">
        <f t="shared" si="5"/>
        <v>1800</v>
      </c>
      <c r="N15" s="68">
        <f>IF(L15&lt;=21000,L15*0.75%,0)</f>
        <v>0</v>
      </c>
      <c r="O15" s="68">
        <v>200</v>
      </c>
      <c r="P15" s="68">
        <v>0</v>
      </c>
      <c r="Q15" s="68">
        <v>0</v>
      </c>
      <c r="R15" s="68">
        <v>0</v>
      </c>
      <c r="S15" s="68">
        <f t="shared" si="6"/>
        <v>32358.250168350001</v>
      </c>
      <c r="T15" s="68">
        <v>0</v>
      </c>
      <c r="U15" s="63">
        <v>0</v>
      </c>
      <c r="V15" s="68">
        <v>0</v>
      </c>
      <c r="W15" s="68">
        <f t="shared" si="7"/>
        <v>1800</v>
      </c>
      <c r="X15" s="68">
        <f>IF(L15&lt;=21000,L15*3.25%,0)</f>
        <v>0</v>
      </c>
      <c r="Y15" s="68">
        <f t="shared" si="8"/>
        <v>841.74983164999981</v>
      </c>
      <c r="Z15" s="68">
        <f t="shared" si="11"/>
        <v>4641.7498316499996</v>
      </c>
      <c r="AA15" s="68">
        <f>L15-Z15+Y15+W15</f>
        <v>30358.250168350001</v>
      </c>
    </row>
    <row r="16" spans="1:27" s="57" customFormat="1" ht="12" x14ac:dyDescent="0.25">
      <c r="A16" s="64" t="s">
        <v>144</v>
      </c>
      <c r="B16" s="103" t="s">
        <v>145</v>
      </c>
      <c r="C16" s="59">
        <v>46113</v>
      </c>
      <c r="D16" s="61">
        <v>50000</v>
      </c>
      <c r="E16" s="61">
        <v>31</v>
      </c>
      <c r="F16" s="61">
        <v>31</v>
      </c>
      <c r="G16" s="61"/>
      <c r="H16" s="62">
        <f t="shared" si="0"/>
        <v>24999.994999999995</v>
      </c>
      <c r="I16" s="62">
        <f t="shared" si="1"/>
        <v>12499.997499999998</v>
      </c>
      <c r="J16" s="62">
        <f t="shared" si="2"/>
        <v>1600</v>
      </c>
      <c r="K16" s="62">
        <f t="shared" si="3"/>
        <v>7897.5077405000047</v>
      </c>
      <c r="L16" s="62">
        <f t="shared" si="4"/>
        <v>46997.500240499998</v>
      </c>
      <c r="M16" s="62">
        <f t="shared" si="5"/>
        <v>1800</v>
      </c>
      <c r="N16" s="62">
        <f>IF(L16&lt;=21000,L16*0.75%,0)</f>
        <v>0</v>
      </c>
      <c r="O16" s="62">
        <v>200</v>
      </c>
      <c r="P16" s="62">
        <v>0</v>
      </c>
      <c r="Q16" s="62">
        <v>0</v>
      </c>
      <c r="R16" s="62">
        <v>0</v>
      </c>
      <c r="S16" s="62">
        <f t="shared" si="6"/>
        <v>46997.500240499998</v>
      </c>
      <c r="T16" s="62">
        <v>0</v>
      </c>
      <c r="U16" s="63">
        <v>0</v>
      </c>
      <c r="V16" s="62">
        <v>0</v>
      </c>
      <c r="W16" s="62">
        <f t="shared" si="7"/>
        <v>1800</v>
      </c>
      <c r="X16" s="62">
        <f>IF(L16&lt;=21000,L16*3.25%,0)</f>
        <v>0</v>
      </c>
      <c r="Y16" s="62">
        <f t="shared" si="8"/>
        <v>1202.4997594999998</v>
      </c>
      <c r="Z16" s="62">
        <f t="shared" si="11"/>
        <v>5002.4997594999995</v>
      </c>
      <c r="AA16" s="62">
        <f>L16-Z16+Y16+W16</f>
        <v>44997.500240499998</v>
      </c>
    </row>
    <row r="18" spans="3:27" x14ac:dyDescent="0.3">
      <c r="C18" s="143" t="s">
        <v>28</v>
      </c>
      <c r="D18" s="143"/>
      <c r="E18" s="143"/>
      <c r="F18" s="143"/>
      <c r="G18" s="143"/>
      <c r="H18" s="143"/>
      <c r="I18" s="143"/>
      <c r="J18" s="143"/>
      <c r="K18" s="144">
        <f>SUM(AA2:AA17)</f>
        <v>401807.25650855002</v>
      </c>
      <c r="L18" s="144"/>
      <c r="M18" s="144"/>
      <c r="N18" s="144"/>
      <c r="O18" s="144"/>
      <c r="P18" s="144"/>
      <c r="Q18" s="144"/>
      <c r="R18" s="144"/>
      <c r="S18" s="143"/>
      <c r="T18" s="143"/>
      <c r="U18" s="143"/>
      <c r="V18" s="143"/>
      <c r="W18" s="143"/>
      <c r="X18" s="143"/>
      <c r="Y18" s="143"/>
      <c r="Z18" s="143"/>
      <c r="AA18" s="97"/>
    </row>
  </sheetData>
  <mergeCells count="3">
    <mergeCell ref="C18:J18"/>
    <mergeCell ref="K18:R18"/>
    <mergeCell ref="S18:Z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7"/>
  <sheetViews>
    <sheetView zoomScaleNormal="100" workbookViewId="0">
      <selection activeCell="D13" sqref="D13"/>
    </sheetView>
  </sheetViews>
  <sheetFormatPr defaultColWidth="34.21875" defaultRowHeight="14.4" x14ac:dyDescent="0.3"/>
  <cols>
    <col min="1" max="1" width="9.44140625" bestFit="1" customWidth="1"/>
    <col min="2" max="2" width="24.77734375" bestFit="1" customWidth="1"/>
    <col min="3" max="3" width="7.44140625" bestFit="1" customWidth="1"/>
  </cols>
  <sheetData>
    <row r="1" spans="1:3" x14ac:dyDescent="0.3">
      <c r="A1" s="55" t="s">
        <v>1</v>
      </c>
      <c r="B1" s="55" t="s">
        <v>0</v>
      </c>
      <c r="C1" s="69" t="s">
        <v>24</v>
      </c>
    </row>
    <row r="2" spans="1:3" x14ac:dyDescent="0.3">
      <c r="A2" s="58" t="s">
        <v>56</v>
      </c>
      <c r="B2" s="121" t="s">
        <v>57</v>
      </c>
      <c r="C2" s="80">
        <v>1</v>
      </c>
    </row>
    <row r="3" spans="1:3" x14ac:dyDescent="0.3">
      <c r="A3" s="58" t="s">
        <v>60</v>
      </c>
      <c r="B3" s="121" t="s">
        <v>61</v>
      </c>
      <c r="C3" s="80">
        <v>1</v>
      </c>
    </row>
    <row r="4" spans="1:3" x14ac:dyDescent="0.3">
      <c r="A4" s="58" t="s">
        <v>62</v>
      </c>
      <c r="B4" s="121" t="s">
        <v>63</v>
      </c>
      <c r="C4" s="80">
        <v>1</v>
      </c>
    </row>
    <row r="5" spans="1:3" x14ac:dyDescent="0.3">
      <c r="A5" s="54"/>
      <c r="B5" s="54"/>
      <c r="C5" s="80"/>
    </row>
    <row r="7" spans="1:3" x14ac:dyDescent="0.3">
      <c r="C7" s="1">
        <f>SUM(C2:C6)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J48"/>
  <sheetViews>
    <sheetView workbookViewId="0">
      <pane ySplit="1" topLeftCell="A32" activePane="bottomLeft" state="frozen"/>
      <selection pane="bottomLeft" activeCell="F47" sqref="F47"/>
    </sheetView>
  </sheetViews>
  <sheetFormatPr defaultRowHeight="14.4" x14ac:dyDescent="0.3"/>
  <cols>
    <col min="1" max="1" width="4.109375" customWidth="1"/>
    <col min="2" max="2" width="11.5546875" customWidth="1"/>
    <col min="3" max="3" width="28.88671875" customWidth="1"/>
    <col min="4" max="4" width="11.21875" customWidth="1"/>
    <col min="5" max="5" width="16" customWidth="1"/>
    <col min="6" max="6" width="25.6640625" style="3" customWidth="1"/>
    <col min="7" max="7" width="15.88671875" customWidth="1"/>
    <col min="8" max="8" width="18.6640625" customWidth="1"/>
    <col min="9" max="9" width="20.44140625" customWidth="1"/>
  </cols>
  <sheetData>
    <row r="1" spans="1:10" s="28" customFormat="1" x14ac:dyDescent="0.3">
      <c r="A1" s="28" t="s">
        <v>302</v>
      </c>
      <c r="B1" s="12" t="s">
        <v>1</v>
      </c>
      <c r="C1" s="12" t="s">
        <v>0</v>
      </c>
      <c r="D1" s="12" t="s">
        <v>21</v>
      </c>
      <c r="E1" s="12" t="s">
        <v>17</v>
      </c>
      <c r="F1" s="78" t="s">
        <v>29</v>
      </c>
      <c r="G1" s="12" t="s">
        <v>30</v>
      </c>
      <c r="H1" s="12" t="s">
        <v>32</v>
      </c>
      <c r="I1" s="12" t="s">
        <v>55</v>
      </c>
      <c r="J1" s="77"/>
    </row>
    <row r="2" spans="1:10" x14ac:dyDescent="0.3">
      <c r="A2">
        <v>1</v>
      </c>
      <c r="B2" s="74" t="s">
        <v>96</v>
      </c>
      <c r="C2" s="74" t="s">
        <v>97</v>
      </c>
      <c r="D2" s="79">
        <v>46086</v>
      </c>
      <c r="E2" s="75">
        <f>VLOOKUP(B2,Employees!A2:AB2,28,0)</f>
        <v>93795</v>
      </c>
      <c r="F2" s="75">
        <v>99980130961795</v>
      </c>
      <c r="G2" s="74" t="s">
        <v>225</v>
      </c>
      <c r="H2" s="74" t="s">
        <v>122</v>
      </c>
      <c r="I2" s="15"/>
    </row>
    <row r="3" spans="1:10" x14ac:dyDescent="0.3">
      <c r="A3">
        <v>2</v>
      </c>
      <c r="B3" s="74" t="s">
        <v>36</v>
      </c>
      <c r="C3" s="74" t="s">
        <v>52</v>
      </c>
      <c r="D3" s="79">
        <v>46055</v>
      </c>
      <c r="E3" s="75">
        <f>VLOOKUP(B3,Consultant!A1:H4,8,0)</f>
        <v>79800</v>
      </c>
      <c r="F3" s="75">
        <v>50100677371816</v>
      </c>
      <c r="G3" s="74" t="s">
        <v>50</v>
      </c>
      <c r="H3" s="74" t="s">
        <v>51</v>
      </c>
      <c r="I3" s="15"/>
    </row>
    <row r="4" spans="1:10" x14ac:dyDescent="0.3">
      <c r="A4">
        <v>3</v>
      </c>
      <c r="B4" s="74" t="s">
        <v>35</v>
      </c>
      <c r="C4" s="74" t="s">
        <v>38</v>
      </c>
      <c r="D4" s="79">
        <v>46055</v>
      </c>
      <c r="E4" s="75">
        <f>VLOOKUP(B4,Consultant!A2:H4,8,0)</f>
        <v>69800</v>
      </c>
      <c r="F4" s="75">
        <v>99980130961985</v>
      </c>
      <c r="G4" s="74" t="s">
        <v>225</v>
      </c>
      <c r="H4" s="74" t="s">
        <v>122</v>
      </c>
      <c r="I4" s="15"/>
    </row>
    <row r="5" spans="1:10" x14ac:dyDescent="0.3">
      <c r="A5">
        <v>4</v>
      </c>
      <c r="B5" s="74" t="s">
        <v>37</v>
      </c>
      <c r="C5" s="74" t="s">
        <v>39</v>
      </c>
      <c r="D5" s="79">
        <v>46072</v>
      </c>
      <c r="E5" s="75">
        <f>VLOOKUP(B5,Consultant!A4:H6,8,0)</f>
        <v>79800</v>
      </c>
      <c r="F5" s="75">
        <v>99980130963916</v>
      </c>
      <c r="G5" s="74" t="s">
        <v>225</v>
      </c>
      <c r="H5" s="74" t="s">
        <v>122</v>
      </c>
      <c r="I5" s="15"/>
    </row>
    <row r="6" spans="1:10" x14ac:dyDescent="0.3">
      <c r="A6">
        <v>5</v>
      </c>
      <c r="B6" s="74" t="s">
        <v>56</v>
      </c>
      <c r="C6" s="74" t="s">
        <v>57</v>
      </c>
      <c r="D6" s="79">
        <v>46083</v>
      </c>
      <c r="E6" s="75">
        <f>VLOOKUP(B6,'Tech Team'!B1:AB21,27,0)</f>
        <v>38713.825209235001</v>
      </c>
      <c r="F6" s="75">
        <v>3327101004003</v>
      </c>
      <c r="G6" s="74" t="s">
        <v>101</v>
      </c>
      <c r="H6" s="74" t="s">
        <v>102</v>
      </c>
      <c r="I6" s="15"/>
    </row>
    <row r="7" spans="1:10" x14ac:dyDescent="0.3">
      <c r="A7">
        <v>6</v>
      </c>
      <c r="B7" s="74" t="s">
        <v>60</v>
      </c>
      <c r="C7" s="74" t="s">
        <v>61</v>
      </c>
      <c r="D7" s="79">
        <v>46083</v>
      </c>
      <c r="E7" s="75">
        <f>VLOOKUP(B7,'Tech Team'!B2:AB23,27,0)</f>
        <v>29279.641829405002</v>
      </c>
      <c r="F7" s="75">
        <v>99980130961993</v>
      </c>
      <c r="G7" s="74" t="s">
        <v>225</v>
      </c>
      <c r="H7" s="74" t="s">
        <v>122</v>
      </c>
      <c r="I7" s="15"/>
    </row>
    <row r="8" spans="1:10" x14ac:dyDescent="0.3">
      <c r="A8">
        <v>7</v>
      </c>
      <c r="B8" s="74" t="s">
        <v>62</v>
      </c>
      <c r="C8" s="74" t="s">
        <v>63</v>
      </c>
      <c r="D8" s="79">
        <v>46083</v>
      </c>
      <c r="E8" s="75">
        <f>VLOOKUP(B8,'Tech Team'!B2:AB24,27,0)</f>
        <v>18875.088964982333</v>
      </c>
      <c r="F8" s="75">
        <v>99980130961951</v>
      </c>
      <c r="G8" s="74" t="s">
        <v>225</v>
      </c>
      <c r="H8" s="74" t="s">
        <v>122</v>
      </c>
      <c r="I8" s="15"/>
    </row>
    <row r="9" spans="1:10" x14ac:dyDescent="0.3">
      <c r="A9">
        <v>8</v>
      </c>
      <c r="B9" s="74" t="s">
        <v>78</v>
      </c>
      <c r="C9" s="74" t="s">
        <v>79</v>
      </c>
      <c r="D9" s="79">
        <v>46083</v>
      </c>
      <c r="E9" s="75">
        <f>VLOOKUP(B9,'Tech Team'!B5:AB29,27,0)</f>
        <v>30358.250168350001</v>
      </c>
      <c r="F9" s="75">
        <v>99980130961878</v>
      </c>
      <c r="G9" s="74" t="s">
        <v>225</v>
      </c>
      <c r="H9" s="74" t="s">
        <v>122</v>
      </c>
      <c r="I9" s="15"/>
    </row>
    <row r="10" spans="1:10" x14ac:dyDescent="0.3">
      <c r="A10">
        <v>9</v>
      </c>
      <c r="B10" s="74" t="s">
        <v>88</v>
      </c>
      <c r="C10" s="74" t="s">
        <v>89</v>
      </c>
      <c r="D10" s="79">
        <v>46083</v>
      </c>
      <c r="E10" s="75">
        <f>VLOOKUP(B10,'Tech Team'!B6:AB34,27,0)</f>
        <v>14351.15048977</v>
      </c>
      <c r="F10" s="75">
        <v>37182972098</v>
      </c>
      <c r="G10" s="74" t="s">
        <v>137</v>
      </c>
      <c r="H10" s="74" t="s">
        <v>106</v>
      </c>
      <c r="I10" s="15"/>
    </row>
    <row r="11" spans="1:10" x14ac:dyDescent="0.3">
      <c r="A11">
        <v>10</v>
      </c>
      <c r="B11" s="74" t="s">
        <v>92</v>
      </c>
      <c r="C11" s="74" t="s">
        <v>93</v>
      </c>
      <c r="D11" s="79">
        <v>46083</v>
      </c>
      <c r="E11" s="75">
        <f>VLOOKUP(B11,'Tech Team'!B6:AB35,27,0)</f>
        <v>44997.500240499998</v>
      </c>
      <c r="F11" s="75">
        <v>15550100112371</v>
      </c>
      <c r="G11" s="74" t="s">
        <v>225</v>
      </c>
      <c r="H11" s="74" t="s">
        <v>122</v>
      </c>
      <c r="I11" s="15"/>
    </row>
    <row r="12" spans="1:10" x14ac:dyDescent="0.3">
      <c r="A12">
        <v>11</v>
      </c>
      <c r="B12" s="74" t="s">
        <v>140</v>
      </c>
      <c r="C12" s="74" t="s">
        <v>141</v>
      </c>
      <c r="D12" s="79">
        <v>46113</v>
      </c>
      <c r="E12" s="75">
        <f>VLOOKUP(B12,'Tech Team'!B8:AB37,27,0)</f>
        <v>19486.85066263</v>
      </c>
      <c r="F12" s="75">
        <v>15550100112314</v>
      </c>
      <c r="G12" s="74" t="s">
        <v>225</v>
      </c>
      <c r="H12" s="74" t="s">
        <v>122</v>
      </c>
      <c r="I12" s="15"/>
    </row>
    <row r="13" spans="1:10" x14ac:dyDescent="0.3">
      <c r="A13">
        <v>12</v>
      </c>
      <c r="B13" s="74" t="s">
        <v>146</v>
      </c>
      <c r="C13" s="74" t="s">
        <v>147</v>
      </c>
      <c r="D13" s="79">
        <v>46114</v>
      </c>
      <c r="E13" s="75">
        <f>VLOOKUP(B13,'Tech Team'!B9:AB40,27,0)</f>
        <v>19486.85066263</v>
      </c>
      <c r="F13" s="75">
        <v>55560103431927</v>
      </c>
      <c r="G13" s="74" t="s">
        <v>180</v>
      </c>
      <c r="H13" s="74" t="s">
        <v>122</v>
      </c>
      <c r="I13" s="15"/>
    </row>
    <row r="14" spans="1:10" x14ac:dyDescent="0.3">
      <c r="A14">
        <v>13</v>
      </c>
      <c r="B14" s="74" t="s">
        <v>148</v>
      </c>
      <c r="C14" s="74" t="s">
        <v>149</v>
      </c>
      <c r="D14" s="79">
        <v>46113</v>
      </c>
      <c r="E14" s="75">
        <f>VLOOKUP(B14,Employees!A2:AB9,28,0)</f>
        <v>21198.750720250002</v>
      </c>
      <c r="F14" s="75">
        <v>15550100112355</v>
      </c>
      <c r="G14" s="74" t="s">
        <v>225</v>
      </c>
      <c r="H14" s="74" t="s">
        <v>122</v>
      </c>
      <c r="I14" s="15"/>
    </row>
    <row r="15" spans="1:10" x14ac:dyDescent="0.3">
      <c r="A15">
        <v>14</v>
      </c>
      <c r="B15" s="74" t="s">
        <v>150</v>
      </c>
      <c r="C15" s="74" t="s">
        <v>151</v>
      </c>
      <c r="D15" s="79">
        <v>46113</v>
      </c>
      <c r="E15" s="75">
        <f>VLOOKUP(B15,'Tech Team'!B10:AB42,27,0)</f>
        <v>12689.25043215</v>
      </c>
      <c r="F15" s="75">
        <v>15550100112280</v>
      </c>
      <c r="G15" s="74" t="s">
        <v>225</v>
      </c>
      <c r="H15" s="74" t="s">
        <v>122</v>
      </c>
      <c r="I15" s="15"/>
    </row>
    <row r="16" spans="1:10" x14ac:dyDescent="0.3">
      <c r="A16">
        <v>15</v>
      </c>
      <c r="B16" s="74" t="s">
        <v>152</v>
      </c>
      <c r="C16" s="74" t="s">
        <v>153</v>
      </c>
      <c r="D16" s="79">
        <v>46113</v>
      </c>
      <c r="E16" s="75">
        <f>VLOOKUP(B16,Employees!A2:AB9,28,0)</f>
        <v>19911.858103988481</v>
      </c>
      <c r="F16" s="75">
        <v>15550100112272</v>
      </c>
      <c r="G16" s="74" t="s">
        <v>225</v>
      </c>
      <c r="H16" s="74" t="s">
        <v>122</v>
      </c>
      <c r="I16" s="15"/>
    </row>
    <row r="17" spans="1:9" x14ac:dyDescent="0.3">
      <c r="A17">
        <v>16</v>
      </c>
      <c r="B17" s="74" t="s">
        <v>160</v>
      </c>
      <c r="C17" s="74" t="s">
        <v>161</v>
      </c>
      <c r="D17" s="79">
        <v>46113</v>
      </c>
      <c r="E17" s="75">
        <f>VLOOKUP(B17,'Tech Team'!B11:AB46,27,0)</f>
        <v>40117.750216450004</v>
      </c>
      <c r="F17" s="75">
        <v>99980130961787</v>
      </c>
      <c r="G17" s="74" t="s">
        <v>225</v>
      </c>
      <c r="H17" s="74" t="s">
        <v>122</v>
      </c>
      <c r="I17" s="15"/>
    </row>
    <row r="18" spans="1:9" x14ac:dyDescent="0.3">
      <c r="A18">
        <v>17</v>
      </c>
      <c r="B18" s="74" t="s">
        <v>162</v>
      </c>
      <c r="C18" s="74" t="s">
        <v>163</v>
      </c>
      <c r="D18" s="79">
        <v>46113</v>
      </c>
      <c r="E18" s="75">
        <f>VLOOKUP(B18,'Tech Team'!B11:AB47,27,0)</f>
        <v>40117.750216450004</v>
      </c>
      <c r="F18" s="75">
        <v>37097117593</v>
      </c>
      <c r="G18" s="74" t="s">
        <v>188</v>
      </c>
      <c r="H18" s="74" t="s">
        <v>106</v>
      </c>
      <c r="I18" s="15"/>
    </row>
    <row r="19" spans="1:9" x14ac:dyDescent="0.3">
      <c r="A19">
        <v>18</v>
      </c>
      <c r="B19" s="74" t="s">
        <v>164</v>
      </c>
      <c r="C19" s="74" t="s">
        <v>165</v>
      </c>
      <c r="D19" s="79">
        <v>46113</v>
      </c>
      <c r="E19" s="75">
        <f>VLOOKUP(B19,Employees!A2:AB9,28,0)</f>
        <v>36865</v>
      </c>
      <c r="F19" s="75">
        <v>99980130961779</v>
      </c>
      <c r="G19" s="74" t="s">
        <v>225</v>
      </c>
      <c r="H19" s="74" t="s">
        <v>122</v>
      </c>
      <c r="I19" s="15"/>
    </row>
    <row r="20" spans="1:9" x14ac:dyDescent="0.3">
      <c r="A20">
        <v>19</v>
      </c>
      <c r="B20" s="74" t="s">
        <v>170</v>
      </c>
      <c r="C20" s="74" t="s">
        <v>171</v>
      </c>
      <c r="D20" s="79">
        <v>46113</v>
      </c>
      <c r="E20" s="75">
        <f>VLOOKUP(B20,'Tech Team'!B13:AB51,27,0)</f>
        <v>19486.85066263</v>
      </c>
      <c r="F20" s="75">
        <v>44610100006654</v>
      </c>
      <c r="G20" s="74" t="s">
        <v>193</v>
      </c>
      <c r="H20" s="74" t="s">
        <v>192</v>
      </c>
      <c r="I20" s="15"/>
    </row>
    <row r="21" spans="1:9" x14ac:dyDescent="0.3">
      <c r="A21">
        <v>20</v>
      </c>
      <c r="B21" s="74" t="s">
        <v>172</v>
      </c>
      <c r="C21" s="74" t="s">
        <v>173</v>
      </c>
      <c r="D21" s="79">
        <v>46114</v>
      </c>
      <c r="E21" s="75">
        <f>VLOOKUP(B21,Employees!A2:AB9,28,0)</f>
        <v>30358</v>
      </c>
      <c r="F21" s="75">
        <v>15550100112363</v>
      </c>
      <c r="G21" s="74" t="s">
        <v>225</v>
      </c>
      <c r="H21" s="74" t="s">
        <v>122</v>
      </c>
      <c r="I21" s="15"/>
    </row>
    <row r="22" spans="1:9" x14ac:dyDescent="0.3">
      <c r="A22">
        <v>21</v>
      </c>
      <c r="B22" s="74" t="s">
        <v>209</v>
      </c>
      <c r="C22" s="74" t="s">
        <v>205</v>
      </c>
      <c r="D22" s="79">
        <v>46113</v>
      </c>
      <c r="E22" s="75">
        <f>VLOOKUP(B22,'Tech Team'!B15:AB55,27,0)</f>
        <v>28731.341510331727</v>
      </c>
      <c r="F22" s="75">
        <v>180701000002091</v>
      </c>
      <c r="G22" s="74" t="s">
        <v>206</v>
      </c>
      <c r="H22" s="74" t="s">
        <v>207</v>
      </c>
      <c r="I22" s="15"/>
    </row>
    <row r="23" spans="1:9" x14ac:dyDescent="0.3">
      <c r="A23">
        <v>22</v>
      </c>
      <c r="B23" s="74" t="s">
        <v>234</v>
      </c>
      <c r="C23" s="74" t="s">
        <v>235</v>
      </c>
      <c r="D23" s="71">
        <v>46146</v>
      </c>
      <c r="E23" s="75">
        <f>VLOOKUP(B23,'Tech Team'!B16:AB56,27,0)</f>
        <v>30358.250168350001</v>
      </c>
      <c r="F23" s="75">
        <v>99980130961803</v>
      </c>
      <c r="G23" s="74" t="s">
        <v>225</v>
      </c>
      <c r="H23" s="74" t="s">
        <v>122</v>
      </c>
      <c r="I23" s="15"/>
    </row>
    <row r="24" spans="1:9" x14ac:dyDescent="0.3">
      <c r="A24">
        <v>23</v>
      </c>
      <c r="B24" s="74" t="s">
        <v>238</v>
      </c>
      <c r="C24" s="74" t="s">
        <v>239</v>
      </c>
      <c r="D24" s="79">
        <v>46146</v>
      </c>
      <c r="E24" s="75">
        <f>VLOOKUP(B24,'Tech Team'!B16:AB58,27,0)</f>
        <v>19486.85066263</v>
      </c>
      <c r="F24" s="75">
        <v>99980130961811</v>
      </c>
      <c r="G24" s="74" t="s">
        <v>225</v>
      </c>
      <c r="H24" s="74" t="s">
        <v>122</v>
      </c>
      <c r="I24" s="15"/>
    </row>
    <row r="25" spans="1:9" x14ac:dyDescent="0.3">
      <c r="A25">
        <v>24</v>
      </c>
      <c r="B25" s="74" t="s">
        <v>242</v>
      </c>
      <c r="C25" s="140" t="s">
        <v>243</v>
      </c>
      <c r="D25" s="79">
        <v>46146</v>
      </c>
      <c r="E25" s="75">
        <f>VLOOKUP(B25,'Tech Team'!B17:AB60,27,0)</f>
        <v>40117.750216450004</v>
      </c>
      <c r="F25" s="75">
        <v>62412658053</v>
      </c>
      <c r="G25" s="74" t="s">
        <v>262</v>
      </c>
      <c r="H25" s="74" t="s">
        <v>106</v>
      </c>
      <c r="I25" s="15"/>
    </row>
    <row r="26" spans="1:9" x14ac:dyDescent="0.3">
      <c r="A26">
        <v>25</v>
      </c>
      <c r="B26" s="74" t="s">
        <v>244</v>
      </c>
      <c r="C26" s="74" t="s">
        <v>245</v>
      </c>
      <c r="D26" s="79">
        <v>46146</v>
      </c>
      <c r="E26" s="75">
        <f>VLOOKUP(B26,'Tech Team'!B17:AB61,27,0)</f>
        <v>12689.25043215</v>
      </c>
      <c r="F26" s="75">
        <v>40592463089</v>
      </c>
      <c r="G26" s="74" t="s">
        <v>261</v>
      </c>
      <c r="H26" s="74" t="s">
        <v>106</v>
      </c>
      <c r="I26" s="15"/>
    </row>
    <row r="27" spans="1:9" x14ac:dyDescent="0.3">
      <c r="A27">
        <v>26</v>
      </c>
      <c r="B27" s="74" t="s">
        <v>246</v>
      </c>
      <c r="C27" s="74" t="s">
        <v>247</v>
      </c>
      <c r="D27" s="79">
        <v>46146</v>
      </c>
      <c r="E27" s="75">
        <f>VLOOKUP(B27,'Tech Team'!B18:AB62,27,0)</f>
        <v>12689.25043215</v>
      </c>
      <c r="F27" s="75" t="s">
        <v>263</v>
      </c>
      <c r="G27" s="74" t="s">
        <v>259</v>
      </c>
      <c r="H27" s="74" t="s">
        <v>260</v>
      </c>
      <c r="I27" s="15"/>
    </row>
    <row r="28" spans="1:9" x14ac:dyDescent="0.3">
      <c r="A28">
        <v>27</v>
      </c>
      <c r="B28" s="74" t="s">
        <v>248</v>
      </c>
      <c r="C28" s="140" t="s">
        <v>249</v>
      </c>
      <c r="D28" s="79">
        <v>46146</v>
      </c>
      <c r="E28" s="75">
        <f>VLOOKUP(B28,'Tech Team'!B19:AB63,27,0)</f>
        <v>40117.750216450004</v>
      </c>
      <c r="F28" s="75">
        <v>55560103591175</v>
      </c>
      <c r="G28" s="74" t="s">
        <v>180</v>
      </c>
      <c r="H28" s="74" t="s">
        <v>122</v>
      </c>
      <c r="I28" s="15"/>
    </row>
    <row r="29" spans="1:9" x14ac:dyDescent="0.3">
      <c r="A29">
        <v>28</v>
      </c>
      <c r="B29" s="74" t="s">
        <v>250</v>
      </c>
      <c r="C29" s="74" t="s">
        <v>251</v>
      </c>
      <c r="D29" s="79">
        <v>46146</v>
      </c>
      <c r="E29" s="75">
        <f>VLOOKUP(B29,'Tech Team'!B20:AB64,27,0)</f>
        <v>30358.250168350001</v>
      </c>
      <c r="F29" s="75">
        <v>99980130963841</v>
      </c>
      <c r="G29" s="74" t="s">
        <v>225</v>
      </c>
      <c r="H29" s="74" t="s">
        <v>122</v>
      </c>
      <c r="I29" s="15"/>
    </row>
    <row r="30" spans="1:9" x14ac:dyDescent="0.3">
      <c r="A30">
        <v>29</v>
      </c>
      <c r="B30" s="120" t="s">
        <v>264</v>
      </c>
      <c r="C30" s="120" t="s">
        <v>265</v>
      </c>
      <c r="D30" s="79">
        <v>46174</v>
      </c>
      <c r="E30" s="75">
        <f>VLOOKUP(B30,'Hiring Team'!A2:AA14,27,0)</f>
        <v>17800.421888715638</v>
      </c>
      <c r="F30" s="75">
        <v>23240100021018</v>
      </c>
      <c r="G30" s="74" t="s">
        <v>290</v>
      </c>
      <c r="H30" s="74" t="s">
        <v>122</v>
      </c>
      <c r="I30" s="15"/>
    </row>
    <row r="31" spans="1:9" x14ac:dyDescent="0.3">
      <c r="A31">
        <v>30</v>
      </c>
      <c r="B31" s="120" t="s">
        <v>266</v>
      </c>
      <c r="C31" s="120" t="s">
        <v>267</v>
      </c>
      <c r="D31" s="79">
        <v>46174</v>
      </c>
      <c r="E31" s="75">
        <f>VLOOKUP(B31,'Hiring Team'!A3:AA15,27,0)</f>
        <v>14800.351573929702</v>
      </c>
      <c r="F31" s="75">
        <v>23070100029541</v>
      </c>
      <c r="G31" s="74" t="s">
        <v>298</v>
      </c>
      <c r="H31" s="74" t="s">
        <v>122</v>
      </c>
      <c r="I31" s="15"/>
    </row>
    <row r="32" spans="1:9" x14ac:dyDescent="0.3">
      <c r="A32">
        <v>31</v>
      </c>
      <c r="B32" s="120" t="s">
        <v>268</v>
      </c>
      <c r="C32" s="120" t="s">
        <v>269</v>
      </c>
      <c r="D32" s="79">
        <v>46174</v>
      </c>
      <c r="E32" s="75">
        <f>VLOOKUP(B32,'Hiring Team'!A4:AA16,27,0)</f>
        <v>17800.421888715638</v>
      </c>
      <c r="F32" s="75">
        <v>17560100050974</v>
      </c>
      <c r="G32" s="74" t="s">
        <v>291</v>
      </c>
      <c r="H32" s="74" t="s">
        <v>122</v>
      </c>
      <c r="I32" s="15"/>
    </row>
    <row r="33" spans="1:9" x14ac:dyDescent="0.3">
      <c r="A33">
        <v>32</v>
      </c>
      <c r="B33" s="120" t="s">
        <v>270</v>
      </c>
      <c r="C33" s="120" t="s">
        <v>271</v>
      </c>
      <c r="D33" s="79">
        <v>46174</v>
      </c>
      <c r="E33" s="75">
        <f>VLOOKUP(B33,'Hiring Team'!A5:AA17,27,0)</f>
        <v>14800.351573929702</v>
      </c>
      <c r="F33" s="75">
        <v>24570100002876</v>
      </c>
      <c r="G33" s="74" t="s">
        <v>292</v>
      </c>
      <c r="H33" s="74" t="s">
        <v>122</v>
      </c>
      <c r="I33" s="15"/>
    </row>
    <row r="34" spans="1:9" x14ac:dyDescent="0.3">
      <c r="A34">
        <v>33</v>
      </c>
      <c r="B34" s="120" t="s">
        <v>272</v>
      </c>
      <c r="C34" s="120" t="s">
        <v>273</v>
      </c>
      <c r="D34" s="79">
        <v>46174</v>
      </c>
      <c r="E34" s="75">
        <f>VLOOKUP(B34,'Hiring Team'!A6:AA18,27,0)</f>
        <v>12849.6540640692</v>
      </c>
      <c r="F34" s="75">
        <v>924010050412952</v>
      </c>
      <c r="G34" s="74" t="s">
        <v>299</v>
      </c>
      <c r="H34" s="74" t="s">
        <v>43</v>
      </c>
      <c r="I34" s="15"/>
    </row>
    <row r="35" spans="1:9" x14ac:dyDescent="0.3">
      <c r="A35">
        <v>34</v>
      </c>
      <c r="B35" s="120" t="s">
        <v>274</v>
      </c>
      <c r="C35" s="120" t="s">
        <v>275</v>
      </c>
      <c r="D35" s="79">
        <v>46174</v>
      </c>
      <c r="E35" s="75">
        <f>VLOOKUP(B35,'Hiring Team'!A7:AA19,27,0)</f>
        <v>11850.28125914376</v>
      </c>
      <c r="F35" s="75">
        <v>25140100010136</v>
      </c>
      <c r="G35" s="74" t="s">
        <v>293</v>
      </c>
      <c r="H35" s="74" t="s">
        <v>122</v>
      </c>
      <c r="I35" s="15"/>
    </row>
    <row r="36" spans="1:9" x14ac:dyDescent="0.3">
      <c r="A36">
        <v>35</v>
      </c>
      <c r="B36" s="120" t="s">
        <v>276</v>
      </c>
      <c r="C36" s="120" t="s">
        <v>277</v>
      </c>
      <c r="D36" s="79">
        <v>46174</v>
      </c>
      <c r="E36" s="75">
        <f>VLOOKUP(B36,'Hiring Team'!A8:AA20,27,0)</f>
        <v>12849.6540640692</v>
      </c>
      <c r="F36" s="75">
        <v>23710100006391</v>
      </c>
      <c r="G36" s="74" t="s">
        <v>294</v>
      </c>
      <c r="H36" s="74" t="s">
        <v>122</v>
      </c>
      <c r="I36" s="15"/>
    </row>
    <row r="37" spans="1:9" x14ac:dyDescent="0.3">
      <c r="A37">
        <v>36</v>
      </c>
      <c r="B37" s="120" t="s">
        <v>278</v>
      </c>
      <c r="C37" s="120" t="s">
        <v>279</v>
      </c>
      <c r="D37" s="79">
        <v>46174</v>
      </c>
      <c r="E37" s="75">
        <f>VLOOKUP(B37,'Hiring Team'!A9:AA21,27,0)</f>
        <v>27800.0056379989</v>
      </c>
      <c r="F37" s="75">
        <v>24570100005333</v>
      </c>
      <c r="G37" s="74" t="s">
        <v>292</v>
      </c>
      <c r="H37" s="74" t="s">
        <v>122</v>
      </c>
      <c r="I37" s="15"/>
    </row>
    <row r="38" spans="1:9" x14ac:dyDescent="0.3">
      <c r="A38">
        <v>37</v>
      </c>
      <c r="B38" s="120" t="s">
        <v>280</v>
      </c>
      <c r="C38" s="120" t="s">
        <v>281</v>
      </c>
      <c r="D38" s="79">
        <v>46174</v>
      </c>
      <c r="E38" s="75">
        <f>VLOOKUP(B38,'Hiring Team'!A10:AA22,27,0)</f>
        <v>24799.935323212962</v>
      </c>
      <c r="F38" s="75">
        <v>99980128937682</v>
      </c>
      <c r="G38" s="74" t="s">
        <v>225</v>
      </c>
      <c r="H38" s="74" t="s">
        <v>122</v>
      </c>
      <c r="I38" s="15"/>
    </row>
    <row r="39" spans="1:9" x14ac:dyDescent="0.3">
      <c r="A39">
        <v>38</v>
      </c>
      <c r="B39" s="120" t="s">
        <v>282</v>
      </c>
      <c r="C39" s="120" t="s">
        <v>283</v>
      </c>
      <c r="D39" s="79">
        <v>46174</v>
      </c>
      <c r="E39" s="75">
        <f>VLOOKUP(B39,'Hiring Team'!A11:AA23,27,0)</f>
        <v>22800.213763357271</v>
      </c>
      <c r="F39" s="75">
        <v>99980128338519</v>
      </c>
      <c r="G39" s="74" t="s">
        <v>295</v>
      </c>
      <c r="H39" s="74" t="s">
        <v>122</v>
      </c>
      <c r="I39" s="15"/>
    </row>
    <row r="40" spans="1:9" x14ac:dyDescent="0.3">
      <c r="A40">
        <v>39</v>
      </c>
      <c r="B40" s="120" t="s">
        <v>284</v>
      </c>
      <c r="C40" s="120" t="s">
        <v>285</v>
      </c>
      <c r="D40" s="79">
        <v>46174</v>
      </c>
      <c r="E40" s="75">
        <f>VLOOKUP(B40,'Hiring Team'!A12:AA24,27,0)</f>
        <v>44800.07877178429</v>
      </c>
      <c r="F40" s="75">
        <v>24780100008456</v>
      </c>
      <c r="G40" s="74" t="s">
        <v>296</v>
      </c>
      <c r="H40" s="74" t="s">
        <v>122</v>
      </c>
      <c r="I40" s="15"/>
    </row>
    <row r="41" spans="1:9" x14ac:dyDescent="0.3">
      <c r="A41">
        <v>40</v>
      </c>
      <c r="B41" s="120" t="s">
        <v>286</v>
      </c>
      <c r="C41" s="120" t="s">
        <v>287</v>
      </c>
      <c r="D41" s="79">
        <v>46174</v>
      </c>
      <c r="E41" s="75">
        <f>VLOOKUP(B41,'Hiring Team'!A13:AA25,27,0)</f>
        <v>9849.5837492832597</v>
      </c>
      <c r="F41" s="75">
        <v>15550100107520</v>
      </c>
      <c r="G41" s="74" t="s">
        <v>225</v>
      </c>
      <c r="H41" s="74" t="s">
        <v>122</v>
      </c>
      <c r="I41" s="15"/>
    </row>
    <row r="42" spans="1:9" x14ac:dyDescent="0.3">
      <c r="A42">
        <v>41</v>
      </c>
      <c r="B42" s="120" t="s">
        <v>288</v>
      </c>
      <c r="C42" s="120" t="s">
        <v>289</v>
      </c>
      <c r="D42" s="79">
        <v>46174</v>
      </c>
      <c r="E42" s="75">
        <f>VLOOKUP(B42,'Hiring Team'!A14:AA26,27,0)</f>
        <v>11850.28125914376</v>
      </c>
      <c r="F42" s="75">
        <v>15690100076067</v>
      </c>
      <c r="G42" s="74" t="s">
        <v>297</v>
      </c>
      <c r="H42" s="74" t="s">
        <v>122</v>
      </c>
      <c r="I42" s="15"/>
    </row>
    <row r="43" spans="1:9" x14ac:dyDescent="0.3">
      <c r="A43">
        <v>42</v>
      </c>
      <c r="B43" s="74" t="s">
        <v>303</v>
      </c>
      <c r="C43" s="74" t="s">
        <v>304</v>
      </c>
      <c r="D43" s="79">
        <v>46237</v>
      </c>
      <c r="E43" s="75">
        <v>14829</v>
      </c>
      <c r="F43" s="75">
        <v>188901000009168</v>
      </c>
      <c r="G43" s="74" t="s">
        <v>315</v>
      </c>
      <c r="H43" s="74" t="s">
        <v>207</v>
      </c>
      <c r="I43" s="15"/>
    </row>
    <row r="44" spans="1:9" x14ac:dyDescent="0.3">
      <c r="A44">
        <v>43</v>
      </c>
      <c r="B44" s="74" t="s">
        <v>305</v>
      </c>
      <c r="C44" s="74" t="s">
        <v>306</v>
      </c>
      <c r="D44" s="79">
        <v>46237</v>
      </c>
      <c r="E44" s="75">
        <v>14829</v>
      </c>
      <c r="F44" s="75">
        <v>110301795478</v>
      </c>
      <c r="G44" s="74" t="s">
        <v>316</v>
      </c>
      <c r="H44" s="74" t="s">
        <v>102</v>
      </c>
      <c r="I44" s="15"/>
    </row>
    <row r="45" spans="1:9" x14ac:dyDescent="0.3">
      <c r="A45">
        <v>44</v>
      </c>
      <c r="B45" s="74" t="s">
        <v>208</v>
      </c>
      <c r="C45" s="74" t="s">
        <v>203</v>
      </c>
      <c r="D45" s="79">
        <v>46113</v>
      </c>
      <c r="E45" s="75">
        <v>93795</v>
      </c>
      <c r="F45" s="75">
        <v>38613963272</v>
      </c>
      <c r="G45" s="74" t="s">
        <v>204</v>
      </c>
      <c r="H45" s="74" t="s">
        <v>106</v>
      </c>
      <c r="I45" s="15"/>
    </row>
    <row r="46" spans="1:9" x14ac:dyDescent="0.3">
      <c r="A46">
        <v>45</v>
      </c>
      <c r="B46" s="74" t="s">
        <v>66</v>
      </c>
      <c r="C46" s="74" t="s">
        <v>67</v>
      </c>
      <c r="D46" s="79">
        <v>46083</v>
      </c>
      <c r="E46" s="75">
        <v>25478.5008643</v>
      </c>
      <c r="F46" s="75">
        <v>38613963272</v>
      </c>
      <c r="G46" s="74" t="s">
        <v>204</v>
      </c>
      <c r="H46" s="74" t="s">
        <v>106</v>
      </c>
      <c r="I46" s="15"/>
    </row>
    <row r="47" spans="1:9" x14ac:dyDescent="0.3">
      <c r="A47">
        <v>46</v>
      </c>
      <c r="B47" s="74" t="s">
        <v>318</v>
      </c>
      <c r="C47" s="74" t="s">
        <v>317</v>
      </c>
      <c r="D47" s="79">
        <v>46264</v>
      </c>
      <c r="E47" s="75">
        <v>19743.000566400002</v>
      </c>
      <c r="F47" s="75">
        <v>99980130923589</v>
      </c>
      <c r="G47" s="74" t="s">
        <v>225</v>
      </c>
      <c r="H47" s="74" t="s">
        <v>122</v>
      </c>
      <c r="I47" s="15"/>
    </row>
    <row r="48" spans="1:9" x14ac:dyDescent="0.3">
      <c r="C48" s="98" t="s">
        <v>28</v>
      </c>
      <c r="D48" s="99"/>
      <c r="E48" s="100">
        <f>SUM(E2:E47)</f>
        <v>1387363.7986343354</v>
      </c>
    </row>
  </sheetData>
  <autoFilter ref="B1:I48" xr:uid="{96A9653E-67C0-4905-ABFF-14FF9076BD1D}"/>
  <phoneticPr fontId="7" type="noConversion"/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5"/>
  <sheetViews>
    <sheetView workbookViewId="0">
      <selection activeCell="F11" sqref="F11"/>
    </sheetView>
  </sheetViews>
  <sheetFormatPr defaultRowHeight="14.4" x14ac:dyDescent="0.3"/>
  <cols>
    <col min="1" max="1" width="35.44140625" bestFit="1" customWidth="1"/>
    <col min="2" max="2" width="10.44140625" bestFit="1" customWidth="1"/>
    <col min="3" max="3" width="4.21875" bestFit="1" customWidth="1"/>
    <col min="4" max="4" width="9.33203125" bestFit="1" customWidth="1"/>
    <col min="5" max="5" width="20.21875" bestFit="1" customWidth="1"/>
    <col min="6" max="6" width="12.44140625" bestFit="1" customWidth="1"/>
    <col min="7" max="7" width="10.6640625" bestFit="1" customWidth="1"/>
    <col min="8" max="8" width="7.88671875" bestFit="1" customWidth="1"/>
  </cols>
  <sheetData>
    <row r="1" spans="1:8" x14ac:dyDescent="0.3">
      <c r="A1" s="12" t="s">
        <v>210</v>
      </c>
      <c r="B1" s="28" t="s">
        <v>258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300</v>
      </c>
    </row>
    <row r="2" spans="1:8" ht="28.8" x14ac:dyDescent="0.3">
      <c r="A2" s="48" t="s">
        <v>229</v>
      </c>
      <c r="B2" s="47">
        <v>160000</v>
      </c>
      <c r="C2" s="47">
        <v>0</v>
      </c>
      <c r="D2" s="47">
        <f>B2+C2</f>
        <v>160000</v>
      </c>
      <c r="E2" s="36">
        <v>50200062999445</v>
      </c>
      <c r="F2" s="47" t="s">
        <v>228</v>
      </c>
      <c r="G2" s="47" t="s">
        <v>190</v>
      </c>
      <c r="H2" t="s">
        <v>301</v>
      </c>
    </row>
    <row r="3" spans="1:8" ht="28.8" x14ac:dyDescent="0.3">
      <c r="A3" s="48" t="s">
        <v>229</v>
      </c>
      <c r="B3" s="47">
        <v>20000</v>
      </c>
      <c r="C3" s="47">
        <v>0</v>
      </c>
      <c r="D3" s="47">
        <f>B3+C3</f>
        <v>20000</v>
      </c>
      <c r="E3" s="36">
        <v>50200062999445</v>
      </c>
      <c r="F3" s="47" t="s">
        <v>228</v>
      </c>
      <c r="G3" s="47" t="s">
        <v>190</v>
      </c>
      <c r="H3" t="s">
        <v>301</v>
      </c>
    </row>
    <row r="5" spans="1:8" x14ac:dyDescent="0.3">
      <c r="D5" s="107">
        <f>SUM(D2:D4)</f>
        <v>180000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4" x14ac:dyDescent="0.3"/>
  <cols>
    <col min="1" max="1" width="11.21875" bestFit="1" customWidth="1"/>
    <col min="2" max="2" width="33" customWidth="1"/>
    <col min="3" max="3" width="9.5546875" customWidth="1"/>
    <col min="4" max="4" width="17.77734375" customWidth="1"/>
    <col min="5" max="5" width="19.77734375" bestFit="1" customWidth="1"/>
    <col min="6" max="6" width="12.6640625" customWidth="1"/>
    <col min="7" max="7" width="17.5546875" customWidth="1"/>
    <col min="8" max="8" width="8.109375" bestFit="1" customWidth="1"/>
  </cols>
  <sheetData>
    <row r="1" spans="1:8" x14ac:dyDescent="0.3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">
      <c r="A2" s="14" t="s">
        <v>36</v>
      </c>
      <c r="B2" s="15" t="s">
        <v>52</v>
      </c>
      <c r="C2" s="46">
        <v>46054</v>
      </c>
      <c r="D2" s="35">
        <f>VLOOKUP(A2,Consultant!A2:H4,8,0)</f>
        <v>79800</v>
      </c>
      <c r="E2" s="35">
        <v>50100677371816</v>
      </c>
      <c r="F2" s="15" t="s">
        <v>50</v>
      </c>
      <c r="G2" s="15" t="s">
        <v>51</v>
      </c>
      <c r="H2" s="15"/>
    </row>
    <row r="3" spans="1:8" hidden="1" x14ac:dyDescent="0.3">
      <c r="A3" s="14" t="s">
        <v>35</v>
      </c>
      <c r="B3" s="14" t="s">
        <v>38</v>
      </c>
      <c r="C3" s="46">
        <v>46054</v>
      </c>
      <c r="D3" s="35">
        <f>VLOOKUP(A3,Consultant!A3:H4,8,0)</f>
        <v>69800</v>
      </c>
      <c r="E3" s="36">
        <v>99980130961985</v>
      </c>
      <c r="F3" s="22" t="s">
        <v>225</v>
      </c>
      <c r="G3" s="17" t="s">
        <v>122</v>
      </c>
      <c r="H3" s="15"/>
    </row>
    <row r="4" spans="1:8" x14ac:dyDescent="0.3">
      <c r="A4" s="18" t="s">
        <v>27</v>
      </c>
      <c r="B4" s="18" t="s">
        <v>26</v>
      </c>
      <c r="C4" s="46">
        <v>46062</v>
      </c>
      <c r="D4" s="35" t="e">
        <f>VLOOKUP(A4,Employees!2:2,29,0)</f>
        <v>#N/A</v>
      </c>
      <c r="E4" s="35">
        <v>41280100007853</v>
      </c>
      <c r="F4" s="15" t="s">
        <v>31</v>
      </c>
      <c r="G4" s="15" t="s">
        <v>33</v>
      </c>
      <c r="H4" s="15"/>
    </row>
    <row r="5" spans="1:8" hidden="1" x14ac:dyDescent="0.3">
      <c r="A5" s="6" t="s">
        <v>60</v>
      </c>
      <c r="B5" s="7" t="s">
        <v>61</v>
      </c>
      <c r="C5" s="8">
        <v>46083</v>
      </c>
      <c r="D5" s="35" t="e">
        <f>VLOOKUP(A5,'Tech Team'!B2:AB15,28,0)</f>
        <v>#REF!</v>
      </c>
      <c r="E5" s="36">
        <v>99980130961993</v>
      </c>
      <c r="F5" s="22" t="s">
        <v>225</v>
      </c>
      <c r="G5" s="17" t="s">
        <v>122</v>
      </c>
      <c r="H5" s="15"/>
    </row>
    <row r="6" spans="1:8" x14ac:dyDescent="0.3">
      <c r="A6" s="6" t="s">
        <v>56</v>
      </c>
      <c r="B6" s="7" t="s">
        <v>57</v>
      </c>
      <c r="C6" s="8">
        <v>46083</v>
      </c>
      <c r="D6" s="35" t="e">
        <f>VLOOKUP(A6,'Tech Team'!B3:AB13,28,0)</f>
        <v>#REF!</v>
      </c>
      <c r="E6" s="35">
        <v>3327101004003</v>
      </c>
      <c r="F6" s="17" t="s">
        <v>101</v>
      </c>
      <c r="G6" s="17" t="s">
        <v>102</v>
      </c>
      <c r="H6" s="15"/>
    </row>
    <row r="7" spans="1:8" x14ac:dyDescent="0.3">
      <c r="A7" s="6" t="s">
        <v>72</v>
      </c>
      <c r="B7" s="7" t="s">
        <v>73</v>
      </c>
      <c r="C7" s="8">
        <v>46083</v>
      </c>
      <c r="D7" s="35" t="e">
        <f>VLOOKUP(A7,'Tech Team'!B5:AB18,28,0)</f>
        <v>#N/A</v>
      </c>
      <c r="E7" s="35">
        <v>159502740717</v>
      </c>
      <c r="F7" s="17" t="s">
        <v>108</v>
      </c>
      <c r="G7" s="17" t="s">
        <v>109</v>
      </c>
      <c r="H7" s="15"/>
    </row>
    <row r="8" spans="1:8" hidden="1" x14ac:dyDescent="0.3">
      <c r="A8" s="6" t="s">
        <v>64</v>
      </c>
      <c r="B8" s="7" t="s">
        <v>65</v>
      </c>
      <c r="C8" s="8">
        <v>46083</v>
      </c>
      <c r="D8" s="35" t="e">
        <f>VLOOKUP(A8,'Tech Team'!B5:AB15,28,0)</f>
        <v>#N/A</v>
      </c>
      <c r="E8" s="35">
        <v>77770116800885</v>
      </c>
      <c r="F8" s="17" t="s">
        <v>104</v>
      </c>
      <c r="G8" s="17" t="s">
        <v>122</v>
      </c>
      <c r="H8" s="15"/>
    </row>
    <row r="9" spans="1:8" hidden="1" x14ac:dyDescent="0.3">
      <c r="A9" s="6" t="s">
        <v>70</v>
      </c>
      <c r="B9" s="7" t="s">
        <v>71</v>
      </c>
      <c r="C9" s="8">
        <v>46083</v>
      </c>
      <c r="D9" s="35" t="e">
        <f>VLOOKUP(A9,'Tech Team'!B5:AB17,28,0)</f>
        <v>#N/A</v>
      </c>
      <c r="E9" s="36">
        <v>99980130961886</v>
      </c>
      <c r="F9" s="22" t="s">
        <v>225</v>
      </c>
      <c r="G9" s="17" t="s">
        <v>122</v>
      </c>
      <c r="H9" s="15"/>
    </row>
    <row r="10" spans="1:8" x14ac:dyDescent="0.3">
      <c r="A10" s="6" t="s">
        <v>68</v>
      </c>
      <c r="B10" s="7" t="s">
        <v>69</v>
      </c>
      <c r="C10" s="8">
        <v>46083</v>
      </c>
      <c r="D10" s="35" t="e">
        <f>VLOOKUP(A10,'Tech Team'!B5:AB16,28,0)</f>
        <v>#N/A</v>
      </c>
      <c r="E10" s="35">
        <v>62297418711</v>
      </c>
      <c r="F10" s="17" t="s">
        <v>107</v>
      </c>
      <c r="G10" s="17" t="s">
        <v>106</v>
      </c>
      <c r="H10" s="15"/>
    </row>
    <row r="11" spans="1:8" hidden="1" x14ac:dyDescent="0.3">
      <c r="A11" s="6" t="s">
        <v>66</v>
      </c>
      <c r="B11" s="7" t="s">
        <v>67</v>
      </c>
      <c r="C11" s="8">
        <v>46083</v>
      </c>
      <c r="D11" s="35" t="e">
        <f>VLOOKUP(A11,'Tech Team'!B5:AB16,28,0)</f>
        <v>#N/A</v>
      </c>
      <c r="E11" s="36">
        <v>99980130963940</v>
      </c>
      <c r="F11" s="22" t="s">
        <v>225</v>
      </c>
      <c r="G11" s="17" t="s">
        <v>122</v>
      </c>
      <c r="H11" s="15"/>
    </row>
    <row r="12" spans="1:8" x14ac:dyDescent="0.3">
      <c r="A12" s="6" t="s">
        <v>58</v>
      </c>
      <c r="B12" s="7" t="s">
        <v>59</v>
      </c>
      <c r="C12" s="8">
        <v>46083</v>
      </c>
      <c r="D12" s="35" t="e">
        <f>VLOOKUP(A12,'Tech Team'!B2:AB13,28,0)</f>
        <v>#N/A</v>
      </c>
      <c r="E12" s="35">
        <v>50100595290241</v>
      </c>
      <c r="F12" s="35" t="s">
        <v>103</v>
      </c>
      <c r="G12" s="35" t="s">
        <v>51</v>
      </c>
      <c r="H12" s="15"/>
    </row>
    <row r="13" spans="1:8" hidden="1" x14ac:dyDescent="0.3">
      <c r="A13" s="6" t="s">
        <v>62</v>
      </c>
      <c r="B13" s="7" t="s">
        <v>63</v>
      </c>
      <c r="C13" s="8">
        <v>46083</v>
      </c>
      <c r="D13" s="35" t="e">
        <f>VLOOKUP(A13,'Tech Team'!B4:AB15,28,0)</f>
        <v>#REF!</v>
      </c>
      <c r="E13" s="36">
        <v>99980130961951</v>
      </c>
      <c r="F13" s="22" t="s">
        <v>225</v>
      </c>
      <c r="G13" s="17" t="s">
        <v>122</v>
      </c>
      <c r="H13" s="15"/>
    </row>
    <row r="14" spans="1:8" x14ac:dyDescent="0.3">
      <c r="A14" s="14" t="s">
        <v>46</v>
      </c>
      <c r="B14" s="14" t="s">
        <v>47</v>
      </c>
      <c r="C14" s="46">
        <v>46066</v>
      </c>
      <c r="D14" s="35" t="e">
        <f>VLOOKUP(A14,Consultant!A4:H5,8,0)</f>
        <v>#N/A</v>
      </c>
      <c r="E14" s="37" t="s">
        <v>48</v>
      </c>
      <c r="F14" s="40" t="s">
        <v>49</v>
      </c>
      <c r="G14" s="40" t="s">
        <v>45</v>
      </c>
      <c r="H14" s="15"/>
    </row>
    <row r="15" spans="1:8" hidden="1" x14ac:dyDescent="0.3">
      <c r="A15" s="6" t="s">
        <v>74</v>
      </c>
      <c r="B15" s="7" t="s">
        <v>75</v>
      </c>
      <c r="C15" s="8">
        <v>46083</v>
      </c>
      <c r="D15" s="35" t="e">
        <f>VLOOKUP(A15,'Tech Team'!B5:AB19,28,0)</f>
        <v>#N/A</v>
      </c>
      <c r="E15" s="36">
        <v>99980130961894</v>
      </c>
      <c r="F15" s="22" t="s">
        <v>225</v>
      </c>
      <c r="G15" s="17" t="s">
        <v>122</v>
      </c>
      <c r="H15" s="15"/>
    </row>
    <row r="16" spans="1:8" hidden="1" x14ac:dyDescent="0.3">
      <c r="A16" s="6" t="s">
        <v>78</v>
      </c>
      <c r="B16" s="7" t="s">
        <v>79</v>
      </c>
      <c r="C16" s="8">
        <v>46083</v>
      </c>
      <c r="D16" s="35" t="e">
        <f>VLOOKUP(A16,'Tech Team'!B5:AB21,28,0)</f>
        <v>#REF!</v>
      </c>
      <c r="E16" s="36">
        <v>99980130961878</v>
      </c>
      <c r="F16" s="22" t="s">
        <v>225</v>
      </c>
      <c r="G16" s="17" t="s">
        <v>122</v>
      </c>
      <c r="H16" s="15"/>
    </row>
    <row r="17" spans="1:8" hidden="1" x14ac:dyDescent="0.3">
      <c r="A17" s="14" t="s">
        <v>37</v>
      </c>
      <c r="B17" s="14" t="s">
        <v>39</v>
      </c>
      <c r="C17" s="46">
        <v>46072</v>
      </c>
      <c r="D17" s="35">
        <f>VLOOKUP(A17,Consultant!A4:H6,8,0)</f>
        <v>79800</v>
      </c>
      <c r="E17" s="35">
        <v>99980130963916</v>
      </c>
      <c r="F17" s="22" t="s">
        <v>225</v>
      </c>
      <c r="G17" s="17" t="s">
        <v>122</v>
      </c>
      <c r="H17" s="15"/>
    </row>
    <row r="18" spans="1:8" x14ac:dyDescent="0.3">
      <c r="A18" s="10" t="s">
        <v>170</v>
      </c>
      <c r="B18" s="11" t="s">
        <v>171</v>
      </c>
      <c r="C18" s="8">
        <v>46113</v>
      </c>
      <c r="D18" s="35" t="e">
        <f>VLOOKUP(A18,'Tech Team'!B13:AB40,28,0)</f>
        <v>#REF!</v>
      </c>
      <c r="E18" s="38">
        <v>44610100006654</v>
      </c>
      <c r="F18" s="41" t="s">
        <v>193</v>
      </c>
      <c r="G18" s="42" t="s">
        <v>192</v>
      </c>
      <c r="H18" s="15"/>
    </row>
    <row r="19" spans="1:8" x14ac:dyDescent="0.3">
      <c r="A19" s="6" t="s">
        <v>80</v>
      </c>
      <c r="B19" s="7" t="s">
        <v>81</v>
      </c>
      <c r="C19" s="8">
        <v>46083</v>
      </c>
      <c r="D19" s="35" t="e">
        <f>VLOOKUP(A19,'Tech Team'!B6:AB21,28,0)</f>
        <v>#N/A</v>
      </c>
      <c r="E19" s="35">
        <v>615728726</v>
      </c>
      <c r="F19" s="35" t="s">
        <v>113</v>
      </c>
      <c r="G19" s="35" t="s">
        <v>114</v>
      </c>
      <c r="H19" s="15"/>
    </row>
    <row r="20" spans="1:8" hidden="1" x14ac:dyDescent="0.3">
      <c r="A20" s="6" t="s">
        <v>82</v>
      </c>
      <c r="B20" s="7" t="s">
        <v>83</v>
      </c>
      <c r="C20" s="8">
        <v>46083</v>
      </c>
      <c r="D20" s="35" t="e">
        <f>VLOOKUP(A20,'Tech Team'!B6:AB21,28,0)</f>
        <v>#N/A</v>
      </c>
      <c r="E20" s="36">
        <v>99980130963882</v>
      </c>
      <c r="F20" s="22" t="s">
        <v>225</v>
      </c>
      <c r="G20" s="17" t="s">
        <v>122</v>
      </c>
      <c r="H20" s="15"/>
    </row>
    <row r="21" spans="1:8" hidden="1" x14ac:dyDescent="0.3">
      <c r="A21" s="6" t="s">
        <v>84</v>
      </c>
      <c r="B21" s="7" t="s">
        <v>85</v>
      </c>
      <c r="C21" s="8">
        <v>46083</v>
      </c>
      <c r="D21" s="35" t="e">
        <f>VLOOKUP(A21,'Tech Team'!B6:AB21,28,0)</f>
        <v>#N/A</v>
      </c>
      <c r="E21" s="36">
        <v>99980130961902</v>
      </c>
      <c r="F21" s="22" t="s">
        <v>225</v>
      </c>
      <c r="G21" s="17" t="s">
        <v>122</v>
      </c>
      <c r="H21" s="15"/>
    </row>
    <row r="22" spans="1:8" hidden="1" x14ac:dyDescent="0.3">
      <c r="A22" s="6" t="s">
        <v>86</v>
      </c>
      <c r="B22" s="7" t="s">
        <v>87</v>
      </c>
      <c r="C22" s="8">
        <v>46083</v>
      </c>
      <c r="D22" s="35" t="e">
        <f>VLOOKUP(A22,'Tech Team'!B6:AB21,28,0)</f>
        <v>#N/A</v>
      </c>
      <c r="E22" s="34">
        <v>99980130961761</v>
      </c>
      <c r="F22" s="22" t="s">
        <v>225</v>
      </c>
      <c r="G22" s="17" t="s">
        <v>122</v>
      </c>
      <c r="H22" s="15"/>
    </row>
    <row r="23" spans="1:8" hidden="1" x14ac:dyDescent="0.3">
      <c r="A23" s="10" t="s">
        <v>160</v>
      </c>
      <c r="B23" s="11" t="s">
        <v>161</v>
      </c>
      <c r="C23" s="8">
        <v>46113</v>
      </c>
      <c r="D23" s="35" t="e">
        <f>VLOOKUP(A23,'Tech Team'!B11:AB35,28,0)</f>
        <v>#REF!</v>
      </c>
      <c r="E23" s="34">
        <v>99980130961787</v>
      </c>
      <c r="F23" s="22" t="s">
        <v>225</v>
      </c>
      <c r="G23" s="17" t="s">
        <v>122</v>
      </c>
      <c r="H23" s="15"/>
    </row>
    <row r="24" spans="1:8" x14ac:dyDescent="0.3">
      <c r="A24" s="6" t="s">
        <v>88</v>
      </c>
      <c r="B24" s="6" t="s">
        <v>89</v>
      </c>
      <c r="C24" s="8">
        <v>46083</v>
      </c>
      <c r="D24" s="35" t="e">
        <f>VLOOKUP(A24,'Tech Team'!B6:AB23,28,0)</f>
        <v>#REF!</v>
      </c>
      <c r="E24" s="35">
        <v>37182972098</v>
      </c>
      <c r="F24" s="35" t="s">
        <v>137</v>
      </c>
      <c r="G24" s="35" t="s">
        <v>106</v>
      </c>
      <c r="H24" s="15"/>
    </row>
    <row r="25" spans="1:8" x14ac:dyDescent="0.3">
      <c r="A25" s="6" t="s">
        <v>92</v>
      </c>
      <c r="B25" s="6" t="s">
        <v>93</v>
      </c>
      <c r="C25" s="8">
        <v>46083</v>
      </c>
      <c r="D25" s="35" t="e">
        <f>VLOOKUP(A25,'Tech Team'!B7:AB24,28,0)</f>
        <v>#REF!</v>
      </c>
      <c r="E25" s="35">
        <v>41536691505</v>
      </c>
      <c r="F25" s="35" t="s">
        <v>120</v>
      </c>
      <c r="G25" s="35" t="s">
        <v>106</v>
      </c>
      <c r="H25" s="15"/>
    </row>
    <row r="26" spans="1:8" x14ac:dyDescent="0.3">
      <c r="A26" s="6" t="s">
        <v>94</v>
      </c>
      <c r="B26" s="6" t="s">
        <v>95</v>
      </c>
      <c r="C26" s="8">
        <v>46083</v>
      </c>
      <c r="D26" s="35" t="e">
        <f>VLOOKUP(A26,'Tech Team'!B8:AB25,28,0)</f>
        <v>#N/A</v>
      </c>
      <c r="E26" s="35">
        <v>50100141200194</v>
      </c>
      <c r="F26" s="35" t="s">
        <v>121</v>
      </c>
      <c r="G26" s="35" t="s">
        <v>51</v>
      </c>
      <c r="H26" s="15"/>
    </row>
    <row r="27" spans="1:8" hidden="1" x14ac:dyDescent="0.3">
      <c r="A27" s="18" t="s">
        <v>96</v>
      </c>
      <c r="B27" s="18" t="s">
        <v>97</v>
      </c>
      <c r="C27" s="16">
        <v>46086</v>
      </c>
      <c r="D27" s="35">
        <f>VLOOKUP(A27,Employees!2:2,29,0)</f>
        <v>0</v>
      </c>
      <c r="E27" s="34">
        <v>99980130961795</v>
      </c>
      <c r="F27" s="22" t="s">
        <v>225</v>
      </c>
      <c r="G27" s="17" t="s">
        <v>122</v>
      </c>
      <c r="H27" s="15"/>
    </row>
    <row r="28" spans="1:8" hidden="1" x14ac:dyDescent="0.3">
      <c r="A28" s="10" t="s">
        <v>98</v>
      </c>
      <c r="B28" s="11" t="s">
        <v>99</v>
      </c>
      <c r="C28" s="16">
        <v>46092</v>
      </c>
      <c r="D28" s="35" t="e">
        <f>VLOOKUP(A28,Consultant!A5:H7,8,0)</f>
        <v>#N/A</v>
      </c>
      <c r="E28" s="34">
        <v>99980130950434</v>
      </c>
      <c r="F28" s="22" t="s">
        <v>225</v>
      </c>
      <c r="G28" s="17" t="s">
        <v>122</v>
      </c>
      <c r="H28" s="15"/>
    </row>
    <row r="29" spans="1:8" hidden="1" x14ac:dyDescent="0.3">
      <c r="A29" s="10" t="s">
        <v>140</v>
      </c>
      <c r="B29" s="11" t="s">
        <v>141</v>
      </c>
      <c r="C29" s="8">
        <v>46113</v>
      </c>
      <c r="D29" s="35" t="e">
        <f>VLOOKUP(A29,'Tech Team'!B8:AB25,28,0)</f>
        <v>#REF!</v>
      </c>
      <c r="E29" s="34">
        <v>15550100112314</v>
      </c>
      <c r="F29" s="22" t="s">
        <v>225</v>
      </c>
      <c r="G29" s="17" t="s">
        <v>122</v>
      </c>
      <c r="H29" s="15"/>
    </row>
    <row r="30" spans="1:8" x14ac:dyDescent="0.3">
      <c r="A30" s="10" t="s">
        <v>142</v>
      </c>
      <c r="B30" s="11" t="s">
        <v>143</v>
      </c>
      <c r="C30" s="8">
        <v>46113</v>
      </c>
      <c r="D30" s="35" t="e">
        <f>VLOOKUP(A30,'Tech Team'!B9:AB26,28,0)</f>
        <v>#N/A</v>
      </c>
      <c r="E30" s="39">
        <v>40590710609</v>
      </c>
      <c r="F30" s="41" t="s">
        <v>177</v>
      </c>
      <c r="G30" s="42" t="s">
        <v>106</v>
      </c>
      <c r="H30" s="15"/>
    </row>
    <row r="31" spans="1:8" hidden="1" x14ac:dyDescent="0.3">
      <c r="A31" s="14" t="s">
        <v>175</v>
      </c>
      <c r="B31" s="9" t="s">
        <v>174</v>
      </c>
      <c r="C31" s="8">
        <v>46113</v>
      </c>
      <c r="D31" s="35" t="e">
        <f>VLOOKUP(A31,'Tech Team'!B14:AB42,28,0)</f>
        <v>#N/A</v>
      </c>
      <c r="E31" s="34">
        <v>15550100112330</v>
      </c>
      <c r="F31" s="22" t="s">
        <v>225</v>
      </c>
      <c r="G31" s="17" t="s">
        <v>122</v>
      </c>
      <c r="H31" s="15"/>
    </row>
    <row r="32" spans="1:8" x14ac:dyDescent="0.3">
      <c r="A32" s="10" t="s">
        <v>144</v>
      </c>
      <c r="B32" s="11" t="s">
        <v>145</v>
      </c>
      <c r="C32" s="8">
        <v>46113</v>
      </c>
      <c r="D32" s="35" t="e">
        <f>VLOOKUP(A32,'Tech Team'!B9:AB27,28,0)</f>
        <v>#N/A</v>
      </c>
      <c r="E32" s="38">
        <v>801663119</v>
      </c>
      <c r="F32" s="41" t="s">
        <v>178</v>
      </c>
      <c r="G32" s="42" t="s">
        <v>45</v>
      </c>
      <c r="H32" s="15"/>
    </row>
    <row r="33" spans="1:8" hidden="1" x14ac:dyDescent="0.3">
      <c r="A33" s="10" t="s">
        <v>146</v>
      </c>
      <c r="B33" s="11" t="s">
        <v>147</v>
      </c>
      <c r="C33" s="8">
        <v>46113</v>
      </c>
      <c r="D33" s="35" t="e">
        <f>VLOOKUP(A33,'Tech Team'!B9:AB28,28,0)</f>
        <v>#REF!</v>
      </c>
      <c r="E33" s="38">
        <v>55560103431927</v>
      </c>
      <c r="F33" s="41" t="s">
        <v>180</v>
      </c>
      <c r="G33" s="41" t="s">
        <v>179</v>
      </c>
      <c r="H33" s="15"/>
    </row>
    <row r="34" spans="1:8" hidden="1" x14ac:dyDescent="0.3">
      <c r="A34" s="10" t="s">
        <v>148</v>
      </c>
      <c r="B34" s="11" t="s">
        <v>149</v>
      </c>
      <c r="C34" s="8">
        <v>46113</v>
      </c>
      <c r="D34" s="35" t="e">
        <f>VLOOKUP(A34,'Tech Team'!B10:AB29,28,0)</f>
        <v>#N/A</v>
      </c>
      <c r="E34" s="34">
        <v>15550100112355</v>
      </c>
      <c r="F34" s="22" t="s">
        <v>225</v>
      </c>
      <c r="G34" s="17" t="s">
        <v>122</v>
      </c>
      <c r="H34" s="15"/>
    </row>
    <row r="35" spans="1:8" hidden="1" x14ac:dyDescent="0.3">
      <c r="A35" s="10" t="s">
        <v>150</v>
      </c>
      <c r="B35" s="11" t="s">
        <v>151</v>
      </c>
      <c r="C35" s="8">
        <v>46113</v>
      </c>
      <c r="D35" s="35" t="e">
        <f>VLOOKUP(A35,'Tech Team'!B10:AB30,28,0)</f>
        <v>#REF!</v>
      </c>
      <c r="E35" s="34">
        <v>15550100112280</v>
      </c>
      <c r="F35" s="22" t="s">
        <v>225</v>
      </c>
      <c r="G35" s="17" t="s">
        <v>122</v>
      </c>
      <c r="H35" s="15"/>
    </row>
    <row r="36" spans="1:8" x14ac:dyDescent="0.3">
      <c r="A36" s="10" t="s">
        <v>152</v>
      </c>
      <c r="B36" s="11" t="s">
        <v>153</v>
      </c>
      <c r="C36" s="8">
        <v>46113</v>
      </c>
      <c r="D36" s="35" t="e">
        <f>VLOOKUP(A36,'Tech Team'!B11:AB31,28,0)</f>
        <v>#N/A</v>
      </c>
      <c r="E36" s="39">
        <v>386701504229</v>
      </c>
      <c r="F36" s="41" t="s">
        <v>182</v>
      </c>
      <c r="G36" s="42" t="s">
        <v>45</v>
      </c>
      <c r="H36" s="15"/>
    </row>
    <row r="37" spans="1:8" hidden="1" x14ac:dyDescent="0.3">
      <c r="A37" s="10" t="s">
        <v>156</v>
      </c>
      <c r="B37" s="20" t="s">
        <v>157</v>
      </c>
      <c r="C37" s="8">
        <v>46113</v>
      </c>
      <c r="D37" s="35" t="e">
        <f>VLOOKUP(A37,'Tech Team'!B11:AB33,28,0)</f>
        <v>#N/A</v>
      </c>
      <c r="E37" s="34">
        <v>15550100112306</v>
      </c>
      <c r="F37" s="22" t="s">
        <v>225</v>
      </c>
      <c r="G37" s="17" t="s">
        <v>122</v>
      </c>
      <c r="H37" s="15"/>
    </row>
    <row r="38" spans="1:8" hidden="1" x14ac:dyDescent="0.3">
      <c r="A38" s="10" t="s">
        <v>158</v>
      </c>
      <c r="B38" s="20" t="s">
        <v>159</v>
      </c>
      <c r="C38" s="8">
        <v>46113</v>
      </c>
      <c r="D38" s="35" t="e">
        <f>VLOOKUP(A38,'Tech Team'!B11:AB34,28,0)</f>
        <v>#N/A</v>
      </c>
      <c r="E38" s="34">
        <v>15550100112298</v>
      </c>
      <c r="F38" s="22" t="s">
        <v>225</v>
      </c>
      <c r="G38" s="17" t="s">
        <v>122</v>
      </c>
      <c r="H38" s="15"/>
    </row>
    <row r="39" spans="1:8" x14ac:dyDescent="0.3">
      <c r="A39" s="10" t="s">
        <v>154</v>
      </c>
      <c r="B39" s="11" t="s">
        <v>155</v>
      </c>
      <c r="C39" s="8">
        <v>46113</v>
      </c>
      <c r="D39" s="35" t="e">
        <f>VLOOKUP(A39,'Tech Team'!B11:AB32,28,0)</f>
        <v>#N/A</v>
      </c>
      <c r="E39" s="39">
        <v>44652833670</v>
      </c>
      <c r="F39" s="42" t="s">
        <v>183</v>
      </c>
      <c r="G39" s="42" t="s">
        <v>106</v>
      </c>
      <c r="H39" s="15"/>
    </row>
    <row r="40" spans="1:8" x14ac:dyDescent="0.3">
      <c r="A40" s="10" t="s">
        <v>162</v>
      </c>
      <c r="B40" s="11" t="s">
        <v>163</v>
      </c>
      <c r="C40" s="8">
        <v>46113</v>
      </c>
      <c r="D40" s="35" t="e">
        <f>VLOOKUP(A40,'Tech Team'!B12:AB36,28,0)</f>
        <v>#REF!</v>
      </c>
      <c r="E40" s="43">
        <v>37097117593</v>
      </c>
      <c r="F40" s="44" t="s">
        <v>188</v>
      </c>
      <c r="G40" s="42" t="s">
        <v>106</v>
      </c>
      <c r="H40" s="15"/>
    </row>
    <row r="41" spans="1:8" hidden="1" x14ac:dyDescent="0.3">
      <c r="A41" s="10" t="s">
        <v>164</v>
      </c>
      <c r="B41" s="11" t="s">
        <v>165</v>
      </c>
      <c r="C41" s="8">
        <v>46113</v>
      </c>
      <c r="D41" s="35" t="e">
        <f>VLOOKUP(A41,'Tech Team'!B13:AB37,28,0)</f>
        <v>#N/A</v>
      </c>
      <c r="E41" s="34">
        <v>99980130961779</v>
      </c>
      <c r="F41" s="22" t="s">
        <v>225</v>
      </c>
      <c r="G41" s="10" t="s">
        <v>122</v>
      </c>
      <c r="H41" s="15"/>
    </row>
    <row r="42" spans="1:8" x14ac:dyDescent="0.3">
      <c r="A42" s="10" t="s">
        <v>166</v>
      </c>
      <c r="B42" s="11" t="s">
        <v>167</v>
      </c>
      <c r="C42" s="8">
        <v>46113</v>
      </c>
      <c r="D42" s="35" t="e">
        <f>VLOOKUP(A42,'Tech Team'!B13:AB38,28,0)</f>
        <v>#N/A</v>
      </c>
      <c r="E42" s="38">
        <v>50100405907963</v>
      </c>
      <c r="F42" s="41" t="s">
        <v>191</v>
      </c>
      <c r="G42" s="44" t="s">
        <v>190</v>
      </c>
      <c r="H42" s="15"/>
    </row>
    <row r="43" spans="1:8" hidden="1" x14ac:dyDescent="0.3">
      <c r="A43" s="10" t="s">
        <v>168</v>
      </c>
      <c r="B43" s="11" t="s">
        <v>169</v>
      </c>
      <c r="C43" s="8">
        <v>46113</v>
      </c>
      <c r="D43" s="35" t="e">
        <f>VLOOKUP(A43,'Tech Team'!B13:AB39,28,0)</f>
        <v>#N/A</v>
      </c>
      <c r="E43" s="34">
        <v>15550100112322</v>
      </c>
      <c r="F43" s="22" t="s">
        <v>225</v>
      </c>
      <c r="G43" s="10" t="s">
        <v>122</v>
      </c>
      <c r="H43" s="15"/>
    </row>
    <row r="44" spans="1:8" hidden="1" x14ac:dyDescent="0.3">
      <c r="A44" s="10" t="s">
        <v>172</v>
      </c>
      <c r="B44" s="11" t="s">
        <v>173</v>
      </c>
      <c r="C44" s="8">
        <v>46113</v>
      </c>
      <c r="D44" s="35" t="e">
        <f>VLOOKUP(A44,'Tech Team'!B14:AB41,28,0)</f>
        <v>#N/A</v>
      </c>
      <c r="E44" s="34">
        <v>15550100112363</v>
      </c>
      <c r="F44" s="22" t="s">
        <v>225</v>
      </c>
      <c r="G44" s="10" t="s">
        <v>122</v>
      </c>
      <c r="H44" s="15"/>
    </row>
    <row r="45" spans="1:8" x14ac:dyDescent="0.3">
      <c r="A45" s="10" t="s">
        <v>208</v>
      </c>
      <c r="B45" s="11" t="s">
        <v>203</v>
      </c>
      <c r="C45" s="8">
        <v>46113</v>
      </c>
      <c r="D45" s="35" t="e">
        <f>VLOOKUP(A45,'Tech Team'!B14:AB42,28,0)</f>
        <v>#REF!</v>
      </c>
      <c r="E45" s="38">
        <v>38613963272</v>
      </c>
      <c r="F45" s="22" t="s">
        <v>204</v>
      </c>
      <c r="G45" s="22" t="s">
        <v>106</v>
      </c>
      <c r="H45" s="15"/>
    </row>
    <row r="46" spans="1:8" ht="28.8" x14ac:dyDescent="0.3">
      <c r="A46" s="10" t="s">
        <v>209</v>
      </c>
      <c r="B46" s="11" t="s">
        <v>205</v>
      </c>
      <c r="C46" s="8">
        <v>46113</v>
      </c>
      <c r="D46" s="35" t="e">
        <f>VLOOKUP(A46,'Tech Team'!B15:AB43,28,0)</f>
        <v>#REF!</v>
      </c>
      <c r="E46" s="38">
        <v>180701000002091</v>
      </c>
      <c r="F46" s="22" t="s">
        <v>206</v>
      </c>
      <c r="G46" s="22" t="s">
        <v>207</v>
      </c>
      <c r="H46" s="15"/>
    </row>
    <row r="47" spans="1:8" x14ac:dyDescent="0.3">
      <c r="A47" s="5"/>
      <c r="B47" s="5"/>
      <c r="C47" s="2"/>
      <c r="D47" s="3"/>
      <c r="E47" s="3"/>
    </row>
    <row r="48" spans="1:8" x14ac:dyDescent="0.3">
      <c r="B48" s="1" t="s">
        <v>34</v>
      </c>
      <c r="C48" s="1"/>
      <c r="D48" s="53" t="e">
        <f>SUM(D2:D47)</f>
        <v>#N/A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4" x14ac:dyDescent="0.3"/>
  <cols>
    <col min="1" max="1" width="4.77734375" customWidth="1"/>
    <col min="2" max="2" width="18.44140625" customWidth="1"/>
    <col min="3" max="3" width="8.77734375" customWidth="1"/>
    <col min="4" max="4" width="17" customWidth="1"/>
    <col min="5" max="5" width="10.5546875" customWidth="1"/>
    <col min="6" max="6" width="18.88671875" customWidth="1"/>
    <col min="7" max="7" width="13" customWidth="1"/>
    <col min="8" max="8" width="25" customWidth="1"/>
    <col min="9" max="9" width="12.109375" customWidth="1"/>
  </cols>
  <sheetData>
    <row r="1" spans="1:9" x14ac:dyDescent="0.3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">
      <c r="A2" s="15">
        <v>1</v>
      </c>
      <c r="B2" s="15" t="s">
        <v>125</v>
      </c>
      <c r="C2" s="27"/>
      <c r="D2" s="15"/>
      <c r="E2" s="40">
        <v>230000</v>
      </c>
      <c r="F2" s="35">
        <v>32862142889</v>
      </c>
      <c r="G2" s="15" t="s">
        <v>222</v>
      </c>
      <c r="H2" s="15" t="s">
        <v>221</v>
      </c>
      <c r="I2" s="15" t="s">
        <v>176</v>
      </c>
    </row>
    <row r="3" spans="1:9" x14ac:dyDescent="0.3">
      <c r="A3" s="15">
        <v>2</v>
      </c>
      <c r="B3" s="15" t="s">
        <v>133</v>
      </c>
      <c r="C3" s="27">
        <v>22</v>
      </c>
      <c r="D3" s="15">
        <v>1200</v>
      </c>
      <c r="E3" s="40">
        <f>C3*D3</f>
        <v>26400</v>
      </c>
      <c r="F3" s="45" t="s">
        <v>218</v>
      </c>
      <c r="G3" s="15" t="s">
        <v>211</v>
      </c>
      <c r="H3" s="15" t="s">
        <v>212</v>
      </c>
      <c r="I3" s="15" t="s">
        <v>45</v>
      </c>
    </row>
    <row r="4" spans="1:9" x14ac:dyDescent="0.3">
      <c r="A4" s="15">
        <v>3</v>
      </c>
      <c r="B4" s="15" t="s">
        <v>134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213</v>
      </c>
      <c r="H4" s="15" t="s">
        <v>214</v>
      </c>
      <c r="I4" s="15" t="s">
        <v>45</v>
      </c>
    </row>
    <row r="5" spans="1:9" x14ac:dyDescent="0.3">
      <c r="A5" s="15">
        <v>4</v>
      </c>
      <c r="B5" s="15" t="s">
        <v>135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">
      <c r="A6" s="15">
        <v>5</v>
      </c>
      <c r="B6" s="15" t="s">
        <v>136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215</v>
      </c>
      <c r="H6" s="15" t="s">
        <v>216</v>
      </c>
      <c r="I6" s="15" t="s">
        <v>217</v>
      </c>
    </row>
    <row r="7" spans="1:9" x14ac:dyDescent="0.3">
      <c r="A7" s="15">
        <v>6</v>
      </c>
      <c r="B7" s="15" t="s">
        <v>196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">
      <c r="A8" s="15">
        <v>7</v>
      </c>
      <c r="B8" s="15" t="s">
        <v>197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223</v>
      </c>
      <c r="H8" s="15" t="s">
        <v>224</v>
      </c>
      <c r="I8" s="15" t="s">
        <v>176</v>
      </c>
    </row>
    <row r="9" spans="1:9" ht="42.45" customHeight="1" x14ac:dyDescent="0.3">
      <c r="A9" s="15">
        <v>8</v>
      </c>
      <c r="B9" s="15" t="s">
        <v>233</v>
      </c>
      <c r="C9" s="15"/>
      <c r="D9" s="15"/>
      <c r="E9" s="40">
        <v>160000</v>
      </c>
      <c r="F9" s="35">
        <v>50200062999445</v>
      </c>
      <c r="G9" s="40" t="s">
        <v>228</v>
      </c>
      <c r="H9" s="49" t="s">
        <v>232</v>
      </c>
      <c r="I9" s="40" t="s">
        <v>190</v>
      </c>
    </row>
    <row r="10" spans="1:9" ht="28.95" customHeight="1" x14ac:dyDescent="0.3">
      <c r="A10" s="15">
        <v>9</v>
      </c>
      <c r="B10" s="50" t="s">
        <v>230</v>
      </c>
      <c r="C10" s="15"/>
      <c r="D10" s="15"/>
      <c r="E10" s="40">
        <v>22583.06</v>
      </c>
      <c r="F10" s="35">
        <v>50200026430541</v>
      </c>
      <c r="G10" s="40" t="s">
        <v>231</v>
      </c>
      <c r="H10" s="50" t="s">
        <v>230</v>
      </c>
      <c r="I10" s="40" t="s">
        <v>190</v>
      </c>
    </row>
    <row r="11" spans="1:9" ht="16.5" customHeight="1" x14ac:dyDescent="0.3">
      <c r="B11" s="52"/>
      <c r="E11" s="47"/>
      <c r="F11" s="36"/>
      <c r="G11" s="47"/>
      <c r="I11" s="47"/>
    </row>
    <row r="12" spans="1:9" x14ac:dyDescent="0.3">
      <c r="B12" s="1" t="s">
        <v>28</v>
      </c>
      <c r="E12" s="51">
        <f>SUM(E2:E10)</f>
        <v>554083.06000000006</v>
      </c>
    </row>
    <row r="13" spans="1:9" x14ac:dyDescent="0.3">
      <c r="G13" s="47"/>
    </row>
    <row r="15" spans="1:9" x14ac:dyDescent="0.3">
      <c r="C15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4" x14ac:dyDescent="0.3"/>
  <cols>
    <col min="1" max="1" width="11.21875" bestFit="1" customWidth="1"/>
    <col min="2" max="2" width="33" customWidth="1"/>
    <col min="3" max="3" width="9.5546875" hidden="1" customWidth="1"/>
    <col min="4" max="4" width="16.33203125" hidden="1" customWidth="1"/>
    <col min="5" max="5" width="19.77734375" bestFit="1" customWidth="1"/>
    <col min="6" max="6" width="17.5546875" bestFit="1" customWidth="1"/>
    <col min="7" max="7" width="21.6640625" bestFit="1" customWidth="1"/>
    <col min="8" max="8" width="8.109375" bestFit="1" customWidth="1"/>
  </cols>
  <sheetData>
    <row r="1" spans="1:8" x14ac:dyDescent="0.3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">
      <c r="A2" s="29" t="s">
        <v>76</v>
      </c>
      <c r="B2" s="30" t="s">
        <v>77</v>
      </c>
      <c r="C2" s="31">
        <v>46083</v>
      </c>
      <c r="D2" s="32" t="e">
        <f>VLOOKUP(A2,'Tech Team'!B5:AB20,28,0)</f>
        <v>#N/A</v>
      </c>
      <c r="E2" s="32">
        <v>50100565431077</v>
      </c>
      <c r="F2" s="32" t="s">
        <v>111</v>
      </c>
      <c r="G2" s="32" t="s">
        <v>51</v>
      </c>
      <c r="H2" s="33" t="s">
        <v>202</v>
      </c>
    </row>
    <row r="3" spans="1:8" x14ac:dyDescent="0.3">
      <c r="A3" s="14" t="s">
        <v>36</v>
      </c>
      <c r="B3" s="15" t="s">
        <v>52</v>
      </c>
      <c r="C3" s="16">
        <v>46054</v>
      </c>
      <c r="D3" s="17">
        <f>VLOOKUP(A3,Consultant!A2:H4,8,0)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">
      <c r="A4" s="14" t="s">
        <v>35</v>
      </c>
      <c r="B4" s="14" t="s">
        <v>38</v>
      </c>
      <c r="C4" s="16">
        <v>46054</v>
      </c>
      <c r="D4" s="17">
        <f>VLOOKUP(A4,Consultant!A3:H4,8,0)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">
      <c r="A5" s="18" t="s">
        <v>27</v>
      </c>
      <c r="B5" s="18" t="s">
        <v>26</v>
      </c>
      <c r="C5" s="16">
        <v>46062</v>
      </c>
      <c r="D5" s="17" t="e">
        <f>VLOOKUP(A5,Employees!2:2,29,0)</f>
        <v>#N/A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">
      <c r="A6" s="6" t="s">
        <v>60</v>
      </c>
      <c r="B6" s="7" t="s">
        <v>61</v>
      </c>
      <c r="C6" s="8">
        <v>46083</v>
      </c>
      <c r="D6" s="17" t="e">
        <f>VLOOKUP(A6,'Tech Team'!B2:AB15,28,0)</f>
        <v>#REF!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">
      <c r="A7" s="6" t="s">
        <v>56</v>
      </c>
      <c r="B7" s="7" t="s">
        <v>57</v>
      </c>
      <c r="C7" s="8">
        <v>46083</v>
      </c>
      <c r="D7" s="17" t="e">
        <f>VLOOKUP(A7,'Tech Team'!B3:AB13,28,0)</f>
        <v>#REF!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">
      <c r="A8" s="6" t="s">
        <v>72</v>
      </c>
      <c r="B8" s="7" t="s">
        <v>73</v>
      </c>
      <c r="C8" s="8">
        <v>46083</v>
      </c>
      <c r="D8" s="17" t="e">
        <f>VLOOKUP(A8,'Tech Team'!B5:AB18,28,0)</f>
        <v>#N/A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">
      <c r="A9" s="6" t="s">
        <v>64</v>
      </c>
      <c r="B9" s="7" t="s">
        <v>65</v>
      </c>
      <c r="C9" s="8">
        <v>46083</v>
      </c>
      <c r="D9" s="17" t="e">
        <f>VLOOKUP(A9,'Tech Team'!B5:AB15,28,0)</f>
        <v>#N/A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">
      <c r="A10" s="6" t="s">
        <v>70</v>
      </c>
      <c r="B10" s="7" t="s">
        <v>71</v>
      </c>
      <c r="C10" s="8">
        <v>46083</v>
      </c>
      <c r="D10" s="17" t="e">
        <f>VLOOKUP(A10,'Tech Team'!B5:AB17,28,0)</f>
        <v>#N/A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">
      <c r="A11" s="6" t="s">
        <v>68</v>
      </c>
      <c r="B11" s="7" t="s">
        <v>69</v>
      </c>
      <c r="C11" s="8">
        <v>46083</v>
      </c>
      <c r="D11" s="17" t="e">
        <f>VLOOKUP(A11,'Tech Team'!B5:AB16,28,0)</f>
        <v>#N/A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">
      <c r="A12" s="6" t="s">
        <v>66</v>
      </c>
      <c r="B12" s="7" t="s">
        <v>67</v>
      </c>
      <c r="C12" s="8">
        <v>46083</v>
      </c>
      <c r="D12" s="17" t="e">
        <f>VLOOKUP(A12,'Tech Team'!B5:AB16,28,0)</f>
        <v>#N/A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">
      <c r="A13" s="6" t="s">
        <v>58</v>
      </c>
      <c r="B13" s="7" t="s">
        <v>59</v>
      </c>
      <c r="C13" s="8">
        <v>46083</v>
      </c>
      <c r="D13" s="17" t="e">
        <f>VLOOKUP(A13,'Tech Team'!B2:AB13,28,0)</f>
        <v>#N/A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">
      <c r="A14" s="6" t="s">
        <v>62</v>
      </c>
      <c r="B14" s="7" t="s">
        <v>63</v>
      </c>
      <c r="C14" s="8">
        <v>46083</v>
      </c>
      <c r="D14" s="17" t="e">
        <f>VLOOKUP(A14,'Tech Team'!B4:AB15,28,0)</f>
        <v>#REF!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">
      <c r="A15" s="14" t="s">
        <v>46</v>
      </c>
      <c r="B15" s="14" t="s">
        <v>47</v>
      </c>
      <c r="C15" s="16">
        <v>46066</v>
      </c>
      <c r="D15" s="17" t="e">
        <f>VLOOKUP(A15,Consultant!A4:H5,8,0)</f>
        <v>#N/A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">
      <c r="A16" s="6" t="s">
        <v>74</v>
      </c>
      <c r="B16" s="7" t="s">
        <v>75</v>
      </c>
      <c r="C16" s="8">
        <v>46083</v>
      </c>
      <c r="D16" s="17" t="e">
        <f>VLOOKUP(A16,'Tech Team'!B5:AB19,28,0)</f>
        <v>#N/A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">
      <c r="A17" s="6" t="s">
        <v>78</v>
      </c>
      <c r="B17" s="7" t="s">
        <v>79</v>
      </c>
      <c r="C17" s="8">
        <v>46083</v>
      </c>
      <c r="D17" s="17" t="e">
        <f>VLOOKUP(A17,'Tech Team'!B5:AB21,28,0)</f>
        <v>#REF!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">
      <c r="A18" s="14" t="s">
        <v>37</v>
      </c>
      <c r="B18" s="14" t="s">
        <v>39</v>
      </c>
      <c r="C18" s="16">
        <v>46072</v>
      </c>
      <c r="D18" s="17">
        <f>VLOOKUP(A18,Consultant!A4:H6,8,0)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">
      <c r="A19" s="10" t="s">
        <v>170</v>
      </c>
      <c r="B19" s="11" t="s">
        <v>171</v>
      </c>
      <c r="C19" s="8">
        <v>46113</v>
      </c>
      <c r="D19" s="17" t="e">
        <f>VLOOKUP(A19,'Tech Team'!B13:AB40,28,0)</f>
        <v>#REF!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">
      <c r="A20" s="6" t="s">
        <v>80</v>
      </c>
      <c r="B20" s="7" t="s">
        <v>81</v>
      </c>
      <c r="C20" s="8">
        <v>46083</v>
      </c>
      <c r="D20" s="17" t="e">
        <f>VLOOKUP(A20,'Tech Team'!B6:AB21,28,0)</f>
        <v>#N/A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">
      <c r="A21" s="6" t="s">
        <v>82</v>
      </c>
      <c r="B21" s="7" t="s">
        <v>83</v>
      </c>
      <c r="C21" s="8">
        <v>46083</v>
      </c>
      <c r="D21" s="17" t="e">
        <f>VLOOKUP(A21,'Tech Team'!B6:AB21,28,0)</f>
        <v>#N/A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">
      <c r="A22" s="6" t="s">
        <v>84</v>
      </c>
      <c r="B22" s="7" t="s">
        <v>85</v>
      </c>
      <c r="C22" s="8">
        <v>46083</v>
      </c>
      <c r="D22" s="17" t="e">
        <f>VLOOKUP(A22,'Tech Team'!B6:AB21,28,0)</f>
        <v>#N/A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">
      <c r="A23" s="6" t="s">
        <v>86</v>
      </c>
      <c r="B23" s="7" t="s">
        <v>87</v>
      </c>
      <c r="C23" s="8">
        <v>46083</v>
      </c>
      <c r="D23" s="17" t="e">
        <f>VLOOKUP(A23,'Tech Team'!B6:AB21,28,0)</f>
        <v>#N/A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">
      <c r="A24" s="10" t="s">
        <v>160</v>
      </c>
      <c r="B24" s="11" t="s">
        <v>161</v>
      </c>
      <c r="C24" s="8">
        <v>46113</v>
      </c>
      <c r="D24" s="17" t="e">
        <f>VLOOKUP(A24,'Tech Team'!B11:AB35,28,0)</f>
        <v>#REF!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">
      <c r="A25" s="6" t="s">
        <v>88</v>
      </c>
      <c r="B25" s="6" t="s">
        <v>89</v>
      </c>
      <c r="C25" s="8">
        <v>46083</v>
      </c>
      <c r="D25" s="17" t="e">
        <f>VLOOKUP(A25,'Tech Team'!B6:AB23,28,0)</f>
        <v>#REF!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">
      <c r="A26" s="6" t="s">
        <v>90</v>
      </c>
      <c r="B26" s="6" t="s">
        <v>91</v>
      </c>
      <c r="C26" s="8">
        <v>46083</v>
      </c>
      <c r="D26" s="17" t="e">
        <f>VLOOKUP(A26,'Tech Team'!B7:AB24,28,0)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">
      <c r="A27" s="6" t="s">
        <v>92</v>
      </c>
      <c r="B27" s="6" t="s">
        <v>93</v>
      </c>
      <c r="C27" s="8">
        <v>46083</v>
      </c>
      <c r="D27" s="17" t="e">
        <f>VLOOKUP(A27,'Tech Team'!B7:AB24,28,0)</f>
        <v>#REF!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">
      <c r="A28" s="6" t="s">
        <v>94</v>
      </c>
      <c r="B28" s="6" t="s">
        <v>95</v>
      </c>
      <c r="C28" s="8">
        <v>46083</v>
      </c>
      <c r="D28" s="17" t="e">
        <f>VLOOKUP(A28,'Tech Team'!B8:AB25,28,0)</f>
        <v>#N/A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">
      <c r="A29" s="18" t="s">
        <v>96</v>
      </c>
      <c r="B29" s="18" t="s">
        <v>97</v>
      </c>
      <c r="C29" s="16">
        <v>46086</v>
      </c>
      <c r="D29" s="17">
        <f>VLOOKUP(A29,Employees!2:2,29,0)</f>
        <v>0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">
      <c r="A30" s="10" t="s">
        <v>98</v>
      </c>
      <c r="B30" s="11" t="s">
        <v>99</v>
      </c>
      <c r="C30" s="16">
        <v>46092</v>
      </c>
      <c r="D30" s="17" t="e">
        <f>VLOOKUP(A30,Consultant!A5:H7,8,0)</f>
        <v>#N/A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">
      <c r="A31" s="10" t="s">
        <v>140</v>
      </c>
      <c r="B31" s="11" t="s">
        <v>141</v>
      </c>
      <c r="C31" s="8">
        <v>46113</v>
      </c>
      <c r="D31" s="17" t="e">
        <f>VLOOKUP(A31,'Tech Team'!B8:AB25,28,0)</f>
        <v>#REF!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">
      <c r="A32" s="10" t="s">
        <v>142</v>
      </c>
      <c r="B32" s="11" t="s">
        <v>143</v>
      </c>
      <c r="C32" s="8">
        <v>46113</v>
      </c>
      <c r="D32" s="17" t="e">
        <f>VLOOKUP(A32,'Tech Team'!B9:AB26,28,0)</f>
        <v>#N/A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">
      <c r="A33" s="14" t="s">
        <v>175</v>
      </c>
      <c r="B33" s="9" t="s">
        <v>174</v>
      </c>
      <c r="C33" s="8">
        <v>46113</v>
      </c>
      <c r="D33" s="17" t="e">
        <f>VLOOKUP(A33,'Tech Team'!B14:AB42,28,0)</f>
        <v>#N/A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">
      <c r="A34" s="10" t="s">
        <v>144</v>
      </c>
      <c r="B34" s="11" t="s">
        <v>145</v>
      </c>
      <c r="C34" s="8">
        <v>46113</v>
      </c>
      <c r="D34" s="17" t="e">
        <f>VLOOKUP(A34,'Tech Team'!B9:AB27,28,0)</f>
        <v>#N/A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">
      <c r="A35" s="10" t="s">
        <v>146</v>
      </c>
      <c r="B35" s="11" t="s">
        <v>147</v>
      </c>
      <c r="C35" s="8">
        <v>46113</v>
      </c>
      <c r="D35" s="17" t="e">
        <f>VLOOKUP(A35,'Tech Team'!B9:AB28,28,0)</f>
        <v>#REF!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">
      <c r="A36" s="10" t="s">
        <v>148</v>
      </c>
      <c r="B36" s="11" t="s">
        <v>149</v>
      </c>
      <c r="C36" s="8">
        <v>46113</v>
      </c>
      <c r="D36" s="17" t="e">
        <f>VLOOKUP(A36,'Tech Team'!B10:AB29,28,0)</f>
        <v>#N/A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">
      <c r="A37" s="10" t="s">
        <v>150</v>
      </c>
      <c r="B37" s="11" t="s">
        <v>151</v>
      </c>
      <c r="C37" s="8">
        <v>46113</v>
      </c>
      <c r="D37" s="17" t="e">
        <f>VLOOKUP(A37,'Tech Team'!B10:AB30,28,0)</f>
        <v>#REF!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">
      <c r="A38" s="10" t="s">
        <v>152</v>
      </c>
      <c r="B38" s="11" t="s">
        <v>153</v>
      </c>
      <c r="C38" s="8">
        <v>46113</v>
      </c>
      <c r="D38" s="17" t="e">
        <f>VLOOKUP(A38,'Tech Team'!B11:AB31,28,0)</f>
        <v>#N/A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">
      <c r="A39" s="10" t="s">
        <v>156</v>
      </c>
      <c r="B39" s="20" t="s">
        <v>157</v>
      </c>
      <c r="C39" s="8">
        <v>46113</v>
      </c>
      <c r="D39" s="17" t="e">
        <f>VLOOKUP(A39,'Tech Team'!B11:AB33,28,0)</f>
        <v>#N/A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">
      <c r="A40" s="10" t="s">
        <v>158</v>
      </c>
      <c r="B40" s="20" t="s">
        <v>159</v>
      </c>
      <c r="C40" s="8">
        <v>46113</v>
      </c>
      <c r="D40" s="17" t="e">
        <f>VLOOKUP(A40,'Tech Team'!B11:AB34,28,0)</f>
        <v>#N/A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">
      <c r="A41" s="10" t="s">
        <v>154</v>
      </c>
      <c r="B41" s="11" t="s">
        <v>155</v>
      </c>
      <c r="C41" s="8">
        <v>46113</v>
      </c>
      <c r="D41" s="17" t="e">
        <f>VLOOKUP(A41,'Tech Team'!B11:AB32,28,0)</f>
        <v>#N/A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">
      <c r="A42" s="10" t="s">
        <v>162</v>
      </c>
      <c r="B42" s="11" t="s">
        <v>163</v>
      </c>
      <c r="C42" s="8">
        <v>46113</v>
      </c>
      <c r="D42" s="17" t="e">
        <f>VLOOKUP(A42,'Tech Team'!B12:AB36,28,0)</f>
        <v>#REF!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">
      <c r="A43" s="10" t="s">
        <v>164</v>
      </c>
      <c r="B43" s="11" t="s">
        <v>165</v>
      </c>
      <c r="C43" s="8">
        <v>46113</v>
      </c>
      <c r="D43" s="17" t="e">
        <f>VLOOKUP(A43,'Tech Team'!B13:AB37,28,0)</f>
        <v>#N/A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">
      <c r="A44" s="10" t="s">
        <v>166</v>
      </c>
      <c r="B44" s="11" t="s">
        <v>167</v>
      </c>
      <c r="C44" s="8">
        <v>46113</v>
      </c>
      <c r="D44" s="17" t="e">
        <f>VLOOKUP(A44,'Tech Team'!B13:AB38,28,0)</f>
        <v>#N/A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">
      <c r="A45" s="10" t="s">
        <v>168</v>
      </c>
      <c r="B45" s="11" t="s">
        <v>169</v>
      </c>
      <c r="C45" s="8">
        <v>46113</v>
      </c>
      <c r="D45" s="17" t="e">
        <f>VLOOKUP(A45,'Tech Team'!B13:AB39,28,0)</f>
        <v>#N/A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">
      <c r="A46" s="10" t="s">
        <v>172</v>
      </c>
      <c r="B46" s="11" t="s">
        <v>173</v>
      </c>
      <c r="C46" s="8">
        <v>46113</v>
      </c>
      <c r="D46" s="17" t="e">
        <f>VLOOKUP(A46,'Tech Team'!B14:AB41,28,0)</f>
        <v>#N/A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">
      <c r="A47" s="10" t="s">
        <v>208</v>
      </c>
      <c r="B47" s="11" t="s">
        <v>203</v>
      </c>
      <c r="C47" s="8">
        <v>46113</v>
      </c>
      <c r="D47" s="17" t="e">
        <f>VLOOKUP(A47,'Tech Team'!B14:AB42,28,0)</f>
        <v>#REF!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">
      <c r="A48" s="10" t="s">
        <v>209</v>
      </c>
      <c r="B48" s="11" t="s">
        <v>205</v>
      </c>
      <c r="C48" s="8">
        <v>46113</v>
      </c>
      <c r="D48" s="17" t="e">
        <f>VLOOKUP(A48,'Tech Team'!B15:AB43,28,0)</f>
        <v>#REF!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">
      <c r="A49" s="5"/>
      <c r="B49" s="5"/>
      <c r="C49" s="2"/>
      <c r="D49" s="3"/>
      <c r="E49" s="3"/>
    </row>
    <row r="50" spans="1:5" x14ac:dyDescent="0.3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Payroll Summary</vt:lpstr>
      <vt:lpstr>Employees</vt:lpstr>
      <vt:lpstr>Consultant</vt:lpstr>
      <vt:lpstr>Tech Team</vt:lpstr>
      <vt:lpstr>Hiring Team</vt:lpstr>
      <vt:lpstr>Bench September</vt:lpstr>
      <vt:lpstr>Bench Employees</vt:lpstr>
      <vt:lpstr>LOP</vt:lpstr>
      <vt:lpstr>Salaries_to be processed</vt:lpstr>
      <vt:lpstr>Rental Payment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2026-09-29T12:13:31Z</dcterms:modified>
</cp:coreProperties>
</file>