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dmin\Payroll\2026\Feb\"/>
    </mc:Choice>
  </mc:AlternateContent>
  <xr:revisionPtr revIDLastSave="0" documentId="13_ncr:1_{1BFC4686-808B-4295-AD21-C66E255FB8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mployees" sheetId="1" r:id="rId1"/>
    <sheet name="Consultant" sheetId="3" r:id="rId2"/>
    <sheet name="Payment" sheetId="2" r:id="rId3"/>
  </sheets>
  <calcPr calcId="191029" iterateDelta="1E-4"/>
</workbook>
</file>

<file path=xl/calcChain.xml><?xml version="1.0" encoding="utf-8"?>
<calcChain xmlns="http://schemas.openxmlformats.org/spreadsheetml/2006/main">
  <c r="K4" i="1" l="1"/>
  <c r="E5" i="3"/>
  <c r="H5" i="3" s="1"/>
  <c r="D6" i="2" s="1"/>
  <c r="E4" i="3"/>
  <c r="H4" i="3"/>
  <c r="D5" i="2" s="1"/>
  <c r="H3" i="3"/>
  <c r="D4" i="2" s="1"/>
  <c r="H2" i="3"/>
  <c r="D3" i="2" s="1"/>
  <c r="E3" i="3"/>
  <c r="E2" i="3"/>
  <c r="D2" i="2"/>
  <c r="V9" i="1"/>
  <c r="W9" i="1"/>
  <c r="Q9" i="1"/>
  <c r="R9" i="1"/>
  <c r="S9" i="1"/>
  <c r="U9" i="1"/>
  <c r="P9" i="1"/>
  <c r="D9" i="1"/>
  <c r="I4" i="1"/>
  <c r="I3" i="1"/>
  <c r="N3" i="1" s="1"/>
  <c r="K3" i="1"/>
  <c r="H7" i="3" l="1"/>
  <c r="Z4" i="1"/>
  <c r="J4" i="1"/>
  <c r="Z3" i="1"/>
  <c r="J3" i="1"/>
  <c r="X3" i="1"/>
  <c r="M3" i="1" s="1"/>
  <c r="K2" i="1"/>
  <c r="K9" i="1" s="1"/>
  <c r="I2" i="1"/>
  <c r="J2" i="1" l="1"/>
  <c r="J9" i="1" s="1"/>
  <c r="I9" i="1"/>
  <c r="M4" i="1"/>
  <c r="L3" i="1"/>
  <c r="O3" i="1"/>
  <c r="T3" i="1"/>
  <c r="Y3" i="1"/>
  <c r="X2" i="1"/>
  <c r="X9" i="1" s="1"/>
  <c r="N2" i="1"/>
  <c r="N9" i="1" s="1"/>
  <c r="L4" i="1" l="1"/>
  <c r="AA4" i="1"/>
  <c r="AB4" i="1" s="1"/>
  <c r="D7" i="2" s="1"/>
  <c r="T4" i="1"/>
  <c r="AA3" i="1"/>
  <c r="AB3" i="1" s="1"/>
  <c r="Z2" i="1"/>
  <c r="M2" i="1" l="1"/>
  <c r="Z9" i="1"/>
  <c r="L2" i="1"/>
  <c r="L9" i="1" s="1"/>
  <c r="Y2" i="1"/>
  <c r="Y9" i="1" s="1"/>
  <c r="O2" i="1"/>
  <c r="O9" i="1" s="1"/>
  <c r="T2" i="1" l="1"/>
  <c r="T9" i="1" s="1"/>
  <c r="M9" i="1"/>
  <c r="AA2" i="1"/>
  <c r="AB2" i="1" l="1"/>
  <c r="D14" i="2" s="1"/>
  <c r="AA9" i="1"/>
  <c r="D9" i="2" l="1"/>
  <c r="AB9" i="1"/>
</calcChain>
</file>

<file path=xl/sharedStrings.xml><?xml version="1.0" encoding="utf-8"?>
<sst xmlns="http://schemas.openxmlformats.org/spreadsheetml/2006/main" count="105" uniqueCount="67">
  <si>
    <t>Employee Name</t>
  </si>
  <si>
    <t>Employee ID</t>
  </si>
  <si>
    <t>Basic</t>
  </si>
  <si>
    <t>HRA</t>
  </si>
  <si>
    <t>Special Allowance</t>
  </si>
  <si>
    <t>Other Allowance</t>
  </si>
  <si>
    <t>Arrears</t>
  </si>
  <si>
    <t>Reimbursements</t>
  </si>
  <si>
    <t>Bonus/Incentive</t>
  </si>
  <si>
    <t>Gross Earnings</t>
  </si>
  <si>
    <t>Employee PF (12%)</t>
  </si>
  <si>
    <t>Employee ESI (0.75%)</t>
  </si>
  <si>
    <t>Professional Tax</t>
  </si>
  <si>
    <t>TDS</t>
  </si>
  <si>
    <t>LOP Deduction</t>
  </si>
  <si>
    <t>Other Deductions</t>
  </si>
  <si>
    <t>Total Deductions</t>
  </si>
  <si>
    <t>Net Salary Payable</t>
  </si>
  <si>
    <t>Employer PF (12%)</t>
  </si>
  <si>
    <t>Employer ESI (3.25%)</t>
  </si>
  <si>
    <t>Gratuity (4.81%)</t>
  </si>
  <si>
    <t>DOJ</t>
  </si>
  <si>
    <t>Calendar Days</t>
  </si>
  <si>
    <t>Paid Days</t>
  </si>
  <si>
    <t>LOP day's</t>
  </si>
  <si>
    <t>Mandela Sai Sandeep</t>
  </si>
  <si>
    <t>AGS26007</t>
  </si>
  <si>
    <t>CTC</t>
  </si>
  <si>
    <t>Abhijeet Vijaysingh Pardeshi</t>
  </si>
  <si>
    <t>AGS26006</t>
  </si>
  <si>
    <t>Total</t>
  </si>
  <si>
    <t>Bank Account Number</t>
  </si>
  <si>
    <t>IFSC code</t>
  </si>
  <si>
    <t>BARB0WALUJX</t>
  </si>
  <si>
    <t>Bank Name</t>
  </si>
  <si>
    <t>BANK OF BARODA</t>
  </si>
  <si>
    <t xml:space="preserve">Total </t>
  </si>
  <si>
    <t>SCBL0036075</t>
  </si>
  <si>
    <t>Standard Chartered</t>
  </si>
  <si>
    <t>AGS26005</t>
  </si>
  <si>
    <t>AGS26004</t>
  </si>
  <si>
    <t>AGS26024</t>
  </si>
  <si>
    <t>Tanakala Janardhan</t>
  </si>
  <si>
    <t>Priya Darshini Pola</t>
  </si>
  <si>
    <t>PT</t>
  </si>
  <si>
    <t>Payable</t>
  </si>
  <si>
    <t>UBIN0815471</t>
  </si>
  <si>
    <t>Union Bank</t>
  </si>
  <si>
    <t>ICIC0007703</t>
  </si>
  <si>
    <t>ICICI Bank</t>
  </si>
  <si>
    <t>AGS26020</t>
  </si>
  <si>
    <t>Gurindapalli Krishna Chaitanya</t>
  </si>
  <si>
    <t>020201545829</t>
  </si>
  <si>
    <t>ICIC0000202</t>
  </si>
  <si>
    <t>HDFC0001042</t>
  </si>
  <si>
    <t>HDFC Bank</t>
  </si>
  <si>
    <t>Ande Sharath Chandra</t>
  </si>
  <si>
    <t>Actuals</t>
  </si>
  <si>
    <t>Gross Income</t>
  </si>
  <si>
    <t>Remarks</t>
  </si>
  <si>
    <t>Hold - F&amp;F</t>
  </si>
  <si>
    <t>Process</t>
  </si>
  <si>
    <t>AGS26009</t>
  </si>
  <si>
    <t>Sarika Lingarkar</t>
  </si>
  <si>
    <t>F&amp;F</t>
  </si>
  <si>
    <t>000801621546</t>
  </si>
  <si>
    <t>ICIC0000008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</si>
</sst>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dd\ mmm\ yy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" fontId="4" fillId="0" borderId="0" xfId="0" applyNumberFormat="1" applyFont="1"/>
    <xf numFmtId="1" fontId="0" fillId="0" borderId="0" xfId="0" applyNumberFormat="1"/>
    <xf numFmtId="2" fontId="0" fillId="0" borderId="0" xfId="0" applyNumberFormat="1"/>
    <xf numFmtId="1" fontId="2" fillId="0" borderId="0" xfId="0" applyNumberFormat="1" applyFont="1"/>
    <xf numFmtId="0" fontId="4" fillId="0" borderId="0" xfId="0" applyFont="1"/>
    <xf numFmtId="1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9" sqref="G9"/>
    </sheetView>
  </sheetViews>
  <sheetFormatPr defaultRowHeight="14.5" x14ac:dyDescent="0.35"/>
  <cols>
    <col min="1" max="1" width="11.26953125" bestFit="1" customWidth="1"/>
    <col min="2" max="2" width="24.36328125" bestFit="1" customWidth="1"/>
    <col min="3" max="3" width="8.90625" bestFit="1" customWidth="1"/>
    <col min="4" max="4" width="8.36328125" bestFit="1" customWidth="1"/>
    <col min="5" max="5" width="12.90625" bestFit="1" customWidth="1"/>
    <col min="6" max="6" width="9.08984375" bestFit="1" customWidth="1"/>
    <col min="7" max="7" width="8.81640625" bestFit="1" customWidth="1"/>
    <col min="8" max="8" width="5.36328125" customWidth="1"/>
    <col min="9" max="10" width="8.36328125" bestFit="1" customWidth="1"/>
    <col min="11" max="11" width="15.81640625" bestFit="1" customWidth="1"/>
    <col min="12" max="12" width="15" bestFit="1" customWidth="1"/>
    <col min="13" max="13" width="13.36328125" bestFit="1" customWidth="1"/>
    <col min="14" max="14" width="16.90625" bestFit="1" customWidth="1"/>
    <col min="15" max="15" width="19" bestFit="1" customWidth="1"/>
    <col min="16" max="16" width="14.7265625" bestFit="1" customWidth="1"/>
    <col min="17" max="17" width="7.1796875" bestFit="1" customWidth="1"/>
    <col min="18" max="18" width="15.26953125" bestFit="1" customWidth="1"/>
    <col min="19" max="19" width="14.54296875" customWidth="1"/>
    <col min="20" max="20" width="12.1796875" bestFit="1" customWidth="1"/>
    <col min="21" max="21" width="5" bestFit="1" customWidth="1"/>
    <col min="22" max="22" width="13.453125" bestFit="1" customWidth="1"/>
    <col min="23" max="23" width="15.90625" bestFit="1" customWidth="1"/>
    <col min="24" max="24" width="16.6328125" bestFit="1" customWidth="1"/>
    <col min="25" max="25" width="18.7265625" bestFit="1" customWidth="1"/>
    <col min="26" max="26" width="14.7265625" bestFit="1" customWidth="1"/>
    <col min="27" max="27" width="15.26953125" bestFit="1" customWidth="1"/>
    <col min="28" max="28" width="16.54296875" bestFit="1" customWidth="1"/>
  </cols>
  <sheetData>
    <row r="1" spans="1:28" x14ac:dyDescent="0.35">
      <c r="A1" s="1" t="s">
        <v>1</v>
      </c>
      <c r="B1" s="1" t="s">
        <v>0</v>
      </c>
      <c r="C1" s="1" t="s">
        <v>21</v>
      </c>
      <c r="D1" s="3" t="s">
        <v>27</v>
      </c>
      <c r="E1" s="2" t="s">
        <v>22</v>
      </c>
      <c r="F1" s="1" t="s">
        <v>23</v>
      </c>
      <c r="G1" s="3" t="s">
        <v>24</v>
      </c>
      <c r="H1" s="1"/>
      <c r="I1" s="1" t="s">
        <v>2</v>
      </c>
      <c r="J1" s="1" t="s">
        <v>3</v>
      </c>
      <c r="K1" s="1" t="s">
        <v>4</v>
      </c>
      <c r="L1" s="1" t="s">
        <v>5</v>
      </c>
      <c r="M1" s="1" t="s">
        <v>58</v>
      </c>
      <c r="N1" s="1" t="s">
        <v>10</v>
      </c>
      <c r="O1" s="1" t="s">
        <v>11</v>
      </c>
      <c r="P1" s="1" t="s">
        <v>12</v>
      </c>
      <c r="Q1" s="2" t="s">
        <v>6</v>
      </c>
      <c r="R1" s="2" t="s">
        <v>7</v>
      </c>
      <c r="S1" s="2" t="s">
        <v>8</v>
      </c>
      <c r="T1" s="2" t="s">
        <v>9</v>
      </c>
      <c r="U1" s="1" t="s">
        <v>13</v>
      </c>
      <c r="V1" s="1" t="s">
        <v>14</v>
      </c>
      <c r="W1" s="1" t="s">
        <v>15</v>
      </c>
      <c r="X1" s="1" t="s">
        <v>18</v>
      </c>
      <c r="Y1" s="1" t="s">
        <v>19</v>
      </c>
      <c r="Z1" s="1" t="s">
        <v>20</v>
      </c>
      <c r="AA1" s="1" t="s">
        <v>16</v>
      </c>
      <c r="AB1" s="1" t="s">
        <v>17</v>
      </c>
    </row>
    <row r="2" spans="1:28" x14ac:dyDescent="0.35">
      <c r="A2" t="s">
        <v>26</v>
      </c>
      <c r="B2" t="s">
        <v>25</v>
      </c>
      <c r="C2" s="4">
        <v>46062</v>
      </c>
      <c r="D2" s="5">
        <v>116667</v>
      </c>
      <c r="E2">
        <v>28</v>
      </c>
      <c r="F2">
        <v>16</v>
      </c>
      <c r="G2">
        <v>4</v>
      </c>
      <c r="I2" s="6">
        <f>(+D2*49.99999%)/E2*F2</f>
        <v>33333.421904742856</v>
      </c>
      <c r="J2" s="6">
        <f>(I2*50%)</f>
        <v>16666.710952371428</v>
      </c>
      <c r="K2" s="6">
        <f>(1600/E2)*F2</f>
        <v>914.28571428571433</v>
      </c>
      <c r="L2" s="6">
        <f>(M2-I2-J2-K2)</f>
        <v>13120.52954926758</v>
      </c>
      <c r="M2" s="6">
        <f>(D2-X2)/E2*F2-Z2</f>
        <v>64034.948120667577</v>
      </c>
      <c r="N2">
        <f>IF($I2*0.12&gt;1800,1800,$I2*0.12)</f>
        <v>1800</v>
      </c>
      <c r="O2">
        <f>IF(M2&lt;=21000,M2*0.75%,0)</f>
        <v>0</v>
      </c>
      <c r="P2">
        <v>200</v>
      </c>
      <c r="Q2">
        <v>0</v>
      </c>
      <c r="R2">
        <v>0</v>
      </c>
      <c r="S2">
        <v>0</v>
      </c>
      <c r="T2" s="6">
        <f>M2+Q2+R2+S2</f>
        <v>64034.948120667577</v>
      </c>
      <c r="U2">
        <v>0</v>
      </c>
      <c r="V2">
        <v>0</v>
      </c>
      <c r="W2">
        <v>0</v>
      </c>
      <c r="X2">
        <f>IF($I2*0.12&gt;1800,1800,$I2*0.12)</f>
        <v>1800</v>
      </c>
      <c r="Y2">
        <f>IF(M2&lt;=21000,M2*3.25%,0)</f>
        <v>0</v>
      </c>
      <c r="Z2" s="6">
        <f>I2*4.81%</f>
        <v>1603.3375936181312</v>
      </c>
      <c r="AA2" s="6">
        <f>N2+O2+P2+V2+W2+U2+X2+Y2+Z2</f>
        <v>5403.337593618131</v>
      </c>
      <c r="AB2" s="6">
        <f>M2-AA2</f>
        <v>58631.610527049444</v>
      </c>
    </row>
    <row r="3" spans="1:28" s="7" customFormat="1" x14ac:dyDescent="0.35">
      <c r="A3" s="7" t="s">
        <v>29</v>
      </c>
      <c r="B3" s="7" t="s">
        <v>28</v>
      </c>
      <c r="C3" s="4">
        <v>46062</v>
      </c>
      <c r="D3" s="5">
        <v>70833</v>
      </c>
      <c r="E3" s="6">
        <v>28</v>
      </c>
      <c r="F3" s="6">
        <v>20</v>
      </c>
      <c r="G3" s="6">
        <v>0</v>
      </c>
      <c r="I3" s="6">
        <f>(+D3*49.99999%)/E3*F3</f>
        <v>25297.494940499997</v>
      </c>
      <c r="J3" s="6">
        <f>(I3*50%)</f>
        <v>12648.747470249999</v>
      </c>
      <c r="K3" s="6">
        <f>(1600/E3)*F3</f>
        <v>1142.8571428571429</v>
      </c>
      <c r="L3" s="6">
        <f>(M3-I3-J3-K3)</f>
        <v>9003.3766540405304</v>
      </c>
      <c r="M3" s="6">
        <f>(D3-X3)/E3*F3-Z3</f>
        <v>48092.476207647669</v>
      </c>
      <c r="N3" s="6">
        <f>IF($I3*0.12&gt;1800,1800,$I3*0.12)</f>
        <v>1800</v>
      </c>
      <c r="O3" s="6">
        <f>IF(M3&lt;=21000,M3*0.75%,0)</f>
        <v>0</v>
      </c>
      <c r="P3" s="6">
        <v>200</v>
      </c>
      <c r="Q3" s="6">
        <v>0</v>
      </c>
      <c r="R3" s="6">
        <v>0</v>
      </c>
      <c r="S3" s="6">
        <v>0</v>
      </c>
      <c r="T3" s="6">
        <f>M3+Q3+R3+S3</f>
        <v>48092.476207647669</v>
      </c>
      <c r="U3" s="6">
        <v>0</v>
      </c>
      <c r="V3" s="6">
        <v>0</v>
      </c>
      <c r="W3" s="6">
        <v>0</v>
      </c>
      <c r="X3" s="6">
        <f>IF($I3*0.12&gt;1800,1800,$I3*0.12)</f>
        <v>1800</v>
      </c>
      <c r="Y3" s="6">
        <f>IF(M3&lt;=21000,M3*3.25%,0)</f>
        <v>0</v>
      </c>
      <c r="Z3" s="6">
        <f>I3*4.81%</f>
        <v>1216.8095066380497</v>
      </c>
      <c r="AA3" s="6">
        <f>N3+O3+P3+V3+W3+U3+X3+Y3+Z3</f>
        <v>5016.8095066380502</v>
      </c>
      <c r="AB3" s="6">
        <f>M3-AA3</f>
        <v>43075.666701009621</v>
      </c>
    </row>
    <row r="4" spans="1:28" x14ac:dyDescent="0.35">
      <c r="A4" s="9" t="s">
        <v>62</v>
      </c>
      <c r="B4" s="9" t="s">
        <v>63</v>
      </c>
      <c r="C4" s="4">
        <v>46064</v>
      </c>
      <c r="D4" s="5">
        <v>70833</v>
      </c>
      <c r="E4" s="6">
        <v>28</v>
      </c>
      <c r="F4" s="6">
        <v>4</v>
      </c>
      <c r="G4" s="6">
        <v>16</v>
      </c>
      <c r="H4" s="7"/>
      <c r="I4" s="6">
        <f>(+D4*49.99999%)/E4*F4</f>
        <v>5059.4989880999992</v>
      </c>
      <c r="J4" s="6">
        <f>(I4*50%)</f>
        <v>2529.7494940499996</v>
      </c>
      <c r="K4" s="6">
        <f>(1600/E4)*F4</f>
        <v>228.57142857142858</v>
      </c>
      <c r="L4" s="6">
        <f>(M4-I4-J4-K4)</f>
        <v>1800.6753308081063</v>
      </c>
      <c r="M4" s="6">
        <f>(D4-X4)/E4*F4-Z4</f>
        <v>9618.4952415295338</v>
      </c>
      <c r="N4" s="6">
        <v>1800</v>
      </c>
      <c r="O4" s="6">
        <v>0</v>
      </c>
      <c r="P4" s="6">
        <v>200</v>
      </c>
      <c r="Q4" s="6">
        <v>0</v>
      </c>
      <c r="R4" s="6">
        <v>0</v>
      </c>
      <c r="S4" s="6">
        <v>0</v>
      </c>
      <c r="T4" s="6">
        <f>M4+Q4+R4+S4</f>
        <v>9618.4952415295338</v>
      </c>
      <c r="U4" s="6">
        <v>0</v>
      </c>
      <c r="V4" s="6">
        <v>0</v>
      </c>
      <c r="W4" s="6">
        <v>0</v>
      </c>
      <c r="X4" s="6">
        <v>1800</v>
      </c>
      <c r="Y4" s="6">
        <v>0</v>
      </c>
      <c r="Z4" s="6">
        <f>I4*4.81%</f>
        <v>243.36190132760996</v>
      </c>
      <c r="AA4" s="6">
        <f>N4+O4+P4+V4+W4+U4+X4+Y4+Z4</f>
        <v>4043.3619013276098</v>
      </c>
      <c r="AB4" s="6">
        <f>M4-AA4</f>
        <v>5575.1333402019245</v>
      </c>
    </row>
    <row r="9" spans="1:28" x14ac:dyDescent="0.35">
      <c r="C9" t="s">
        <v>30</v>
      </c>
      <c r="D9" s="6">
        <f>SUM(D2:D8)</f>
        <v>258333</v>
      </c>
      <c r="I9" s="6">
        <f t="shared" ref="I9:AB9" si="0">SUM(I2:I8)</f>
        <v>63690.415833342857</v>
      </c>
      <c r="J9" s="6">
        <f t="shared" si="0"/>
        <v>31845.207916671428</v>
      </c>
      <c r="K9" s="6">
        <f t="shared" si="0"/>
        <v>2285.7142857142858</v>
      </c>
      <c r="L9" s="6">
        <f t="shared" si="0"/>
        <v>23924.581534116216</v>
      </c>
      <c r="M9" s="6">
        <f t="shared" si="0"/>
        <v>121745.91956984479</v>
      </c>
      <c r="N9" s="6">
        <f t="shared" si="0"/>
        <v>5400</v>
      </c>
      <c r="O9" s="6">
        <f t="shared" si="0"/>
        <v>0</v>
      </c>
      <c r="P9" s="6">
        <f t="shared" si="0"/>
        <v>600</v>
      </c>
      <c r="Q9" s="6">
        <f t="shared" si="0"/>
        <v>0</v>
      </c>
      <c r="R9" s="6">
        <f t="shared" si="0"/>
        <v>0</v>
      </c>
      <c r="S9" s="6">
        <f t="shared" si="0"/>
        <v>0</v>
      </c>
      <c r="T9" s="6">
        <f t="shared" si="0"/>
        <v>121745.91956984479</v>
      </c>
      <c r="U9" s="6">
        <f t="shared" si="0"/>
        <v>0</v>
      </c>
      <c r="V9" s="6">
        <f t="shared" si="0"/>
        <v>0</v>
      </c>
      <c r="W9" s="6">
        <f t="shared" si="0"/>
        <v>0</v>
      </c>
      <c r="X9" s="6">
        <f t="shared" si="0"/>
        <v>5400</v>
      </c>
      <c r="Y9" s="6">
        <f t="shared" si="0"/>
        <v>0</v>
      </c>
      <c r="Z9" s="6">
        <f t="shared" si="0"/>
        <v>3063.5090015837909</v>
      </c>
      <c r="AA9" s="6">
        <f t="shared" si="0"/>
        <v>14463.50900158379</v>
      </c>
      <c r="AB9" s="8">
        <f t="shared" si="0"/>
        <v>107282.410568261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7414-A3D1-4254-8A8C-87E636D1B006}">
  <dimension ref="A1:H7"/>
  <sheetViews>
    <sheetView workbookViewId="0">
      <selection activeCell="H16" sqref="H16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8.7265625" bestFit="1" customWidth="1"/>
    <col min="4" max="4" width="5.81640625" bestFit="1" customWidth="1"/>
    <col min="5" max="5" width="6.90625" bestFit="1" customWidth="1"/>
    <col min="6" max="6" width="4" bestFit="1" customWidth="1"/>
    <col min="7" max="7" width="5.08984375" bestFit="1" customWidth="1"/>
    <col min="8" max="8" width="7.36328125" bestFit="1" customWidth="1"/>
  </cols>
  <sheetData>
    <row r="1" spans="1:8" x14ac:dyDescent="0.35">
      <c r="A1" s="1" t="s">
        <v>1</v>
      </c>
      <c r="B1" s="1" t="s">
        <v>0</v>
      </c>
      <c r="C1" s="1" t="s">
        <v>21</v>
      </c>
      <c r="D1" s="3" t="s">
        <v>27</v>
      </c>
      <c r="E1" s="3" t="s">
        <v>57</v>
      </c>
      <c r="F1" s="3" t="s">
        <v>13</v>
      </c>
      <c r="G1" s="3" t="s">
        <v>44</v>
      </c>
      <c r="H1" s="3" t="s">
        <v>45</v>
      </c>
    </row>
    <row r="2" spans="1:8" x14ac:dyDescent="0.35">
      <c r="A2" s="9" t="s">
        <v>40</v>
      </c>
      <c r="B2" t="s">
        <v>56</v>
      </c>
      <c r="C2" s="4">
        <v>46055</v>
      </c>
      <c r="D2">
        <v>80000</v>
      </c>
      <c r="E2" s="6">
        <f>D2/30*29</f>
        <v>77333.333333333328</v>
      </c>
      <c r="F2">
        <v>0</v>
      </c>
      <c r="G2">
        <v>200</v>
      </c>
      <c r="H2" s="6">
        <f>E2-G2</f>
        <v>77133.333333333328</v>
      </c>
    </row>
    <row r="3" spans="1:8" x14ac:dyDescent="0.35">
      <c r="A3" s="9" t="s">
        <v>39</v>
      </c>
      <c r="B3" s="9" t="s">
        <v>42</v>
      </c>
      <c r="C3" s="4">
        <v>46055</v>
      </c>
      <c r="D3">
        <v>70000</v>
      </c>
      <c r="E3" s="6">
        <f>D3/30*29</f>
        <v>67666.666666666672</v>
      </c>
      <c r="F3">
        <v>0</v>
      </c>
      <c r="G3">
        <v>200</v>
      </c>
      <c r="H3" s="6">
        <f>E3-G3</f>
        <v>67466.666666666672</v>
      </c>
    </row>
    <row r="4" spans="1:8" x14ac:dyDescent="0.35">
      <c r="A4" s="9" t="s">
        <v>50</v>
      </c>
      <c r="B4" s="9" t="s">
        <v>51</v>
      </c>
      <c r="C4" s="4">
        <v>46066</v>
      </c>
      <c r="D4">
        <v>60000</v>
      </c>
      <c r="E4" s="6">
        <f>D4/30*18</f>
        <v>36000</v>
      </c>
      <c r="F4">
        <v>0</v>
      </c>
      <c r="G4">
        <v>200</v>
      </c>
      <c r="H4" s="6">
        <f>E4-G4</f>
        <v>35800</v>
      </c>
    </row>
    <row r="5" spans="1:8" x14ac:dyDescent="0.35">
      <c r="A5" s="9" t="s">
        <v>41</v>
      </c>
      <c r="B5" s="9" t="s">
        <v>43</v>
      </c>
      <c r="C5" s="4">
        <v>46072</v>
      </c>
      <c r="D5">
        <v>80000</v>
      </c>
      <c r="E5" s="6">
        <f>D5/30*12</f>
        <v>32000</v>
      </c>
      <c r="F5">
        <v>0</v>
      </c>
      <c r="G5">
        <v>200</v>
      </c>
      <c r="H5" s="6">
        <f>E5-G5</f>
        <v>31800</v>
      </c>
    </row>
    <row r="7" spans="1:8" x14ac:dyDescent="0.35">
      <c r="G7" s="2" t="s">
        <v>30</v>
      </c>
      <c r="H7" s="2">
        <f>SUM(H2:H5)</f>
        <v>212200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748B-F213-475C-ADDF-18924556A258}">
  <dimension ref="A1:H14"/>
  <sheetViews>
    <sheetView workbookViewId="0">
      <selection activeCell="D2" sqref="D2"/>
    </sheetView>
  </sheetViews>
  <sheetFormatPr defaultRowHeight="14.5" x14ac:dyDescent="0.35"/>
  <cols>
    <col min="1" max="1" width="11.26953125" bestFit="1" customWidth="1"/>
    <col min="2" max="2" width="26.7265625" bestFit="1" customWidth="1"/>
    <col min="3" max="3" width="9.90625" customWidth="1"/>
    <col min="4" max="4" width="16.36328125" bestFit="1" customWidth="1"/>
    <col min="5" max="5" width="19.7265625" bestFit="1" customWidth="1"/>
    <col min="6" max="6" width="13.08984375" bestFit="1" customWidth="1"/>
    <col min="7" max="7" width="17.36328125" bestFit="1" customWidth="1"/>
  </cols>
  <sheetData>
    <row r="1" spans="1:8" x14ac:dyDescent="0.35">
      <c r="A1" s="1" t="s">
        <v>1</v>
      </c>
      <c r="B1" s="1" t="s">
        <v>0</v>
      </c>
      <c r="C1" s="1" t="s">
        <v>21</v>
      </c>
      <c r="D1" s="1" t="s">
        <v>17</v>
      </c>
      <c r="E1" s="3" t="s">
        <v>31</v>
      </c>
      <c r="F1" s="3" t="s">
        <v>32</v>
      </c>
      <c r="G1" s="3" t="s">
        <v>34</v>
      </c>
      <c r="H1" s="3" t="s">
        <v>59</v>
      </c>
    </row>
    <row r="2" spans="1:8" x14ac:dyDescent="0.35">
      <c r="A2" s="7" t="s">
        <v>29</v>
      </c>
      <c r="B2" s="7" t="s">
        <v>28</v>
      </c>
      <c r="C2" s="4">
        <v>46062</v>
      </c>
      <c r="D2" s="6">
        <f>Employees!AB3</f>
        <v>43075.666701009621</v>
      </c>
      <c r="E2" s="6">
        <v>41280100007853</v>
      </c>
      <c r="F2" t="s">
        <v>33</v>
      </c>
      <c r="G2" t="s">
        <v>35</v>
      </c>
      <c r="H2" t="s">
        <v>61</v>
      </c>
    </row>
    <row r="3" spans="1:8" x14ac:dyDescent="0.35">
      <c r="A3" s="9" t="s">
        <v>40</v>
      </c>
      <c r="B3" t="s">
        <v>56</v>
      </c>
      <c r="C3" s="4">
        <v>46054</v>
      </c>
      <c r="D3" s="6">
        <f>Consultant!H2</f>
        <v>77133.333333333328</v>
      </c>
      <c r="E3" s="6">
        <v>50100677371816</v>
      </c>
      <c r="F3" t="s">
        <v>54</v>
      </c>
      <c r="G3" t="s">
        <v>55</v>
      </c>
      <c r="H3" t="s">
        <v>61</v>
      </c>
    </row>
    <row r="4" spans="1:8" x14ac:dyDescent="0.35">
      <c r="A4" s="9" t="s">
        <v>39</v>
      </c>
      <c r="B4" s="9" t="s">
        <v>42</v>
      </c>
      <c r="C4" s="4">
        <v>46054</v>
      </c>
      <c r="D4" s="6">
        <f>Consultant!H3</f>
        <v>67466.666666666672</v>
      </c>
      <c r="E4" s="6">
        <v>154710100018477</v>
      </c>
      <c r="F4" t="s">
        <v>46</v>
      </c>
      <c r="G4" t="s">
        <v>47</v>
      </c>
      <c r="H4" t="s">
        <v>61</v>
      </c>
    </row>
    <row r="5" spans="1:8" x14ac:dyDescent="0.35">
      <c r="A5" s="9" t="s">
        <v>50</v>
      </c>
      <c r="B5" s="9" t="s">
        <v>51</v>
      </c>
      <c r="C5" s="4">
        <v>46066</v>
      </c>
      <c r="D5" s="6">
        <f>Consultant!H4</f>
        <v>35800</v>
      </c>
      <c r="E5" s="10" t="s">
        <v>52</v>
      </c>
      <c r="F5" t="s">
        <v>53</v>
      </c>
      <c r="G5" t="s">
        <v>49</v>
      </c>
      <c r="H5" t="s">
        <v>61</v>
      </c>
    </row>
    <row r="6" spans="1:8" x14ac:dyDescent="0.35">
      <c r="A6" s="9" t="s">
        <v>41</v>
      </c>
      <c r="B6" s="9" t="s">
        <v>43</v>
      </c>
      <c r="C6" s="4">
        <v>46072</v>
      </c>
      <c r="D6" s="6">
        <f>Consultant!H5</f>
        <v>31800</v>
      </c>
      <c r="E6" s="6">
        <v>770301501355</v>
      </c>
      <c r="F6" t="s">
        <v>48</v>
      </c>
      <c r="G6" t="s">
        <v>49</v>
      </c>
      <c r="H6" t="s">
        <v>61</v>
      </c>
    </row>
    <row r="7" spans="1:8" x14ac:dyDescent="0.35">
      <c r="A7" s="9" t="s">
        <v>62</v>
      </c>
      <c r="B7" s="9" t="s">
        <v>63</v>
      </c>
      <c r="C7" s="4">
        <v>46072</v>
      </c>
      <c r="D7" s="6">
        <f>Employees!AB4</f>
        <v>5575.1333402019245</v>
      </c>
      <c r="E7" s="10" t="s">
        <v>65</v>
      </c>
      <c r="F7" t="s">
        <v>66</v>
      </c>
      <c r="G7" t="s">
        <v>49</v>
      </c>
      <c r="H7" t="s">
        <v>64</v>
      </c>
    </row>
    <row r="8" spans="1:8" x14ac:dyDescent="0.35">
      <c r="A8" s="9"/>
      <c r="B8" s="9"/>
      <c r="C8" s="9"/>
      <c r="E8" s="6"/>
    </row>
    <row r="9" spans="1:8" x14ac:dyDescent="0.35">
      <c r="B9" s="2" t="s">
        <v>36</v>
      </c>
      <c r="C9" s="2"/>
      <c r="D9" s="8">
        <f>SUM(D2:D7)</f>
        <v>260850.80004121154</v>
      </c>
    </row>
    <row r="13" spans="1:8" x14ac:dyDescent="0.35">
      <c r="A13" s="1" t="s">
        <v>1</v>
      </c>
      <c r="B13" s="1" t="s">
        <v>0</v>
      </c>
      <c r="C13" s="1" t="s">
        <v>21</v>
      </c>
      <c r="D13" s="1" t="s">
        <v>17</v>
      </c>
      <c r="E13" s="3" t="s">
        <v>31</v>
      </c>
      <c r="F13" s="3" t="s">
        <v>32</v>
      </c>
      <c r="G13" s="3" t="s">
        <v>34</v>
      </c>
      <c r="H13" s="3" t="s">
        <v>59</v>
      </c>
    </row>
    <row r="14" spans="1:8" x14ac:dyDescent="0.35">
      <c r="A14" t="s">
        <v>26</v>
      </c>
      <c r="B14" t="s">
        <v>25</v>
      </c>
      <c r="C14" s="4">
        <v>46062</v>
      </c>
      <c r="D14" s="6">
        <f>Employees!AB2</f>
        <v>58631.610527049444</v>
      </c>
      <c r="E14">
        <v>44611426067</v>
      </c>
      <c r="F14" t="s">
        <v>37</v>
      </c>
      <c r="G14" t="s">
        <v>38</v>
      </c>
      <c r="H1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Consultant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Axiora</cp:lastModifiedBy>
  <dcterms:created xsi:type="dcterms:W3CDTF">2026-02-24T06:22:30Z</dcterms:created>
  <dcterms:modified xsi:type="dcterms:W3CDTF">2026-03-02T09:56:13Z</dcterms:modified>
</cp:coreProperties>
</file>