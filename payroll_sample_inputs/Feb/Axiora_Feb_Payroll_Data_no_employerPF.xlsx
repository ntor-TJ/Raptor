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xiora\Downloads\"/>
    </mc:Choice>
  </mc:AlternateContent>
  <xr:revisionPtr revIDLastSave="0" documentId="13_ncr:1_{0B7FA805-A5F6-4642-9482-F86EED3C48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mployees" sheetId="1" r:id="rId1"/>
    <sheet name="Consultant" sheetId="3" r:id="rId2"/>
    <sheet name="Payment" sheetId="2" r:id="rId3"/>
  </sheets>
  <calcPr calcId="191029" iterateDelta="1E-4"/>
</workbook>
</file>

<file path=xl/calcChain.xml><?xml version="1.0" encoding="utf-8"?>
<calcChain xmlns="http://schemas.openxmlformats.org/spreadsheetml/2006/main">
  <c r="E5" i="3" l="1"/>
  <c r="H5" i="3" s="1"/>
  <c r="D7" i="2" s="1"/>
  <c r="E4" i="3"/>
  <c r="H4" i="3" s="1"/>
  <c r="D6" i="2" s="1"/>
  <c r="H2" i="3"/>
  <c r="D4" i="2" s="1"/>
  <c r="E2" i="3"/>
  <c r="H3" i="3"/>
  <c r="E3" i="3"/>
  <c r="D5" i="2"/>
  <c r="W9" i="1"/>
  <c r="X9" i="1"/>
  <c r="R9" i="1"/>
  <c r="S9" i="1"/>
  <c r="T9" i="1"/>
  <c r="V9" i="1"/>
  <c r="Q9" i="1"/>
  <c r="D9" i="1"/>
  <c r="J4" i="1"/>
  <c r="O4" i="1" s="1"/>
  <c r="J3" i="1"/>
  <c r="O3" i="1" s="1"/>
  <c r="L3" i="1"/>
  <c r="H7" i="3" l="1"/>
  <c r="Z4" i="1"/>
  <c r="K4" i="1"/>
  <c r="Z3" i="1"/>
  <c r="K3" i="1"/>
  <c r="L2" i="1"/>
  <c r="L9" i="1" s="1"/>
  <c r="J2" i="1"/>
  <c r="K2" i="1" l="1"/>
  <c r="K9" i="1" s="1"/>
  <c r="J9" i="1"/>
  <c r="O2" i="1"/>
  <c r="O9" i="1" l="1"/>
  <c r="Z2" i="1"/>
  <c r="Z9" i="1" l="1"/>
  <c r="AA9" i="1" l="1"/>
  <c r="AA2" i="1"/>
  <c r="AB4" i="1"/>
  <c r="M4" i="1"/>
  <c r="U4" i="1"/>
  <c r="U9" i="1"/>
  <c r="U2" i="1"/>
  <c r="M9" i="1"/>
  <c r="M2" i="1"/>
  <c r="Y4" i="1"/>
  <c r="N4" i="1"/>
  <c r="P4" i="1"/>
  <c r="AA4" i="1"/>
  <c r="AB9" i="1"/>
  <c r="D3" i="2"/>
  <c r="AB3" i="1"/>
  <c r="Y9" i="1"/>
  <c r="N9" i="1"/>
  <c r="P2" i="1"/>
  <c r="P9" i="1"/>
  <c r="AA3" i="1"/>
  <c r="P3" i="1"/>
  <c r="M3" i="1"/>
  <c r="Y3" i="1"/>
  <c r="N3" i="1"/>
  <c r="U3" i="1"/>
  <c r="Y2" i="1"/>
  <c r="N2" i="1"/>
  <c r="AB2" i="1"/>
  <c r="D2" i="2"/>
  <c r="D9" i="2"/>
</calcChain>
</file>

<file path=xl/sharedStrings.xml><?xml version="1.0" encoding="utf-8"?>
<sst xmlns="http://schemas.openxmlformats.org/spreadsheetml/2006/main" count="81" uniqueCount="58">
  <si>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</si>
  <si>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</si>
  <si>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</si>
  <si>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</si>
  <si>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</si>
  <si>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</si>
  <si>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</si>
  <si>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</si>
  <si>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</si>
  <si>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</si>
  <si>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</si>
  <si>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</si>
  <si>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</si>
  <si>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</si>
  <si>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</si>
  <si>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</si>
  <si>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</si>
  <si>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</si>
  <si>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ESI (3.25%)</t>
  </si>
  <si>
    <t>Gratuity (4.81%)</t>
  </si>
  <si>
    <t>DOJ</t>
  </si>
  <si>
    <t>Paid Days</t>
  </si>
  <si>
    <t>LOP day's</t>
  </si>
  <si>
    <t>Taxable Income</t>
  </si>
  <si>
    <t>Mandela Sai Sandeep</t>
  </si>
  <si>
    <t>AGS26007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</si>
  <si>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</si>
  <si>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</si>
  <si>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</si>
  <si>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</si>
  <si>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</si>
  <si>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</si>
  <si>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</si>
  <si>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</si>
  <si>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</si>
  <si>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</si>
  <si>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SCBL0036075</t>
  </si>
  <si>
    <t>Standard Chartered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</si>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</sst>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V14" sqref="V14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8.9062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9.08984375" customWidth="1"/>
    <col min="8" max="8" width="8.81640625" bestFit="1" customWidth="1"/>
    <col min="9" max="9" width="5.36328125" customWidth="1"/>
    <col min="10" max="11" width="8.36328125" bestFit="1" customWidth="1"/>
    <col min="12" max="12" width="15.81640625" bestFit="1" customWidth="1"/>
    <col min="13" max="13" width="15" bestFit="1" customWidth="1"/>
    <col min="14" max="14" width="13.36328125" bestFit="1" customWidth="1"/>
    <col min="15" max="15" width="16.90625" bestFit="1" customWidth="1"/>
    <col min="16" max="16" width="19" bestFit="1" customWidth="1"/>
    <col min="17" max="17" width="14.7265625" bestFit="1" customWidth="1"/>
    <col min="18" max="18" width="7.1796875" bestFit="1" customWidth="1"/>
    <col min="19" max="19" width="15.26953125" bestFit="1" customWidth="1"/>
    <col min="20" max="20" width="14.54296875" customWidth="1"/>
    <col min="21" max="21" width="14.1796875" bestFit="1" customWidth="1"/>
    <col min="22" max="22" width="5" bestFit="1" customWidth="1"/>
    <col min="23" max="23" width="13.453125" bestFit="1" customWidth="1"/>
    <col min="24" max="24" width="15.90625" bestFit="1" customWidth="1"/>
    <col min="25" max="25" width="16.6328125" bestFit="1" customWidth="1"/>
    <col min="26" max="26" width="14.7265625" bestFit="1" customWidth="1"/>
    <col min="27" max="27" width="15.26953125" bestFit="1" customWidth="1"/>
    <col min="28" max="28" width="16.54296875" bestFit="1" customWidth="1"/>
  </cols>
  <sheetData>
    <row r="1" spans="1:28" x14ac:dyDescent="0.35">
      <c r="A1" s="1" t="s">
        <v>1</v>
      </c>
      <c r="B1" s="1" t="s">
        <v>0</v>
      </c>
      <c r="C1" s="1" t="s">
        <v>20</v>
      </c>
      <c r="D1" s="3" t="s">
        <v>26</v>
      </c>
      <c r="E1" s="2" t="s">
        <v>57</v>
      </c>
      <c r="F1" s="1" t="s">
        <v>21</v>
      </c>
      <c r="G1" s="1"/>
      <c r="H1" s="3" t="s">
        <v>22</v>
      </c>
      <c r="I1" s="1"/>
      <c r="J1" s="1" t="s">
        <v>2</v>
      </c>
      <c r="K1" s="1" t="s">
        <v>3</v>
      </c>
      <c r="L1" s="1" t="s">
        <v>4</v>
      </c>
      <c r="M1" s="1" t="s">
        <v>5</v>
      </c>
      <c r="N1" s="1" t="s">
        <v>9</v>
      </c>
      <c r="O1" s="1" t="s">
        <v>10</v>
      </c>
      <c r="P1" s="1" t="s">
        <v>11</v>
      </c>
      <c r="Q1" s="1" t="s">
        <v>12</v>
      </c>
      <c r="R1" s="2" t="s">
        <v>6</v>
      </c>
      <c r="S1" s="2" t="s">
        <v>7</v>
      </c>
      <c r="T1" s="2" t="s">
        <v>8</v>
      </c>
      <c r="U1" s="2" t="s">
        <v>23</v>
      </c>
      <c r="V1" s="1" t="s">
        <v>13</v>
      </c>
      <c r="W1" s="1" t="s">
        <v>14</v>
      </c>
      <c r="X1" s="1" t="s">
        <v>15</v>
      </c>
      <c r="Y1" s="1" t="s">
        <v>18</v>
      </c>
      <c r="Z1" s="1" t="s">
        <v>19</v>
      </c>
      <c r="AA1" s="1" t="s">
        <v>16</v>
      </c>
      <c r="AB1" s="1" t="s">
        <v>17</v>
      </c>
    </row>
    <row r="2" spans="1:28" x14ac:dyDescent="0.35">
      <c r="A2" t="s">
        <v>25</v>
      </c>
      <c r="B2" t="s">
        <v>24</v>
      </c>
      <c r="C2" s="4">
        <v>46062</v>
      </c>
      <c r="D2" s="5">
        <v>116667</v>
      </c>
      <c r="E2">
        <v>28</v>
      </c>
      <c r="F2">
        <v>21</v>
      </c>
      <c r="J2" s="6">
        <f>(+D2*49.99999%)/E2*F2</f>
        <v>43750.116249974999</v>
      </c>
      <c r="K2" s="6">
        <f>(J2*50%)</f>
        <v>21875.058124987499</v>
      </c>
      <c r="L2" s="6">
        <f>(1600/E2)*F2</f>
        <v>1200</v>
      </c>
      <c r="M2" s="6">
        <f ca="1">(N2-J2-K2-L2)</f>
        <v>18570.695033413711</v>
      </c>
      <c r="N2" s="6">
        <f ca="1">(D2-Y2)/E2*F2-Z2</f>
        <v>85395.869408376209</v>
      </c>
      <c r="O2">
        <f>IF($J2*0.12&gt;1800,1800,$J2*0.12)</f>
        <v>1800</v>
      </c>
      <c r="P2">
        <f ca="1">IF(N2&lt;=21000,N2*0.75%,0)</f>
        <v>0</v>
      </c>
      <c r="Q2">
        <v>200</v>
      </c>
      <c r="R2">
        <v>0</v>
      </c>
      <c r="S2">
        <v>0</v>
      </c>
      <c r="T2">
        <v>0</v>
      </c>
      <c r="U2" s="6">
        <f ca="1">N2+R2+S2+T2</f>
        <v>85395.869408376209</v>
      </c>
      <c r="V2">
        <v>0</v>
      </c>
      <c r="W2">
        <v>0</v>
      </c>
      <c r="X2">
        <v>0</v>
      </c>
      <c r="Y2">
        <f ca="1">IF(N2&lt;=21000,N2*3.25%,0)</f>
        <v>0</v>
      </c>
      <c r="Z2" s="6">
        <f>J2*4.81%</f>
        <v>2104.3805916237975</v>
      </c>
      <c r="AA2" s="6">
        <f ca="1">O2+P2+Q2+W2+X2+V2+#REF!+Z2</f>
        <v>4104.380591623798</v>
      </c>
      <c r="AB2" s="6">
        <f ca="1">N2-AA2</f>
        <v>81291.488816752419</v>
      </c>
    </row>
    <row r="3" spans="1:28" s="7" customFormat="1" x14ac:dyDescent="0.35">
      <c r="A3" s="7" t="s">
        <v>28</v>
      </c>
      <c r="B3" s="7" t="s">
        <v>27</v>
      </c>
      <c r="C3" s="4">
        <v>46062</v>
      </c>
      <c r="D3" s="5">
        <v>70833</v>
      </c>
      <c r="E3" s="6">
        <v>28</v>
      </c>
      <c r="F3" s="6">
        <v>21</v>
      </c>
      <c r="G3" s="6"/>
      <c r="J3" s="6">
        <f>(+D3*49.99999%)/E3*F3</f>
        <v>26562.369687524995</v>
      </c>
      <c r="K3" s="6">
        <f>(J3*50%)</f>
        <v>13281.184843762498</v>
      </c>
      <c r="L3" s="6">
        <f>(1600/E3)*F3</f>
        <v>1200</v>
      </c>
      <c r="M3" s="6">
        <f ca="1">(N3-J3-K3-L3)</f>
        <v>10803.545486742554</v>
      </c>
      <c r="N3" s="6">
        <f ca="1">(D3-Y3)/E3*F3-Z3</f>
        <v>51847.100018030047</v>
      </c>
      <c r="O3" s="6">
        <f>IF($J3*0.12&gt;1800,1800,$J3*0.12)</f>
        <v>1800</v>
      </c>
      <c r="P3" s="6">
        <f ca="1">IF(N3&lt;=21000,N3*0.75%,0)</f>
        <v>0</v>
      </c>
      <c r="Q3" s="6">
        <v>200</v>
      </c>
      <c r="R3" s="6">
        <v>0</v>
      </c>
      <c r="S3" s="6">
        <v>0</v>
      </c>
      <c r="T3" s="6">
        <v>0</v>
      </c>
      <c r="U3" s="6">
        <f ca="1">N3+R3+S3+T3</f>
        <v>51847.100018030047</v>
      </c>
      <c r="V3" s="6">
        <v>0</v>
      </c>
      <c r="W3" s="6">
        <v>0</v>
      </c>
      <c r="X3" s="6">
        <v>0</v>
      </c>
      <c r="Y3">
        <f ca="1">IF(N3&lt;=21000,N3*3.25%,0)</f>
        <v>0</v>
      </c>
      <c r="Z3" s="6">
        <f>J3*4.81%</f>
        <v>1277.6499819699523</v>
      </c>
      <c r="AA3" s="6">
        <f ca="1">O3+P3+Q3+W3+X3+V3+#REF!+Z3</f>
        <v>3277.649981969952</v>
      </c>
      <c r="AB3" s="6">
        <f ca="1">N3-AA3</f>
        <v>48569.450036060094</v>
      </c>
    </row>
    <row r="4" spans="1:28" x14ac:dyDescent="0.35">
      <c r="A4" s="7"/>
      <c r="B4" s="7"/>
      <c r="C4" s="4"/>
      <c r="D4" s="5">
        <v>0</v>
      </c>
      <c r="E4" s="6">
        <v>30</v>
      </c>
      <c r="F4" s="6">
        <v>0</v>
      </c>
      <c r="G4" s="6"/>
      <c r="H4" s="7"/>
      <c r="I4" s="7"/>
      <c r="J4" s="6">
        <f>(+D4*49.99999%)/E4*F4</f>
        <v>0</v>
      </c>
      <c r="K4" s="6">
        <f>(J4*50%)</f>
        <v>0</v>
      </c>
      <c r="L4" s="6">
        <v>0</v>
      </c>
      <c r="M4" s="6">
        <f ca="1">(N4-J4-K4-L4)</f>
        <v>0</v>
      </c>
      <c r="N4" s="6">
        <f ca="1">(D4-Y4)/E4*F4-Z4</f>
        <v>0</v>
      </c>
      <c r="O4" s="6">
        <f>IF($J4*0.12&gt;1800,1800,$J4*0.12)</f>
        <v>0</v>
      </c>
      <c r="P4" s="6">
        <f ca="1">IF(N4&lt;=21000,N4*0.75%,0)</f>
        <v>0</v>
      </c>
      <c r="Q4" s="6">
        <v>0</v>
      </c>
      <c r="R4" s="6">
        <v>0</v>
      </c>
      <c r="S4" s="6">
        <v>0</v>
      </c>
      <c r="T4" s="6">
        <v>0</v>
      </c>
      <c r="U4" s="6">
        <f ca="1">N4+R4+S4+T4</f>
        <v>0</v>
      </c>
      <c r="V4" s="6">
        <v>0</v>
      </c>
      <c r="W4" s="6">
        <v>0</v>
      </c>
      <c r="X4" s="6">
        <v>0</v>
      </c>
      <c r="Y4">
        <f ca="1">IF(N4&lt;=21000,N4*3.25%,0)</f>
        <v>0</v>
      </c>
      <c r="Z4" s="6">
        <f>J4*4.81%</f>
        <v>0</v>
      </c>
      <c r="AA4" s="6">
        <f ca="1">O4+P4+Q4+W4+X4+V4+Y4+#REF!+Z4</f>
        <v>0</v>
      </c>
      <c r="AB4" s="6">
        <f ca="1">N4-AA4</f>
        <v>0</v>
      </c>
    </row>
    <row r="9" spans="1:28" x14ac:dyDescent="0.35">
      <c r="C9" t="s">
        <v>29</v>
      </c>
      <c r="D9" s="6">
        <f>SUM(D2:D8)</f>
        <v>187500</v>
      </c>
      <c r="J9" s="6">
        <f t="shared" ref="J9:X9" si="0">SUM(J2:J8)</f>
        <v>70312.485937499994</v>
      </c>
      <c r="K9" s="6">
        <f t="shared" si="0"/>
        <v>35156.242968749997</v>
      </c>
      <c r="L9" s="6">
        <f t="shared" si="0"/>
        <v>2400</v>
      </c>
      <c r="M9" s="6">
        <f t="shared" ca="1" si="0"/>
        <v>29374.240520156265</v>
      </c>
      <c r="N9" s="6">
        <f t="shared" ca="1" si="0"/>
        <v>137242.96942640626</v>
      </c>
      <c r="O9" s="6">
        <f t="shared" si="0"/>
        <v>3600</v>
      </c>
      <c r="P9" s="6">
        <f t="shared" ca="1" si="0"/>
        <v>0</v>
      </c>
      <c r="Q9" s="6">
        <f t="shared" si="0"/>
        <v>400</v>
      </c>
      <c r="R9" s="6">
        <f t="shared" si="0"/>
        <v>0</v>
      </c>
      <c r="S9" s="6">
        <f t="shared" si="0"/>
        <v>0</v>
      </c>
      <c r="T9" s="6">
        <f t="shared" si="0"/>
        <v>0</v>
      </c>
      <c r="U9" s="6">
        <f t="shared" ca="1" si="0"/>
        <v>137242.96942640626</v>
      </c>
      <c r="V9" s="6">
        <f t="shared" si="0"/>
        <v>0</v>
      </c>
      <c r="W9" s="6">
        <f t="shared" si="0"/>
        <v>0</v>
      </c>
      <c r="X9" s="6">
        <f t="shared" si="0"/>
        <v>0</v>
      </c>
      <c r="Y9" s="6">
        <f ca="1">SUM(Y2:Y8)</f>
        <v>0</v>
      </c>
      <c r="Z9" s="6">
        <f>SUM(Z2:Z8)</f>
        <v>3382.03057359375</v>
      </c>
      <c r="AA9" s="6">
        <f ca="1">SUM(AA2:AA8)</f>
        <v>7382.03057359375</v>
      </c>
      <c r="AB9" s="8">
        <f ca="1">SUM(AB2:AB8)</f>
        <v>129860.93885281251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H7"/>
  <sheetViews>
    <sheetView workbookViewId="0">
      <selection activeCell="E8" sqref="E8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10.08984375" bestFit="1" customWidth="1"/>
  </cols>
  <sheetData>
    <row r="1" spans="1:8" x14ac:dyDescent="0.35">
      <c r="A1" s="1" t="s">
        <v>1</v>
      </c>
      <c r="B1" s="1" t="s">
        <v>0</v>
      </c>
      <c r="C1" s="1" t="s">
        <v>20</v>
      </c>
      <c r="D1" s="3" t="s">
        <v>26</v>
      </c>
      <c r="E1" s="3" t="s">
        <v>56</v>
      </c>
      <c r="F1" s="3" t="s">
        <v>13</v>
      </c>
      <c r="G1" s="3" t="s">
        <v>43</v>
      </c>
      <c r="H1" s="3" t="s">
        <v>44</v>
      </c>
    </row>
    <row r="2" spans="1:8" x14ac:dyDescent="0.35">
      <c r="A2" s="9" t="s">
        <v>39</v>
      </c>
      <c r="B2" t="s">
        <v>55</v>
      </c>
      <c r="C2" s="10">
        <v>46055</v>
      </c>
      <c r="D2">
        <v>80000</v>
      </c>
      <c r="E2" s="6">
        <f>(D2/30)*29</f>
        <v>77333.333333333328</v>
      </c>
      <c r="F2">
        <v>0</v>
      </c>
      <c r="G2">
        <v>200</v>
      </c>
      <c r="H2" s="6">
        <f>E2-G2</f>
        <v>77133.333333333328</v>
      </c>
    </row>
    <row r="3" spans="1:8" x14ac:dyDescent="0.35">
      <c r="A3" s="9" t="s">
        <v>38</v>
      </c>
      <c r="B3" s="9" t="s">
        <v>41</v>
      </c>
      <c r="C3" s="10">
        <v>46055</v>
      </c>
      <c r="D3">
        <v>70000</v>
      </c>
      <c r="E3" s="6">
        <f>(D3/30)*29</f>
        <v>67666.666666666672</v>
      </c>
      <c r="F3">
        <v>0</v>
      </c>
      <c r="G3">
        <v>200</v>
      </c>
      <c r="H3" s="6">
        <f>E3-G3</f>
        <v>67466.666666666672</v>
      </c>
    </row>
    <row r="4" spans="1:8" x14ac:dyDescent="0.35">
      <c r="A4" s="9" t="s">
        <v>49</v>
      </c>
      <c r="B4" s="9" t="s">
        <v>50</v>
      </c>
      <c r="C4" s="10">
        <v>46066</v>
      </c>
      <c r="D4">
        <v>60000</v>
      </c>
      <c r="E4" s="6">
        <f>(D4/30)*18</f>
        <v>36000</v>
      </c>
      <c r="F4">
        <v>0</v>
      </c>
      <c r="G4">
        <v>200</v>
      </c>
      <c r="H4" s="6">
        <f>E4-G4</f>
        <v>35800</v>
      </c>
    </row>
    <row r="5" spans="1:8" x14ac:dyDescent="0.35">
      <c r="A5" s="9" t="s">
        <v>40</v>
      </c>
      <c r="B5" s="9" t="s">
        <v>42</v>
      </c>
      <c r="C5" s="11">
        <v>46072</v>
      </c>
      <c r="D5">
        <v>80000</v>
      </c>
      <c r="E5" s="6">
        <f>(D5/30)*12</f>
        <v>32000</v>
      </c>
      <c r="F5">
        <v>0</v>
      </c>
      <c r="G5">
        <v>200</v>
      </c>
      <c r="H5" s="6">
        <f>E5-G5</f>
        <v>31800</v>
      </c>
    </row>
    <row r="6" spans="1:8" x14ac:dyDescent="0.35">
      <c r="A6" s="9"/>
    </row>
    <row r="7" spans="1:8" x14ac:dyDescent="0.35">
      <c r="G7" s="2" t="s">
        <v>29</v>
      </c>
      <c r="H7" s="2">
        <f>SUM(H2:H5)</f>
        <v>212200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G9"/>
  <sheetViews>
    <sheetView workbookViewId="0">
      <selection activeCell="E11" sqref="E11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90625" customWidth="1"/>
    <col min="4" max="4" width="16.36328125" bestFit="1" customWidth="1"/>
    <col min="5" max="5" width="19.7265625" bestFit="1" customWidth="1"/>
    <col min="6" max="6" width="13.08984375" bestFit="1" customWidth="1"/>
    <col min="7" max="7" width="17.36328125" bestFit="1" customWidth="1"/>
  </cols>
  <sheetData>
    <row r="1" spans="1:7" x14ac:dyDescent="0.35">
      <c r="A1" s="1" t="s">
        <v>1</v>
      </c>
      <c r="B1" s="1" t="s">
        <v>0</v>
      </c>
      <c r="C1" s="1" t="s">
        <v>20</v>
      </c>
      <c r="D1" s="1" t="s">
        <v>17</v>
      </c>
      <c r="E1" s="3" t="s">
        <v>30</v>
      </c>
      <c r="F1" s="3" t="s">
        <v>31</v>
      </c>
      <c r="G1" s="3" t="s">
        <v>33</v>
      </c>
    </row>
    <row r="2" spans="1:7" x14ac:dyDescent="0.35">
      <c r="A2" t="s">
        <v>25</v>
      </c>
      <c r="B2" t="s">
        <v>24</v>
      </c>
      <c r="C2" s="4">
        <v>46062</v>
      </c>
      <c r="D2" s="6">
        <f ca="1">Employees!AB2</f>
        <v>81291.488816752419</v>
      </c>
      <c r="E2" s="6">
        <v>41280100007853</v>
      </c>
      <c r="F2" t="s">
        <v>32</v>
      </c>
      <c r="G2" t="s">
        <v>34</v>
      </c>
    </row>
    <row r="3" spans="1:7" x14ac:dyDescent="0.35">
      <c r="A3" s="7" t="s">
        <v>28</v>
      </c>
      <c r="B3" s="7" t="s">
        <v>27</v>
      </c>
      <c r="C3" s="4">
        <v>46062</v>
      </c>
      <c r="D3" s="6">
        <f ca="1">Employees!AB3</f>
        <v>48569.450036060094</v>
      </c>
      <c r="E3">
        <v>44611426067</v>
      </c>
      <c r="F3" t="s">
        <v>36</v>
      </c>
      <c r="G3" t="s">
        <v>37</v>
      </c>
    </row>
    <row r="4" spans="1:7" x14ac:dyDescent="0.35">
      <c r="A4" s="9" t="s">
        <v>39</v>
      </c>
      <c r="B4" t="s">
        <v>55</v>
      </c>
      <c r="C4" s="10">
        <v>46054</v>
      </c>
      <c r="D4" s="6">
        <f>Consultant!H2</f>
        <v>77133.333333333328</v>
      </c>
      <c r="E4" s="6">
        <v>50100677371816</v>
      </c>
      <c r="F4" t="s">
        <v>53</v>
      </c>
      <c r="G4" t="s">
        <v>54</v>
      </c>
    </row>
    <row r="5" spans="1:7" x14ac:dyDescent="0.35">
      <c r="A5" s="9" t="s">
        <v>38</v>
      </c>
      <c r="B5" s="9" t="s">
        <v>41</v>
      </c>
      <c r="C5" s="10">
        <v>46054</v>
      </c>
      <c r="D5" s="6">
        <f>Consultant!H3</f>
        <v>67466.666666666672</v>
      </c>
      <c r="E5" s="6">
        <v>154710100018477</v>
      </c>
      <c r="F5" t="s">
        <v>45</v>
      </c>
      <c r="G5" t="s">
        <v>46</v>
      </c>
    </row>
    <row r="6" spans="1:7" x14ac:dyDescent="0.35">
      <c r="A6" s="9" t="s">
        <v>49</v>
      </c>
      <c r="B6" s="9" t="s">
        <v>50</v>
      </c>
      <c r="C6" s="10">
        <v>46066</v>
      </c>
      <c r="D6" s="6">
        <f>Consultant!H4</f>
        <v>35800</v>
      </c>
      <c r="E6" s="12" t="s">
        <v>51</v>
      </c>
      <c r="F6" t="s">
        <v>52</v>
      </c>
      <c r="G6" t="s">
        <v>48</v>
      </c>
    </row>
    <row r="7" spans="1:7" x14ac:dyDescent="0.35">
      <c r="A7" s="9" t="s">
        <v>40</v>
      </c>
      <c r="B7" s="9" t="s">
        <v>42</v>
      </c>
      <c r="C7" s="11">
        <v>46072</v>
      </c>
      <c r="D7" s="6">
        <f>Consultant!H5</f>
        <v>31800</v>
      </c>
      <c r="E7" s="6">
        <v>770301501355</v>
      </c>
      <c r="F7" t="s">
        <v>47</v>
      </c>
      <c r="G7" t="s">
        <v>48</v>
      </c>
    </row>
    <row r="8" spans="1:7" x14ac:dyDescent="0.35">
      <c r="A8" s="9"/>
      <c r="B8" s="9"/>
      <c r="C8" s="9"/>
      <c r="E8" s="6"/>
    </row>
    <row r="9" spans="1:7" x14ac:dyDescent="0.35">
      <c r="B9" s="2" t="s">
        <v>35</v>
      </c>
      <c r="C9" s="2"/>
      <c r="D9" s="8">
        <f ca="1">SUM(D2:D8)</f>
        <v>359060.93885281251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Consultant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2026-02-26T10:16:40Z</dcterms:modified>
</cp:coreProperties>
</file>