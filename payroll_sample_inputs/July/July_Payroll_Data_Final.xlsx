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July\"/>
    </mc:Choice>
  </mc:AlternateContent>
  <xr:revisionPtr revIDLastSave="0" documentId="13_ncr:1_{47545402-F1A9-4F2C-A74A-2867B2C9DE8B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Employees" sheetId="1" r:id="rId1"/>
    <sheet name="Consultant" sheetId="3" r:id="rId2"/>
    <sheet name="Tech Team" sheetId="5" r:id="rId3"/>
    <sheet name="HIT" sheetId="12" r:id="rId4"/>
    <sheet name="LOP" sheetId="10" r:id="rId5"/>
    <sheet name="Trainers" sheetId="6" r:id="rId6"/>
    <sheet name="Salaries" sheetId="11" r:id="rId7"/>
    <sheet name="Rental Payment" sheetId="8" r:id="rId8"/>
    <sheet name="Salaries_30042026" sheetId="7" state="hidden" r:id="rId9"/>
    <sheet name="Payments_30042026" sheetId="9" state="hidden" r:id="rId10"/>
    <sheet name="Payment" sheetId="2" state="hidden" r:id="rId11"/>
  </sheets>
  <definedNames>
    <definedName name="_xlnm._FilterDatabase" localSheetId="4" hidden="1">LOP!$A$1:$C$1</definedName>
    <definedName name="_xlnm._FilterDatabase" localSheetId="10" hidden="1">Payment!$A$1:$H$1</definedName>
    <definedName name="_xlnm._FilterDatabase" localSheetId="6" hidden="1">Salaries!$A$1:$H$57</definedName>
    <definedName name="_xlnm._FilterDatabase" localSheetId="8" hidden="1">Salaries_30042026!$A$1:$H$46</definedName>
  </definedNames>
  <calcPr calcId="191029"/>
</workbook>
</file>

<file path=xl/calcChain.xml><?xml version="1.0" encoding="utf-8"?>
<calcChain xmlns="http://schemas.openxmlformats.org/spreadsheetml/2006/main">
  <c r="D3" i="8" l="1"/>
  <c r="D7" i="11"/>
  <c r="D8" i="11"/>
  <c r="H7" i="3"/>
  <c r="F6" i="6"/>
  <c r="F4" i="6"/>
  <c r="F3" i="6"/>
  <c r="F40" i="5"/>
  <c r="H6" i="3"/>
  <c r="F2" i="12"/>
  <c r="J2" i="12" s="1"/>
  <c r="F3" i="12"/>
  <c r="J3" i="12" s="1"/>
  <c r="F4" i="12"/>
  <c r="J4" i="12" s="1"/>
  <c r="F5" i="12"/>
  <c r="J5" i="12" s="1"/>
  <c r="F6" i="12"/>
  <c r="J6" i="12" s="1"/>
  <c r="F7" i="12"/>
  <c r="J7" i="12" s="1"/>
  <c r="F8" i="12"/>
  <c r="J8" i="12" s="1"/>
  <c r="F9" i="12"/>
  <c r="J9" i="12" s="1"/>
  <c r="F10" i="12"/>
  <c r="J10" i="12" s="1"/>
  <c r="F11" i="12"/>
  <c r="J11" i="12" s="1"/>
  <c r="F12" i="12"/>
  <c r="J12" i="12" s="1"/>
  <c r="F13" i="12"/>
  <c r="J13" i="12" s="1"/>
  <c r="F14" i="12"/>
  <c r="J14" i="12" s="1"/>
  <c r="F2" i="5"/>
  <c r="F3" i="5"/>
  <c r="F4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1" i="5"/>
  <c r="F42" i="5"/>
  <c r="F43" i="5"/>
  <c r="F44" i="5"/>
  <c r="F45" i="5"/>
  <c r="F46" i="5"/>
  <c r="F47" i="5"/>
  <c r="F48" i="5"/>
  <c r="F49" i="5"/>
  <c r="F50" i="5"/>
  <c r="F6" i="5"/>
  <c r="F7" i="5"/>
  <c r="F8" i="5"/>
  <c r="F9" i="5"/>
  <c r="F10" i="5"/>
  <c r="F11" i="5"/>
  <c r="H6" i="12" l="1"/>
  <c r="I6" i="12" s="1"/>
  <c r="H10" i="12"/>
  <c r="Y10" i="12" s="1"/>
  <c r="L10" i="12" s="1"/>
  <c r="H11" i="12"/>
  <c r="I11" i="12" s="1"/>
  <c r="H3" i="12"/>
  <c r="I3" i="12" s="1"/>
  <c r="H8" i="12"/>
  <c r="H9" i="12"/>
  <c r="H7" i="12"/>
  <c r="H13" i="12"/>
  <c r="Y13" i="12" s="1"/>
  <c r="L13" i="12" s="1"/>
  <c r="H5" i="12"/>
  <c r="Y5" i="12" s="1"/>
  <c r="L5" i="12" s="1"/>
  <c r="H4" i="12"/>
  <c r="Y4" i="12" s="1"/>
  <c r="L4" i="12" s="1"/>
  <c r="H14" i="12"/>
  <c r="Y14" i="12" s="1"/>
  <c r="L14" i="12" s="1"/>
  <c r="H2" i="12"/>
  <c r="Y2" i="12" s="1"/>
  <c r="L2" i="12" s="1"/>
  <c r="H12" i="12"/>
  <c r="Y12" i="12" s="1"/>
  <c r="L12" i="12" s="1"/>
  <c r="Y6" i="12" l="1"/>
  <c r="L6" i="12" s="1"/>
  <c r="U6" i="12" s="1"/>
  <c r="Z6" i="12" s="1"/>
  <c r="Y11" i="12"/>
  <c r="L11" i="12" s="1"/>
  <c r="S11" i="12" s="1"/>
  <c r="I10" i="12"/>
  <c r="Y3" i="12"/>
  <c r="L3" i="12" s="1"/>
  <c r="U3" i="12" s="1"/>
  <c r="Z3" i="12" s="1"/>
  <c r="K10" i="12"/>
  <c r="I5" i="12"/>
  <c r="K5" i="12" s="1"/>
  <c r="I13" i="12"/>
  <c r="K13" i="12" s="1"/>
  <c r="U14" i="12"/>
  <c r="Z14" i="12" s="1"/>
  <c r="AA14" i="12" s="1"/>
  <c r="S14" i="12"/>
  <c r="I8" i="12"/>
  <c r="Y8" i="12"/>
  <c r="L8" i="12" s="1"/>
  <c r="I2" i="12"/>
  <c r="K2" i="12" s="1"/>
  <c r="I7" i="12"/>
  <c r="Y7" i="12"/>
  <c r="L7" i="12" s="1"/>
  <c r="I9" i="12"/>
  <c r="Y9" i="12"/>
  <c r="L9" i="12" s="1"/>
  <c r="S6" i="12"/>
  <c r="S5" i="12"/>
  <c r="U5" i="12"/>
  <c r="Z5" i="12" s="1"/>
  <c r="S4" i="12"/>
  <c r="U4" i="12"/>
  <c r="U11" i="12"/>
  <c r="S10" i="12"/>
  <c r="U10" i="12"/>
  <c r="Z10" i="12" s="1"/>
  <c r="AA10" i="12" s="1"/>
  <c r="S2" i="12"/>
  <c r="U2" i="12"/>
  <c r="S13" i="12"/>
  <c r="U13" i="12"/>
  <c r="S12" i="12"/>
  <c r="U12" i="12"/>
  <c r="Z12" i="12" s="1"/>
  <c r="AA12" i="12" s="1"/>
  <c r="I14" i="12"/>
  <c r="K14" i="12" s="1"/>
  <c r="I4" i="12"/>
  <c r="K4" i="12" s="1"/>
  <c r="K11" i="12"/>
  <c r="I12" i="12"/>
  <c r="K12" i="12" s="1"/>
  <c r="D2" i="8"/>
  <c r="D5" i="8" s="1"/>
  <c r="F2" i="1"/>
  <c r="H39" i="5"/>
  <c r="W39" i="5" s="1"/>
  <c r="J42" i="5"/>
  <c r="J44" i="5"/>
  <c r="J45" i="5"/>
  <c r="J46" i="5"/>
  <c r="J47" i="5"/>
  <c r="H48" i="5"/>
  <c r="Y48" i="5" s="1"/>
  <c r="F5" i="5"/>
  <c r="J40" i="5"/>
  <c r="J41" i="5"/>
  <c r="J43" i="5"/>
  <c r="J48" i="5"/>
  <c r="J49" i="5"/>
  <c r="J50" i="5"/>
  <c r="H42" i="5"/>
  <c r="M42" i="5" s="1"/>
  <c r="H43" i="5"/>
  <c r="I43" i="5" s="1"/>
  <c r="H44" i="5"/>
  <c r="Y44" i="5" s="1"/>
  <c r="H45" i="5"/>
  <c r="Y45" i="5" s="1"/>
  <c r="H49" i="5"/>
  <c r="Y49" i="5" s="1"/>
  <c r="H50" i="5"/>
  <c r="W50" i="5" s="1"/>
  <c r="H40" i="5"/>
  <c r="Y40" i="5" s="1"/>
  <c r="H41" i="5"/>
  <c r="M41" i="5" s="1"/>
  <c r="K6" i="12" l="1"/>
  <c r="S3" i="12"/>
  <c r="U7" i="12"/>
  <c r="Z7" i="12" s="1"/>
  <c r="AA7" i="12" s="1"/>
  <c r="D61" i="11"/>
  <c r="AA5" i="12"/>
  <c r="S8" i="12"/>
  <c r="D68" i="11"/>
  <c r="AA3" i="12"/>
  <c r="D59" i="11" s="1"/>
  <c r="D66" i="11"/>
  <c r="D62" i="11"/>
  <c r="AA6" i="12"/>
  <c r="U9" i="12"/>
  <c r="Z9" i="12" s="1"/>
  <c r="AA9" i="12" s="1"/>
  <c r="D70" i="11"/>
  <c r="K3" i="12"/>
  <c r="U8" i="12"/>
  <c r="Z8" i="12" s="1"/>
  <c r="S7" i="12"/>
  <c r="K9" i="12"/>
  <c r="K8" i="12"/>
  <c r="K7" i="12"/>
  <c r="S9" i="12"/>
  <c r="Z13" i="12"/>
  <c r="Z4" i="12"/>
  <c r="Z2" i="12"/>
  <c r="Z11" i="12"/>
  <c r="H46" i="5"/>
  <c r="W46" i="5" s="1"/>
  <c r="H47" i="5"/>
  <c r="W47" i="5" s="1"/>
  <c r="W48" i="5"/>
  <c r="L48" i="5" s="1"/>
  <c r="J39" i="5"/>
  <c r="W41" i="5"/>
  <c r="I49" i="5"/>
  <c r="I48" i="5"/>
  <c r="M45" i="5"/>
  <c r="M40" i="5"/>
  <c r="I41" i="5"/>
  <c r="W49" i="5"/>
  <c r="L49" i="5" s="1"/>
  <c r="I45" i="5"/>
  <c r="M48" i="5"/>
  <c r="W45" i="5"/>
  <c r="L45" i="5" s="1"/>
  <c r="I40" i="5"/>
  <c r="W40" i="5"/>
  <c r="L40" i="5" s="1"/>
  <c r="M39" i="5"/>
  <c r="Y39" i="5"/>
  <c r="L39" i="5" s="1"/>
  <c r="I39" i="5"/>
  <c r="M44" i="5"/>
  <c r="W43" i="5"/>
  <c r="M50" i="5"/>
  <c r="M43" i="5"/>
  <c r="Y50" i="5"/>
  <c r="L50" i="5" s="1"/>
  <c r="Y42" i="5"/>
  <c r="I50" i="5"/>
  <c r="I42" i="5"/>
  <c r="M49" i="5"/>
  <c r="W42" i="5"/>
  <c r="Y43" i="5"/>
  <c r="Y41" i="5"/>
  <c r="I44" i="5"/>
  <c r="W44" i="5"/>
  <c r="L44" i="5" s="1"/>
  <c r="AA8" i="12" l="1"/>
  <c r="D64" i="11" s="1"/>
  <c r="D65" i="11"/>
  <c r="AA11" i="12"/>
  <c r="D67" i="11" s="1"/>
  <c r="AA2" i="12"/>
  <c r="D58" i="11" s="1"/>
  <c r="AA4" i="12"/>
  <c r="D60" i="11" s="1"/>
  <c r="AA13" i="12"/>
  <c r="D69" i="11" s="1"/>
  <c r="D63" i="11"/>
  <c r="M46" i="5"/>
  <c r="L41" i="5"/>
  <c r="X41" i="5" s="1"/>
  <c r="Y46" i="5"/>
  <c r="L46" i="5" s="1"/>
  <c r="X46" i="5" s="1"/>
  <c r="I46" i="5"/>
  <c r="K45" i="5"/>
  <c r="S48" i="5"/>
  <c r="M47" i="5"/>
  <c r="I47" i="5"/>
  <c r="Y47" i="5"/>
  <c r="L47" i="5" s="1"/>
  <c r="S40" i="5"/>
  <c r="K40" i="5"/>
  <c r="S45" i="5"/>
  <c r="K44" i="5"/>
  <c r="K49" i="5"/>
  <c r="S44" i="5"/>
  <c r="L43" i="5"/>
  <c r="S43" i="5" s="1"/>
  <c r="Z44" i="5"/>
  <c r="AA44" i="5" s="1"/>
  <c r="D51" i="11" s="1"/>
  <c r="S50" i="5"/>
  <c r="K50" i="5"/>
  <c r="K48" i="5"/>
  <c r="K39" i="5"/>
  <c r="X39" i="5"/>
  <c r="S39" i="5"/>
  <c r="N39" i="5"/>
  <c r="L42" i="5"/>
  <c r="S49" i="5"/>
  <c r="K46" i="5" l="1"/>
  <c r="S46" i="5"/>
  <c r="N46" i="5"/>
  <c r="Z46" i="5" s="1"/>
  <c r="AA46" i="5" s="1"/>
  <c r="D53" i="11" s="1"/>
  <c r="S41" i="5"/>
  <c r="N41" i="5"/>
  <c r="Z40" i="5"/>
  <c r="K41" i="5"/>
  <c r="Z45" i="5"/>
  <c r="AA45" i="5" s="1"/>
  <c r="D52" i="11" s="1"/>
  <c r="X43" i="5"/>
  <c r="S47" i="5"/>
  <c r="X47" i="5"/>
  <c r="Z50" i="5"/>
  <c r="AA50" i="5" s="1"/>
  <c r="K47" i="5"/>
  <c r="N47" i="5"/>
  <c r="N43" i="5"/>
  <c r="K43" i="5"/>
  <c r="Z48" i="5"/>
  <c r="AA48" i="5" s="1"/>
  <c r="D55" i="11" s="1"/>
  <c r="Z49" i="5"/>
  <c r="AA49" i="5" s="1"/>
  <c r="D56" i="11" s="1"/>
  <c r="Z41" i="5"/>
  <c r="AA41" i="5" s="1"/>
  <c r="D48" i="11" s="1"/>
  <c r="Z39" i="5"/>
  <c r="AA39" i="5" s="1"/>
  <c r="D46" i="11" s="1"/>
  <c r="K42" i="5"/>
  <c r="S42" i="5"/>
  <c r="X42" i="5"/>
  <c r="N42" i="5"/>
  <c r="D57" i="11" l="1"/>
  <c r="Z43" i="5"/>
  <c r="AA43" i="5" s="1"/>
  <c r="D50" i="11" s="1"/>
  <c r="AA40" i="5"/>
  <c r="Z47" i="5"/>
  <c r="AA47" i="5" s="1"/>
  <c r="D54" i="11" s="1"/>
  <c r="Z42" i="5"/>
  <c r="AA42" i="5" s="1"/>
  <c r="D49" i="11" s="1"/>
  <c r="E8" i="9"/>
  <c r="E7" i="9"/>
  <c r="E6" i="9"/>
  <c r="E5" i="9"/>
  <c r="E4" i="9"/>
  <c r="E3" i="9"/>
  <c r="E12" i="9" s="1"/>
  <c r="H37" i="5"/>
  <c r="I37" i="5" s="1"/>
  <c r="J37" i="5"/>
  <c r="H38" i="5"/>
  <c r="Y38" i="5" s="1"/>
  <c r="J38" i="5"/>
  <c r="F2" i="6"/>
  <c r="F5" i="6"/>
  <c r="D47" i="11" l="1"/>
  <c r="E9" i="6"/>
  <c r="Y37" i="5"/>
  <c r="W37" i="5"/>
  <c r="I38" i="5"/>
  <c r="M37" i="5"/>
  <c r="W38" i="5"/>
  <c r="L38" i="5" s="1"/>
  <c r="M38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H20" i="5"/>
  <c r="Y20" i="5" s="1"/>
  <c r="H21" i="5"/>
  <c r="W21" i="5" s="1"/>
  <c r="H22" i="5"/>
  <c r="M22" i="5" s="1"/>
  <c r="H23" i="5"/>
  <c r="Y23" i="5" s="1"/>
  <c r="H24" i="5"/>
  <c r="I24" i="5" s="1"/>
  <c r="H25" i="5"/>
  <c r="Y25" i="5" s="1"/>
  <c r="H26" i="5"/>
  <c r="I26" i="5" s="1"/>
  <c r="H27" i="5"/>
  <c r="Y27" i="5" s="1"/>
  <c r="H28" i="5"/>
  <c r="I28" i="5" s="1"/>
  <c r="H29" i="5"/>
  <c r="W29" i="5" s="1"/>
  <c r="H30" i="5"/>
  <c r="M30" i="5" s="1"/>
  <c r="H31" i="5"/>
  <c r="W31" i="5" s="1"/>
  <c r="H32" i="5"/>
  <c r="M32" i="5" s="1"/>
  <c r="H33" i="5"/>
  <c r="W33" i="5" s="1"/>
  <c r="H34" i="5"/>
  <c r="M34" i="5" s="1"/>
  <c r="H35" i="5"/>
  <c r="Y35" i="5" s="1"/>
  <c r="H36" i="5"/>
  <c r="Y36" i="5" s="1"/>
  <c r="H3" i="3"/>
  <c r="D4" i="11" s="1"/>
  <c r="H5" i="3"/>
  <c r="H4" i="3"/>
  <c r="D5" i="11" s="1"/>
  <c r="H2" i="3"/>
  <c r="J2" i="1"/>
  <c r="H2" i="1"/>
  <c r="M2" i="1" s="1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H2" i="5"/>
  <c r="Y2" i="5" s="1"/>
  <c r="H3" i="5"/>
  <c r="Y3" i="5" s="1"/>
  <c r="H4" i="5"/>
  <c r="H5" i="5"/>
  <c r="Y5" i="5" s="1"/>
  <c r="H6" i="5"/>
  <c r="I6" i="5" s="1"/>
  <c r="H7" i="5"/>
  <c r="Y7" i="5" s="1"/>
  <c r="H8" i="5"/>
  <c r="Y8" i="5" s="1"/>
  <c r="H9" i="5"/>
  <c r="Y9" i="5" s="1"/>
  <c r="H10" i="5"/>
  <c r="Y10" i="5" s="1"/>
  <c r="H11" i="5"/>
  <c r="Y11" i="5" s="1"/>
  <c r="H12" i="5"/>
  <c r="H13" i="5"/>
  <c r="I13" i="5" s="1"/>
  <c r="H14" i="5"/>
  <c r="I14" i="5" s="1"/>
  <c r="H15" i="5"/>
  <c r="I15" i="5" s="1"/>
  <c r="H16" i="5"/>
  <c r="I16" i="5" s="1"/>
  <c r="H17" i="5"/>
  <c r="I17" i="5" s="1"/>
  <c r="H18" i="5"/>
  <c r="Y18" i="5" s="1"/>
  <c r="H19" i="5"/>
  <c r="V6" i="1"/>
  <c r="P6" i="1"/>
  <c r="Q6" i="1"/>
  <c r="R6" i="1"/>
  <c r="T6" i="1"/>
  <c r="O6" i="1"/>
  <c r="D6" i="1"/>
  <c r="D6" i="11" l="1"/>
  <c r="H8" i="3"/>
  <c r="D3" i="11"/>
  <c r="D3" i="2"/>
  <c r="D2" i="7"/>
  <c r="D30" i="2"/>
  <c r="D28" i="7"/>
  <c r="D4" i="2"/>
  <c r="D3" i="7"/>
  <c r="D14" i="7"/>
  <c r="D15" i="2"/>
  <c r="D18" i="2"/>
  <c r="D17" i="7"/>
  <c r="L37" i="5"/>
  <c r="I27" i="5"/>
  <c r="M20" i="5"/>
  <c r="W32" i="5"/>
  <c r="W20" i="5"/>
  <c r="L20" i="5" s="1"/>
  <c r="K38" i="5"/>
  <c r="N38" i="5"/>
  <c r="S38" i="5"/>
  <c r="X38" i="5"/>
  <c r="Y19" i="5"/>
  <c r="W12" i="5"/>
  <c r="Y4" i="5"/>
  <c r="M29" i="5"/>
  <c r="Y28" i="5"/>
  <c r="I36" i="5"/>
  <c r="M28" i="5"/>
  <c r="W28" i="5"/>
  <c r="M36" i="5"/>
  <c r="I32" i="5"/>
  <c r="M25" i="5"/>
  <c r="W27" i="5"/>
  <c r="L27" i="5" s="1"/>
  <c r="M21" i="5"/>
  <c r="W25" i="5"/>
  <c r="L25" i="5" s="1"/>
  <c r="Y22" i="5"/>
  <c r="W36" i="5"/>
  <c r="L36" i="5" s="1"/>
  <c r="W22" i="5"/>
  <c r="Y32" i="5"/>
  <c r="I34" i="5"/>
  <c r="Y24" i="5"/>
  <c r="I33" i="5"/>
  <c r="I25" i="5"/>
  <c r="M35" i="5"/>
  <c r="M27" i="5"/>
  <c r="Y31" i="5"/>
  <c r="L31" i="5" s="1"/>
  <c r="W24" i="5"/>
  <c r="I31" i="5"/>
  <c r="I23" i="5"/>
  <c r="M33" i="5"/>
  <c r="Y34" i="5"/>
  <c r="Y30" i="5"/>
  <c r="I30" i="5"/>
  <c r="I22" i="5"/>
  <c r="M24" i="5"/>
  <c r="W34" i="5"/>
  <c r="W30" i="5"/>
  <c r="Y26" i="5"/>
  <c r="Y21" i="5"/>
  <c r="L21" i="5" s="1"/>
  <c r="I29" i="5"/>
  <c r="I21" i="5"/>
  <c r="M31" i="5"/>
  <c r="M23" i="5"/>
  <c r="Y33" i="5"/>
  <c r="L33" i="5" s="1"/>
  <c r="Y29" i="5"/>
  <c r="L29" i="5" s="1"/>
  <c r="W26" i="5"/>
  <c r="L26" i="5" s="1"/>
  <c r="M26" i="5"/>
  <c r="W2" i="5"/>
  <c r="I20" i="5"/>
  <c r="W35" i="5"/>
  <c r="L35" i="5" s="1"/>
  <c r="I35" i="5"/>
  <c r="W23" i="5"/>
  <c r="L23" i="5" s="1"/>
  <c r="W4" i="5"/>
  <c r="M5" i="5"/>
  <c r="M3" i="5"/>
  <c r="W3" i="5"/>
  <c r="L3" i="5" s="1"/>
  <c r="M4" i="5"/>
  <c r="M2" i="5"/>
  <c r="I18" i="5"/>
  <c r="M12" i="5"/>
  <c r="I19" i="5"/>
  <c r="M19" i="5"/>
  <c r="M17" i="5"/>
  <c r="W17" i="5"/>
  <c r="M13" i="5"/>
  <c r="W10" i="5"/>
  <c r="L10" i="5" s="1"/>
  <c r="M10" i="5"/>
  <c r="Y6" i="5"/>
  <c r="W6" i="5"/>
  <c r="M6" i="5"/>
  <c r="M14" i="5"/>
  <c r="M7" i="5"/>
  <c r="W11" i="5"/>
  <c r="L11" i="5" s="1"/>
  <c r="W9" i="5"/>
  <c r="L9" i="5" s="1"/>
  <c r="I12" i="5"/>
  <c r="Y17" i="5"/>
  <c r="M18" i="5"/>
  <c r="W15" i="5"/>
  <c r="W8" i="5"/>
  <c r="L8" i="5" s="1"/>
  <c r="Y13" i="5"/>
  <c r="M11" i="5"/>
  <c r="W14" i="5"/>
  <c r="W7" i="5"/>
  <c r="W16" i="5"/>
  <c r="I5" i="5"/>
  <c r="Y12" i="5"/>
  <c r="W13" i="5"/>
  <c r="M16" i="5"/>
  <c r="M9" i="5"/>
  <c r="W19" i="5"/>
  <c r="W5" i="5"/>
  <c r="L5" i="5" s="1"/>
  <c r="M15" i="5"/>
  <c r="M8" i="5"/>
  <c r="W18" i="5"/>
  <c r="L18" i="5" s="1"/>
  <c r="I4" i="5"/>
  <c r="I2" i="1"/>
  <c r="W2" i="1"/>
  <c r="I11" i="5"/>
  <c r="I3" i="5"/>
  <c r="I10" i="5"/>
  <c r="I2" i="5"/>
  <c r="Y16" i="5"/>
  <c r="I9" i="5"/>
  <c r="Y15" i="5"/>
  <c r="I8" i="5"/>
  <c r="Y14" i="5"/>
  <c r="I7" i="5"/>
  <c r="J6" i="1"/>
  <c r="U9" i="5" l="1"/>
  <c r="U11" i="5"/>
  <c r="U8" i="5"/>
  <c r="U10" i="5"/>
  <c r="U5" i="5"/>
  <c r="N37" i="5"/>
  <c r="X37" i="5"/>
  <c r="K37" i="5"/>
  <c r="L13" i="5"/>
  <c r="S13" i="5" s="1"/>
  <c r="L32" i="5"/>
  <c r="L19" i="5"/>
  <c r="S37" i="5"/>
  <c r="L28" i="5"/>
  <c r="X20" i="5"/>
  <c r="N20" i="5"/>
  <c r="S25" i="5"/>
  <c r="Z25" i="5"/>
  <c r="X5" i="5"/>
  <c r="S23" i="5"/>
  <c r="Z23" i="5"/>
  <c r="AA23" i="5" s="1"/>
  <c r="D30" i="11" s="1"/>
  <c r="S33" i="5"/>
  <c r="Z33" i="5"/>
  <c r="AA33" i="5" s="1"/>
  <c r="D40" i="11" s="1"/>
  <c r="X10" i="5"/>
  <c r="S29" i="5"/>
  <c r="Z29" i="5"/>
  <c r="AA29" i="5" s="1"/>
  <c r="D36" i="11" s="1"/>
  <c r="L2" i="5"/>
  <c r="S27" i="5"/>
  <c r="Z27" i="5"/>
  <c r="AA27" i="5" s="1"/>
  <c r="D34" i="11" s="1"/>
  <c r="X11" i="5"/>
  <c r="X35" i="5"/>
  <c r="K26" i="5"/>
  <c r="Z26" i="5"/>
  <c r="AA26" i="5" s="1"/>
  <c r="D33" i="11" s="1"/>
  <c r="L12" i="5"/>
  <c r="X21" i="5"/>
  <c r="X3" i="5"/>
  <c r="L4" i="5"/>
  <c r="K20" i="5"/>
  <c r="L24" i="5"/>
  <c r="Z38" i="5"/>
  <c r="K36" i="5"/>
  <c r="X36" i="5"/>
  <c r="S36" i="5"/>
  <c r="N8" i="5"/>
  <c r="X8" i="5"/>
  <c r="K27" i="5"/>
  <c r="L30" i="5"/>
  <c r="L22" i="5"/>
  <c r="N9" i="5"/>
  <c r="X9" i="5"/>
  <c r="L34" i="5"/>
  <c r="N18" i="5"/>
  <c r="X18" i="5"/>
  <c r="N35" i="5"/>
  <c r="S20" i="5"/>
  <c r="L2" i="1"/>
  <c r="Z31" i="5"/>
  <c r="AA31" i="5" s="1"/>
  <c r="D38" i="11" s="1"/>
  <c r="K31" i="5"/>
  <c r="S31" i="5"/>
  <c r="K21" i="5"/>
  <c r="N21" i="5"/>
  <c r="S21" i="5"/>
  <c r="S26" i="5"/>
  <c r="N36" i="5"/>
  <c r="K33" i="5"/>
  <c r="K35" i="5"/>
  <c r="K29" i="5"/>
  <c r="S35" i="5"/>
  <c r="K25" i="5"/>
  <c r="K23" i="5"/>
  <c r="L6" i="5"/>
  <c r="L17" i="5"/>
  <c r="N11" i="5"/>
  <c r="L7" i="5"/>
  <c r="L14" i="5"/>
  <c r="N10" i="5"/>
  <c r="S5" i="5"/>
  <c r="N5" i="5"/>
  <c r="N3" i="5"/>
  <c r="L15" i="5"/>
  <c r="K9" i="5"/>
  <c r="S9" i="5"/>
  <c r="K5" i="5"/>
  <c r="L16" i="5"/>
  <c r="K8" i="5"/>
  <c r="S8" i="5"/>
  <c r="S18" i="5"/>
  <c r="K18" i="5"/>
  <c r="K10" i="5"/>
  <c r="S10" i="5"/>
  <c r="K3" i="5"/>
  <c r="S3" i="5"/>
  <c r="K11" i="5"/>
  <c r="S11" i="5"/>
  <c r="I6" i="1"/>
  <c r="H6" i="1"/>
  <c r="W6" i="1"/>
  <c r="M6" i="1"/>
  <c r="Z9" i="5" l="1"/>
  <c r="Z37" i="5"/>
  <c r="AA37" i="5" s="1"/>
  <c r="D44" i="11" s="1"/>
  <c r="S2" i="1"/>
  <c r="U2" i="1"/>
  <c r="K13" i="5"/>
  <c r="N13" i="5"/>
  <c r="U2" i="5"/>
  <c r="D37" i="2"/>
  <c r="D46" i="7"/>
  <c r="AA38" i="5"/>
  <c r="D45" i="11" s="1"/>
  <c r="U14" i="5"/>
  <c r="Z14" i="5" s="1"/>
  <c r="AA14" i="5" s="1"/>
  <c r="D21" i="11" s="1"/>
  <c r="U16" i="5"/>
  <c r="U15" i="5"/>
  <c r="AA25" i="5"/>
  <c r="D32" i="11" s="1"/>
  <c r="U6" i="5"/>
  <c r="U7" i="5"/>
  <c r="Z30" i="5"/>
  <c r="AA30" i="5" s="1"/>
  <c r="D37" i="11" s="1"/>
  <c r="K32" i="5"/>
  <c r="X19" i="5"/>
  <c r="X13" i="5"/>
  <c r="U13" i="5"/>
  <c r="K12" i="5"/>
  <c r="K4" i="5"/>
  <c r="U4" i="5"/>
  <c r="N19" i="5"/>
  <c r="S28" i="5"/>
  <c r="S19" i="5"/>
  <c r="K19" i="5"/>
  <c r="S32" i="5"/>
  <c r="Z32" i="5"/>
  <c r="K2" i="5"/>
  <c r="S2" i="5"/>
  <c r="N2" i="5"/>
  <c r="Z2" i="5" s="1"/>
  <c r="N12" i="5"/>
  <c r="S12" i="5"/>
  <c r="K6" i="5"/>
  <c r="Z10" i="5"/>
  <c r="AA10" i="5" s="1"/>
  <c r="D17" i="11" s="1"/>
  <c r="S4" i="5"/>
  <c r="X2" i="5"/>
  <c r="D39" i="2"/>
  <c r="D37" i="7"/>
  <c r="Z11" i="5"/>
  <c r="S34" i="5"/>
  <c r="N4" i="5"/>
  <c r="K28" i="5"/>
  <c r="S17" i="5"/>
  <c r="Z8" i="5"/>
  <c r="Z28" i="5"/>
  <c r="AA28" i="5" s="1"/>
  <c r="D35" i="11" s="1"/>
  <c r="Z35" i="5"/>
  <c r="Z20" i="5"/>
  <c r="AA20" i="5" s="1"/>
  <c r="D27" i="11" s="1"/>
  <c r="Z36" i="5"/>
  <c r="X15" i="5"/>
  <c r="Z24" i="5"/>
  <c r="AA24" i="5" s="1"/>
  <c r="D31" i="11" s="1"/>
  <c r="K24" i="5"/>
  <c r="S24" i="5"/>
  <c r="K22" i="5"/>
  <c r="X7" i="5"/>
  <c r="D35" i="7"/>
  <c r="X4" i="5"/>
  <c r="X12" i="5"/>
  <c r="Z5" i="5"/>
  <c r="Z21" i="5"/>
  <c r="D43" i="2"/>
  <c r="D41" i="7"/>
  <c r="D24" i="2"/>
  <c r="D23" i="7"/>
  <c r="D38" i="2"/>
  <c r="D36" i="7"/>
  <c r="D45" i="2"/>
  <c r="D43" i="7"/>
  <c r="D8" i="2"/>
  <c r="D7" i="7"/>
  <c r="D2" i="2"/>
  <c r="K2" i="1"/>
  <c r="X2" i="1"/>
  <c r="N2" i="1"/>
  <c r="Z2" i="1" s="1"/>
  <c r="K34" i="5"/>
  <c r="X34" i="5"/>
  <c r="N34" i="5"/>
  <c r="N17" i="5"/>
  <c r="X17" i="5"/>
  <c r="N16" i="5"/>
  <c r="X16" i="5"/>
  <c r="N6" i="5"/>
  <c r="X6" i="5"/>
  <c r="X22" i="5"/>
  <c r="N22" i="5"/>
  <c r="S22" i="5"/>
  <c r="Z18" i="5"/>
  <c r="AA18" i="5" s="1"/>
  <c r="D25" i="11" s="1"/>
  <c r="S30" i="5"/>
  <c r="K30" i="5"/>
  <c r="K17" i="5"/>
  <c r="S6" i="5"/>
  <c r="K14" i="5"/>
  <c r="S14" i="5"/>
  <c r="N7" i="5"/>
  <c r="K7" i="5"/>
  <c r="S7" i="5"/>
  <c r="N15" i="5"/>
  <c r="Z3" i="5"/>
  <c r="AA3" i="5" s="1"/>
  <c r="D10" i="11" s="1"/>
  <c r="K15" i="5"/>
  <c r="S15" i="5"/>
  <c r="K16" i="5"/>
  <c r="S16" i="5"/>
  <c r="Z19" i="5" l="1"/>
  <c r="AA19" i="5" s="1"/>
  <c r="D26" i="11" s="1"/>
  <c r="U6" i="1"/>
  <c r="AB2" i="1"/>
  <c r="D2" i="11" s="1"/>
  <c r="Z13" i="5"/>
  <c r="AA13" i="5" s="1"/>
  <c r="D20" i="11" s="1"/>
  <c r="D47" i="2"/>
  <c r="AA36" i="5"/>
  <c r="AA21" i="5"/>
  <c r="D28" i="11" s="1"/>
  <c r="AA35" i="5"/>
  <c r="D42" i="11" s="1"/>
  <c r="D38" i="7"/>
  <c r="D40" i="7"/>
  <c r="AA32" i="5"/>
  <c r="D39" i="11" s="1"/>
  <c r="D48" i="2"/>
  <c r="D45" i="7"/>
  <c r="D36" i="2"/>
  <c r="AA8" i="5"/>
  <c r="D15" i="11" s="1"/>
  <c r="AA11" i="5"/>
  <c r="D18" i="11" s="1"/>
  <c r="AA9" i="5"/>
  <c r="D16" i="11" s="1"/>
  <c r="AA5" i="5"/>
  <c r="D12" i="11" s="1"/>
  <c r="D9" i="7"/>
  <c r="D42" i="2"/>
  <c r="AA2" i="5"/>
  <c r="D9" i="11" s="1"/>
  <c r="D7" i="2"/>
  <c r="D15" i="7"/>
  <c r="D40" i="2"/>
  <c r="Z12" i="5"/>
  <c r="Z4" i="5"/>
  <c r="D10" i="7"/>
  <c r="D31" i="2"/>
  <c r="D29" i="7"/>
  <c r="Z7" i="5"/>
  <c r="Z15" i="5"/>
  <c r="Z22" i="5"/>
  <c r="D20" i="7"/>
  <c r="D21" i="2"/>
  <c r="Z34" i="5"/>
  <c r="D34" i="7"/>
  <c r="D28" i="2"/>
  <c r="D26" i="7"/>
  <c r="D41" i="2"/>
  <c r="D39" i="7"/>
  <c r="D26" i="2"/>
  <c r="D35" i="2"/>
  <c r="D33" i="7"/>
  <c r="D27" i="2"/>
  <c r="D25" i="7"/>
  <c r="D13" i="2"/>
  <c r="D12" i="7"/>
  <c r="Z16" i="5"/>
  <c r="AA16" i="5" s="1"/>
  <c r="D23" i="11" s="1"/>
  <c r="Z17" i="5"/>
  <c r="AA17" i="5" s="1"/>
  <c r="D24" i="11" s="1"/>
  <c r="Z6" i="5"/>
  <c r="AA6" i="5" s="1"/>
  <c r="D13" i="11" s="1"/>
  <c r="Y6" i="1"/>
  <c r="K6" i="1"/>
  <c r="X6" i="1"/>
  <c r="N6" i="1"/>
  <c r="D43" i="11" l="1"/>
  <c r="D29" i="2"/>
  <c r="D27" i="7"/>
  <c r="D6" i="7"/>
  <c r="D19" i="7"/>
  <c r="D14" i="2"/>
  <c r="D30" i="7"/>
  <c r="D13" i="7"/>
  <c r="D11" i="2"/>
  <c r="D6" i="2"/>
  <c r="AA4" i="5"/>
  <c r="D11" i="11" s="1"/>
  <c r="D44" i="2"/>
  <c r="D42" i="7"/>
  <c r="D31" i="7"/>
  <c r="D32" i="2"/>
  <c r="D33" i="2"/>
  <c r="D10" i="2"/>
  <c r="D20" i="2"/>
  <c r="D46" i="2"/>
  <c r="AA34" i="5"/>
  <c r="D41" i="11" s="1"/>
  <c r="AA22" i="5"/>
  <c r="D29" i="11" s="1"/>
  <c r="AA12" i="5"/>
  <c r="D19" i="11" s="1"/>
  <c r="AA15" i="5"/>
  <c r="D22" i="11" s="1"/>
  <c r="D44" i="7"/>
  <c r="D16" i="2"/>
  <c r="AA7" i="5"/>
  <c r="D14" i="11" s="1"/>
  <c r="D25" i="2"/>
  <c r="D24" i="7"/>
  <c r="D23" i="2"/>
  <c r="D22" i="7"/>
  <c r="D9" i="2"/>
  <c r="D8" i="7"/>
  <c r="D5" i="2"/>
  <c r="D4" i="7"/>
  <c r="S6" i="1"/>
  <c r="L6" i="1"/>
  <c r="D72" i="11" l="1"/>
  <c r="D5" i="7"/>
  <c r="D18" i="7"/>
  <c r="D19" i="2"/>
  <c r="D16" i="7"/>
  <c r="D21" i="7"/>
  <c r="D32" i="7"/>
  <c r="D22" i="2"/>
  <c r="D17" i="2"/>
  <c r="D34" i="2"/>
  <c r="D12" i="2"/>
  <c r="D11" i="7"/>
  <c r="Z6" i="1"/>
  <c r="D50" i="2" l="1"/>
  <c r="D48" i="7"/>
  <c r="AB6" i="1"/>
</calcChain>
</file>

<file path=xl/sharedStrings.xml><?xml version="1.0" encoding="utf-8"?>
<sst xmlns="http://schemas.openxmlformats.org/spreadsheetml/2006/main" count="1012" uniqueCount="323">
  <si>
    <t>Employee Name</t>
  </si>
  <si>
    <t>Employee ID</t>
  </si>
  <si>
    <t>Basic</t>
  </si>
  <si>
    <t>HRA</t>
  </si>
  <si>
    <t>Special Allowance</t>
  </si>
  <si>
    <t>Other Allowance</t>
  </si>
  <si>
    <t>Arrears</t>
  </si>
  <si>
    <t>Reimbursements</t>
  </si>
  <si>
    <t>Bonus/Incentive</t>
  </si>
  <si>
    <t>Gross Earnings</t>
  </si>
  <si>
    <t>Employee PF (12%)</t>
  </si>
  <si>
    <t>Employee ESI (0.75%)</t>
  </si>
  <si>
    <t>Professional Tax</t>
  </si>
  <si>
    <t>TDS</t>
  </si>
  <si>
    <t>LOP Deduction</t>
  </si>
  <si>
    <t>Other Deductions</t>
  </si>
  <si>
    <t>Total Deductions</t>
  </si>
  <si>
    <t>Net Salary Payable</t>
  </si>
  <si>
    <t>Employer PF (12%)</t>
  </si>
  <si>
    <t>Employer ESI (3.25%)</t>
  </si>
  <si>
    <t>Gratuity (4.81%)</t>
  </si>
  <si>
    <t>DOJ</t>
  </si>
  <si>
    <t>Calendar Days</t>
  </si>
  <si>
    <t>Paid Days</t>
  </si>
  <si>
    <t>LOP day's</t>
  </si>
  <si>
    <t>CTC</t>
  </si>
  <si>
    <t>Abhijeet Vijaysingh Pardeshi</t>
  </si>
  <si>
    <t>AGS26006</t>
  </si>
  <si>
    <t>Total</t>
  </si>
  <si>
    <t>Bank Account Number</t>
  </si>
  <si>
    <t>IFSC code</t>
  </si>
  <si>
    <t>BARB0WALUJX</t>
  </si>
  <si>
    <t>Bank Name</t>
  </si>
  <si>
    <t>BANK OF BARODA</t>
  </si>
  <si>
    <t xml:space="preserve">Total </t>
  </si>
  <si>
    <t>AGS26005</t>
  </si>
  <si>
    <t>AGS26004</t>
  </si>
  <si>
    <t>AGS26024</t>
  </si>
  <si>
    <t>Tanakala Janardhan</t>
  </si>
  <si>
    <t>Priya Darshini Pola</t>
  </si>
  <si>
    <t>PT</t>
  </si>
  <si>
    <t>Payable</t>
  </si>
  <si>
    <t>UBIN0815471</t>
  </si>
  <si>
    <t>Union Bank</t>
  </si>
  <si>
    <t>ICIC0007703</t>
  </si>
  <si>
    <t>ICICI Bank</t>
  </si>
  <si>
    <t>AGS26020</t>
  </si>
  <si>
    <t>Gurindapalli Krishna Chaitanya</t>
  </si>
  <si>
    <t>020201545829</t>
  </si>
  <si>
    <t>ICIC0000202</t>
  </si>
  <si>
    <t>HDFC0001042</t>
  </si>
  <si>
    <t>HDFC Bank</t>
  </si>
  <si>
    <t>Ande Sharath Chandra</t>
  </si>
  <si>
    <t>Actuals</t>
  </si>
  <si>
    <t>Gross Income</t>
  </si>
  <si>
    <t>Remarks</t>
  </si>
  <si>
    <t>AGS26011</t>
  </si>
  <si>
    <t>Siddula Hemasai</t>
  </si>
  <si>
    <t>AGS26018</t>
  </si>
  <si>
    <t>Settybathini Sathish</t>
  </si>
  <si>
    <t>AGS26010</t>
  </si>
  <si>
    <t>Vemula Varshith</t>
  </si>
  <si>
    <t>AGS26019</t>
  </si>
  <si>
    <t>Nelapatla Srinivas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</si>
  <si>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</si>
  <si>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</si>
  <si>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</si>
  <si>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</si>
  <si>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</si>
  <si>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</si>
  <si>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</si>
  <si>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</si>
  <si>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</si>
  <si>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</si>
  <si>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</si>
  <si>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</si>
  <si>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AGS26022</t>
  </si>
  <si>
    <t>Akkma Sai Teja</t>
  </si>
  <si>
    <t>AGS26023</t>
  </si>
  <si>
    <t>Bobbarala Varshini</t>
  </si>
  <si>
    <t>AGS26026</t>
  </si>
  <si>
    <t>Surampudi Roop Sai</t>
  </si>
  <si>
    <t>AGS26028</t>
  </si>
  <si>
    <t>Mohammed Abdul Moid</t>
  </si>
  <si>
    <t>AGS26029</t>
  </si>
  <si>
    <t>Mula Sai Preetham Goud</t>
  </si>
  <si>
    <t>AGS26030</t>
  </si>
  <si>
    <t>Sruthin Kumar Basa</t>
  </si>
  <si>
    <t>AGS26032</t>
  </si>
  <si>
    <t>Vempadapu Uday Sai Tarun</t>
  </si>
  <si>
    <t>AGS26033</t>
  </si>
  <si>
    <t>Kethavath Sai Raj</t>
  </si>
  <si>
    <t>AGS26034</t>
  </si>
  <si>
    <t>Sripada Shivakumar</t>
  </si>
  <si>
    <t>AGS26035</t>
  </si>
  <si>
    <t>Varakantham Surender Reddy</t>
  </si>
  <si>
    <t>AGS26038</t>
  </si>
  <si>
    <t>Ainala Saiesha</t>
  </si>
  <si>
    <t>AGS26039</t>
  </si>
  <si>
    <t>Esther Deva Priya</t>
  </si>
  <si>
    <t>Correction</t>
  </si>
  <si>
    <t>CNRB0003327</t>
  </si>
  <si>
    <t>Canara Bank</t>
  </si>
  <si>
    <t>HDFC0000075</t>
  </si>
  <si>
    <t>FDRL0007777</t>
  </si>
  <si>
    <t>SBIN0016293</t>
  </si>
  <si>
    <t>State Bank of India</t>
  </si>
  <si>
    <t>SBIN0003801</t>
  </si>
  <si>
    <t>INDB0000329</t>
  </si>
  <si>
    <t>INDUSIND BANK</t>
  </si>
  <si>
    <t>SBIN0008024</t>
  </si>
  <si>
    <t>HDFC0005175</t>
  </si>
  <si>
    <t>SBIN0000910</t>
  </si>
  <si>
    <t>IDIB000P121</t>
  </si>
  <si>
    <t>Indian Bank</t>
  </si>
  <si>
    <t>KKBK0007474</t>
  </si>
  <si>
    <t xml:space="preserve">Kotak </t>
  </si>
  <si>
    <t>KKBK0007462</t>
  </si>
  <si>
    <t>CNRB0004495</t>
  </si>
  <si>
    <t>SBIN0021227</t>
  </si>
  <si>
    <t>SBIN0008807</t>
  </si>
  <si>
    <t>HDFC0004480</t>
  </si>
  <si>
    <t>Federal Bank</t>
  </si>
  <si>
    <t>LOP</t>
  </si>
  <si>
    <t>HDFC0000545</t>
  </si>
  <si>
    <t>Sridhar</t>
  </si>
  <si>
    <t>KVBL0001446</t>
  </si>
  <si>
    <t>Karur Vysya Bank</t>
  </si>
  <si>
    <t>S.No</t>
  </si>
  <si>
    <t>Name</t>
  </si>
  <si>
    <t>No of Hours</t>
  </si>
  <si>
    <t>Cost per Hour</t>
  </si>
  <si>
    <t>Total Cost</t>
  </si>
  <si>
    <t>Sreekanth (Arjun)</t>
  </si>
  <si>
    <t>Ravi</t>
  </si>
  <si>
    <t>Venkatesh Salla</t>
  </si>
  <si>
    <t>Madhuri</t>
  </si>
  <si>
    <t>SBIN0008054</t>
  </si>
  <si>
    <t>SBIN0020959</t>
  </si>
  <si>
    <t>SBIN0020176</t>
  </si>
  <si>
    <t>AGS26041</t>
  </si>
  <si>
    <t>Sudhagani Sai Charan</t>
  </si>
  <si>
    <t>AGS26043</t>
  </si>
  <si>
    <t>Chebrolu Yashaswini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</si>
  <si>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</si>
  <si>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</si>
  <si>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</si>
  <si>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</si>
  <si>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</si>
  <si>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</si>
  <si>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</si>
  <si>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</si>
  <si>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</si>
  <si>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</si>
  <si>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AGS26055</t>
  </si>
  <si>
    <t>Cholleti Sai Kumar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</si>
  <si>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</si>
  <si>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</si>
  <si>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</si>
  <si>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</si>
  <si>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</si>
  <si>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</si>
  <si>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</si>
  <si>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</si>
  <si>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</si>
  <si>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</si>
  <si>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</si>
  <si>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</si>
  <si>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</si>
  <si>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</si>
  <si>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</si>
  <si>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</si>
  <si>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AGS26060</t>
  </si>
  <si>
    <t>Thallada Venkatasagar</t>
  </si>
  <si>
    <t>Naveen Pulikonda</t>
  </si>
  <si>
    <t>AGS26044</t>
  </si>
  <si>
    <t>SBI</t>
  </si>
  <si>
    <t>SBIN0011984</t>
  </si>
  <si>
    <t>ICIC0000008</t>
  </si>
  <si>
    <t>Federal bank</t>
  </si>
  <si>
    <t>FDRL0005556</t>
  </si>
  <si>
    <t>CNRB0007792</t>
  </si>
  <si>
    <t>ICIC0003867</t>
  </si>
  <si>
    <t>SBIN0021487</t>
  </si>
  <si>
    <t>Union Bank of India</t>
  </si>
  <si>
    <t>UBIN0826383</t>
  </si>
  <si>
    <t>Union Bank Of India</t>
  </si>
  <si>
    <t>SBIN0013071</t>
  </si>
  <si>
    <t>SBIN0008833</t>
  </si>
  <si>
    <t>SBIN0020908</t>
  </si>
  <si>
    <t>HDFC</t>
  </si>
  <si>
    <t>HDFC0009817</t>
  </si>
  <si>
    <t>Bank of Baroda</t>
  </si>
  <si>
    <t>BARB0SIDDIP</t>
  </si>
  <si>
    <t xml:space="preserve"> FDRL0005556</t>
  </si>
  <si>
    <t>HDFC0003665</t>
  </si>
  <si>
    <t>Chetna</t>
  </si>
  <si>
    <t>Akshay</t>
  </si>
  <si>
    <t>50100868298601</t>
  </si>
  <si>
    <t>UTIB0000008</t>
  </si>
  <si>
    <t>Axis Bank</t>
  </si>
  <si>
    <t>ICIC0001111</t>
  </si>
  <si>
    <t>Hold</t>
  </si>
  <si>
    <t>KONDAPALLY AKHIL</t>
  </si>
  <si>
    <t>SBIN0010328</t>
  </si>
  <si>
    <t>Manikonda Nagasurya Koundinya</t>
  </si>
  <si>
    <t>IOBA0001807</t>
  </si>
  <si>
    <t>Indian Overseas Bank</t>
  </si>
  <si>
    <t>AGS26073</t>
  </si>
  <si>
    <t>AGS26074</t>
  </si>
  <si>
    <t>Account holder Name</t>
  </si>
  <si>
    <t>ICIC0001806</t>
  </si>
  <si>
    <t>Sreekanth Koraboina</t>
  </si>
  <si>
    <t>ICIC0000053</t>
  </si>
  <si>
    <t>G Ravi Teja</t>
  </si>
  <si>
    <t>IDIB000C026</t>
  </si>
  <si>
    <t>K GOPINADH</t>
  </si>
  <si>
    <t>INDIAN BANK</t>
  </si>
  <si>
    <t>004001579702</t>
  </si>
  <si>
    <t>UTIB0003985</t>
  </si>
  <si>
    <t>KAKARLA PRASAD BABU</t>
  </si>
  <si>
    <t>ERGAMREDDY SARADHA</t>
  </si>
  <si>
    <t>SBIN0011121</t>
  </si>
  <si>
    <t>SBIN0020030</t>
  </si>
  <si>
    <t>Shweta Akshay Painjane</t>
  </si>
  <si>
    <t>FDRL0001555</t>
  </si>
  <si>
    <t>HDFC0000485</t>
  </si>
  <si>
    <t>GST</t>
  </si>
  <si>
    <t>HDFC0000364</t>
  </si>
  <si>
    <t>ODCET CONSULTANCY SERVICES PVT LTD
GST Number : 36AADCO5390F1ZD</t>
  </si>
  <si>
    <t>ZOHO Corporation Private Limited</t>
  </si>
  <si>
    <t>HDFC0001225</t>
  </si>
  <si>
    <t xml:space="preserve">ODCET CONSULTANCY SERVICES PVT LTD
</t>
  </si>
  <si>
    <t>ODCET</t>
  </si>
  <si>
    <t>AGS26061</t>
  </si>
  <si>
    <t>Indla Kiran Kumar</t>
  </si>
  <si>
    <t>AGS26062</t>
  </si>
  <si>
    <t>K Tharun Kumar Reddy</t>
  </si>
  <si>
    <t>AGS26063</t>
  </si>
  <si>
    <t>Bondada Jayanth</t>
  </si>
  <si>
    <t>AGS26065</t>
  </si>
  <si>
    <t>Boddupalli Krishna Prasad</t>
  </si>
  <si>
    <t>AGS26066</t>
  </si>
  <si>
    <t>Mohammad Sulthan</t>
  </si>
  <si>
    <t>AGS26067</t>
  </si>
  <si>
    <t>Md Imran Khan</t>
  </si>
  <si>
    <t>AGS26068</t>
  </si>
  <si>
    <t>Narmeta Srujanreddy</t>
  </si>
  <si>
    <t>AGS26069</t>
  </si>
  <si>
    <t>Neetapalli Sreekanth Reddy</t>
  </si>
  <si>
    <t>AGS26070</t>
  </si>
  <si>
    <t>Melath Ashwin</t>
  </si>
  <si>
    <t>AGS26072</t>
  </si>
  <si>
    <t>Mohd Sameer</t>
  </si>
  <si>
    <t>Boya Indrasena Naidu</t>
  </si>
  <si>
    <t>AGS26076</t>
  </si>
  <si>
    <t>Shaik Arif</t>
  </si>
  <si>
    <t>Bonus/
Incentive</t>
  </si>
  <si>
    <t>Actual Cost</t>
  </si>
  <si>
    <t>PUNB0181410</t>
  </si>
  <si>
    <t>Punjab National Bank</t>
  </si>
  <si>
    <t>SBIN0020248</t>
  </si>
  <si>
    <t>SBIN0020947</t>
  </si>
  <si>
    <t>Kalepu Vijay Kumar</t>
  </si>
  <si>
    <t xml:space="preserve">000801663119	</t>
  </si>
  <si>
    <t>FDRL0002352</t>
  </si>
  <si>
    <t>Hours/Days</t>
  </si>
  <si>
    <t>Cost per Hour/Day</t>
  </si>
  <si>
    <t>Unit</t>
  </si>
  <si>
    <t>Hours</t>
  </si>
  <si>
    <t>UBIN0822523</t>
  </si>
  <si>
    <t>1814100100000327</t>
  </si>
  <si>
    <t>AGS26077</t>
  </si>
  <si>
    <t>Batta Jyotsna</t>
  </si>
  <si>
    <t>AGS26078</t>
  </si>
  <si>
    <t>Kankanala Sravani</t>
  </si>
  <si>
    <t>AGS26079</t>
  </si>
  <si>
    <t>Vadicharla Sandeep Kumar</t>
  </si>
  <si>
    <t>AGS26080</t>
  </si>
  <si>
    <t>Thota Varsha</t>
  </si>
  <si>
    <t>AGS26081</t>
  </si>
  <si>
    <t>Shaik Faiza</t>
  </si>
  <si>
    <t>AGS26082</t>
  </si>
  <si>
    <t>Shaik Shaheen</t>
  </si>
  <si>
    <t>AGS26083</t>
  </si>
  <si>
    <t>Guduru Subhanbee</t>
  </si>
  <si>
    <t>AGS26084</t>
  </si>
  <si>
    <t>Yapakayala Sampath</t>
  </si>
  <si>
    <t>AGS26085</t>
  </si>
  <si>
    <t>Shaik Akram</t>
  </si>
  <si>
    <t>AGS26086</t>
  </si>
  <si>
    <t>Mesu Lion Kumar</t>
  </si>
  <si>
    <t>AGS26087</t>
  </si>
  <si>
    <t>Bashaboina Srilatha</t>
  </si>
  <si>
    <t>AGS26089</t>
  </si>
  <si>
    <t>Pothuraju Haritha</t>
  </si>
  <si>
    <t>AGS26090</t>
  </si>
  <si>
    <t>Tirupathi Anusha</t>
  </si>
  <si>
    <t>AGS26091</t>
  </si>
  <si>
    <t>Tepala Rajukumar</t>
  </si>
  <si>
    <t>FDRL0002324</t>
  </si>
  <si>
    <t>FDRL0001756</t>
  </si>
  <si>
    <t>FDRL0002457</t>
  </si>
  <si>
    <t>FDRL0002514</t>
  </si>
  <si>
    <t>FDRL0002371</t>
  </si>
  <si>
    <t>FDRL0001583</t>
  </si>
  <si>
    <t>FDRL0002478</t>
  </si>
  <si>
    <t>FDRL0001569</t>
  </si>
  <si>
    <t>AGS26088</t>
  </si>
  <si>
    <t>Budhi Vamshi</t>
  </si>
  <si>
    <t>FDRL0002307</t>
  </si>
  <si>
    <t>UTIB0002158</t>
  </si>
  <si>
    <t>Simeon</t>
  </si>
  <si>
    <t>Dharna</t>
  </si>
  <si>
    <t>IDIB000H561</t>
  </si>
  <si>
    <t>dharna ahuja</t>
  </si>
  <si>
    <t>indian bank</t>
  </si>
  <si>
    <t>SIMEON ABRAHAM iniganti</t>
  </si>
  <si>
    <t>SBIN0020884</t>
  </si>
  <si>
    <t>SBIN0063220</t>
  </si>
  <si>
    <t>Transfer</t>
  </si>
  <si>
    <t>Cash</t>
  </si>
  <si>
    <t>AGS26075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</si>
</sst>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9]dd\ mmm\ yy"/>
    <numFmt numFmtId="165" formatCode="0.00000000E+00"/>
  </numFmts>
  <fonts count="1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164" fontId="4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164" fontId="4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1" fontId="0" fillId="0" borderId="1" xfId="0" quotePrefix="1" applyNumberFormat="1" applyBorder="1" applyAlignment="1">
      <alignment horizontal="right"/>
    </xf>
    <xf numFmtId="0" fontId="0" fillId="2" borderId="1" xfId="0" applyFill="1" applyBorder="1" applyAlignment="1">
      <alignment wrapText="1"/>
    </xf>
    <xf numFmtId="1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" fontId="5" fillId="0" borderId="1" xfId="0" applyNumberFormat="1" applyFont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65" fontId="0" fillId="2" borderId="0" xfId="0" quotePrefix="1" applyNumberFormat="1" applyFill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6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15" fontId="6" fillId="0" borderId="1" xfId="0" applyNumberFormat="1" applyFont="1" applyBorder="1" applyAlignment="1">
      <alignment horizontal="left" vertical="top"/>
    </xf>
    <xf numFmtId="1" fontId="6" fillId="0" borderId="1" xfId="0" applyNumberFormat="1" applyFont="1" applyBorder="1"/>
    <xf numFmtId="0" fontId="6" fillId="0" borderId="1" xfId="0" applyFont="1" applyBorder="1"/>
    <xf numFmtId="1" fontId="0" fillId="2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1" fontId="0" fillId="0" borderId="1" xfId="0" quotePrefix="1" applyNumberFormat="1" applyBorder="1" applyAlignment="1">
      <alignment horizontal="left"/>
    </xf>
    <xf numFmtId="1" fontId="5" fillId="0" borderId="1" xfId="0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1" fontId="2" fillId="0" borderId="0" xfId="0" applyNumberFormat="1" applyFont="1" applyAlignment="1">
      <alignment horizontal="left"/>
    </xf>
    <xf numFmtId="0" fontId="10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1" fillId="0" borderId="1" xfId="0" applyFont="1" applyBorder="1"/>
    <xf numFmtId="0" fontId="12" fillId="3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15" fontId="14" fillId="0" borderId="1" xfId="0" applyNumberFormat="1" applyFont="1" applyBorder="1" applyAlignment="1">
      <alignment horizontal="left" vertical="top"/>
    </xf>
    <xf numFmtId="1" fontId="15" fillId="0" borderId="1" xfId="0" applyNumberFormat="1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1" fontId="14" fillId="0" borderId="1" xfId="0" applyNumberFormat="1" applyFont="1" applyBorder="1" applyAlignment="1">
      <alignment horizontal="left" vertical="top"/>
    </xf>
    <xf numFmtId="0" fontId="14" fillId="0" borderId="0" xfId="0" applyFont="1"/>
    <xf numFmtId="0" fontId="14" fillId="0" borderId="1" xfId="0" applyFont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wrapText="1"/>
    </xf>
    <xf numFmtId="0" fontId="15" fillId="0" borderId="1" xfId="0" applyFont="1" applyBorder="1"/>
    <xf numFmtId="15" fontId="14" fillId="0" borderId="3" xfId="0" applyNumberFormat="1" applyFont="1" applyBorder="1" applyAlignment="1">
      <alignment horizontal="left" vertical="top"/>
    </xf>
    <xf numFmtId="0" fontId="14" fillId="0" borderId="4" xfId="0" applyFont="1" applyBorder="1" applyAlignment="1">
      <alignment horizontal="left" vertical="top"/>
    </xf>
    <xf numFmtId="1" fontId="14" fillId="0" borderId="4" xfId="0" applyNumberFormat="1" applyFont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14" fontId="14" fillId="0" borderId="1" xfId="0" applyNumberFormat="1" applyFont="1" applyBorder="1" applyAlignment="1">
      <alignment horizontal="left" vertical="top"/>
    </xf>
    <xf numFmtId="14" fontId="14" fillId="0" borderId="4" xfId="0" applyNumberFormat="1" applyFont="1" applyBorder="1" applyAlignment="1">
      <alignment horizontal="left" vertical="top"/>
    </xf>
    <xf numFmtId="1" fontId="14" fillId="0" borderId="2" xfId="0" applyNumberFormat="1" applyFont="1" applyBorder="1" applyAlignment="1">
      <alignment horizontal="left" vertical="top"/>
    </xf>
    <xf numFmtId="0" fontId="14" fillId="4" borderId="1" xfId="0" applyFont="1" applyFill="1" applyBorder="1" applyAlignment="1">
      <alignment vertical="center" wrapText="1"/>
    </xf>
    <xf numFmtId="0" fontId="16" fillId="0" borderId="0" xfId="0" applyFont="1"/>
    <xf numFmtId="0" fontId="13" fillId="0" borderId="0" xfId="0" applyFont="1"/>
    <xf numFmtId="1" fontId="14" fillId="0" borderId="0" xfId="0" applyNumberFormat="1" applyFont="1"/>
    <xf numFmtId="1" fontId="13" fillId="0" borderId="0" xfId="0" applyNumberFormat="1" applyFont="1"/>
    <xf numFmtId="0" fontId="8" fillId="3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wrapText="1"/>
    </xf>
    <xf numFmtId="2" fontId="10" fillId="0" borderId="1" xfId="0" applyNumberFormat="1" applyFont="1" applyBorder="1" applyAlignment="1">
      <alignment horizontal="left"/>
    </xf>
    <xf numFmtId="164" fontId="10" fillId="0" borderId="1" xfId="0" applyNumberFormat="1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" xfId="0" applyFont="1" applyBorder="1"/>
    <xf numFmtId="164" fontId="11" fillId="0" borderId="1" xfId="0" applyNumberFormat="1" applyFont="1" applyBorder="1"/>
    <xf numFmtId="1" fontId="10" fillId="0" borderId="1" xfId="0" applyNumberFormat="1" applyFont="1" applyBorder="1"/>
    <xf numFmtId="0" fontId="9" fillId="0" borderId="0" xfId="0" applyFont="1"/>
    <xf numFmtId="1" fontId="9" fillId="0" borderId="0" xfId="0" applyNumberFormat="1" applyFont="1"/>
    <xf numFmtId="1" fontId="14" fillId="0" borderId="0" xfId="0" applyNumberFormat="1" applyFont="1" applyAlignment="1">
      <alignment horizontal="left" vertical="top"/>
    </xf>
    <xf numFmtId="0" fontId="2" fillId="0" borderId="5" xfId="0" applyFont="1" applyBorder="1"/>
    <xf numFmtId="1" fontId="1" fillId="0" borderId="1" xfId="0" applyNumberFormat="1" applyFont="1" applyBorder="1"/>
    <xf numFmtId="14" fontId="10" fillId="0" borderId="1" xfId="0" applyNumberFormat="1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17" fillId="0" borderId="6" xfId="0" applyFont="1" applyBorder="1" applyAlignment="1">
      <alignment horizontal="left"/>
    </xf>
    <xf numFmtId="0" fontId="0" fillId="0" borderId="7" xfId="0" applyBorder="1" applyAlignment="1">
      <alignment horizontal="left"/>
    </xf>
    <xf numFmtId="1" fontId="2" fillId="0" borderId="5" xfId="0" applyNumberFormat="1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1" fontId="10" fillId="0" borderId="1" xfId="0" quotePrefix="1" applyNumberFormat="1" applyFont="1" applyBorder="1" applyAlignment="1">
      <alignment horizontal="left"/>
    </xf>
    <xf numFmtId="0" fontId="2" fillId="5" borderId="1" xfId="0" applyFont="1" applyFill="1" applyBorder="1" applyAlignment="1">
      <alignment horizontal="center" vertical="top"/>
    </xf>
    <xf numFmtId="1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2" fillId="0" borderId="7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workbookViewId="0">
      <pane xSplit="3" ySplit="1" topLeftCell="P2" activePane="bottomRight" state="frozen"/>
      <selection pane="topRight" activeCell="D1" sqref="D1"/>
      <selection pane="bottomLeft" activeCell="A2" sqref="A2"/>
      <selection pane="bottomRight" activeCell="AA2" sqref="AA2"/>
    </sheetView>
  </sheetViews>
  <sheetFormatPr defaultColWidth="11.54296875" defaultRowHeight="14.5" x14ac:dyDescent="0.35"/>
  <cols>
    <col min="1" max="1" width="10.36328125" bestFit="1" customWidth="1"/>
    <col min="2" max="2" width="22.6328125" bestFit="1" customWidth="1"/>
    <col min="3" max="3" width="9.81640625" customWidth="1"/>
    <col min="4" max="4" width="11.08984375" customWidth="1"/>
    <col min="5" max="5" width="7.6328125" bestFit="1" customWidth="1"/>
    <col min="6" max="7" width="8.1796875" bestFit="1" customWidth="1"/>
    <col min="8" max="8" width="8.54296875" customWidth="1"/>
    <col min="9" max="9" width="8.90625" customWidth="1"/>
    <col min="10" max="11" width="8.81640625" bestFit="1" customWidth="1"/>
    <col min="12" max="12" width="11.08984375" bestFit="1" customWidth="1"/>
    <col min="13" max="13" width="10.54296875" bestFit="1" customWidth="1"/>
    <col min="14" max="14" width="10.90625" bestFit="1" customWidth="1"/>
    <col min="15" max="15" width="10.1796875" bestFit="1" customWidth="1"/>
    <col min="16" max="16" width="6.36328125" bestFit="1" customWidth="1"/>
    <col min="17" max="17" width="11.1796875" bestFit="1" customWidth="1"/>
    <col min="19" max="19" width="7.1796875" bestFit="1" customWidth="1"/>
    <col min="20" max="20" width="3.81640625" bestFit="1" customWidth="1"/>
    <col min="21" max="21" width="8.81640625" bestFit="1" customWidth="1"/>
    <col min="22" max="22" width="9.453125" bestFit="1" customWidth="1"/>
    <col min="23" max="23" width="10.1796875" bestFit="1" customWidth="1"/>
    <col min="24" max="24" width="10.6328125" bestFit="1" customWidth="1"/>
    <col min="25" max="25" width="7.08984375" bestFit="1" customWidth="1"/>
    <col min="26" max="26" width="9.453125" bestFit="1" customWidth="1"/>
    <col min="27" max="27" width="8.81640625" bestFit="1" customWidth="1"/>
    <col min="28" max="28" width="8.54296875" bestFit="1" customWidth="1"/>
  </cols>
  <sheetData>
    <row r="1" spans="1:28" s="85" customFormat="1" ht="39" x14ac:dyDescent="0.3">
      <c r="A1" s="84" t="s">
        <v>1</v>
      </c>
      <c r="B1" s="84" t="s">
        <v>0</v>
      </c>
      <c r="C1" s="84" t="s">
        <v>21</v>
      </c>
      <c r="D1" s="84" t="s">
        <v>25</v>
      </c>
      <c r="E1" s="84" t="s">
        <v>22</v>
      </c>
      <c r="F1" s="84" t="s">
        <v>23</v>
      </c>
      <c r="G1" s="84" t="s">
        <v>24</v>
      </c>
      <c r="H1" s="84" t="s">
        <v>2</v>
      </c>
      <c r="I1" s="84" t="s">
        <v>3</v>
      </c>
      <c r="J1" s="84" t="s">
        <v>4</v>
      </c>
      <c r="K1" s="84" t="s">
        <v>5</v>
      </c>
      <c r="L1" s="84" t="s">
        <v>54</v>
      </c>
      <c r="M1" s="84" t="s">
        <v>10</v>
      </c>
      <c r="N1" s="84" t="s">
        <v>11</v>
      </c>
      <c r="O1" s="84" t="s">
        <v>12</v>
      </c>
      <c r="P1" s="84" t="s">
        <v>6</v>
      </c>
      <c r="Q1" s="84" t="s">
        <v>7</v>
      </c>
      <c r="R1" s="84" t="s">
        <v>8</v>
      </c>
      <c r="S1" s="84" t="s">
        <v>9</v>
      </c>
      <c r="T1" s="84" t="s">
        <v>13</v>
      </c>
      <c r="U1" s="84" t="s">
        <v>14</v>
      </c>
      <c r="V1" s="84" t="s">
        <v>15</v>
      </c>
      <c r="W1" s="84" t="s">
        <v>18</v>
      </c>
      <c r="X1" s="84" t="s">
        <v>19</v>
      </c>
      <c r="Y1" s="84" t="s">
        <v>20</v>
      </c>
      <c r="Z1" s="84" t="s">
        <v>16</v>
      </c>
      <c r="AA1" s="84" t="s">
        <v>100</v>
      </c>
      <c r="AB1" s="84" t="s">
        <v>17</v>
      </c>
    </row>
    <row r="2" spans="1:28" s="90" customFormat="1" ht="13" x14ac:dyDescent="0.3">
      <c r="A2" s="86" t="s">
        <v>96</v>
      </c>
      <c r="B2" s="86" t="s">
        <v>97</v>
      </c>
      <c r="C2" s="87">
        <v>46086</v>
      </c>
      <c r="D2" s="89">
        <v>100000</v>
      </c>
      <c r="E2" s="89">
        <v>31</v>
      </c>
      <c r="F2" s="88">
        <f>E2-G2</f>
        <v>31</v>
      </c>
      <c r="G2" s="88">
        <v>0</v>
      </c>
      <c r="H2" s="88">
        <f>(+D2*49.99999%)/E2*F2</f>
        <v>49999.989999999991</v>
      </c>
      <c r="I2" s="88">
        <f>(H2*50%)</f>
        <v>24999.994999999995</v>
      </c>
      <c r="J2" s="88">
        <f>(1600/E2)*F2</f>
        <v>1600</v>
      </c>
      <c r="K2" s="88">
        <f>(L2-H2-I2-J2)</f>
        <v>19195.015000000014</v>
      </c>
      <c r="L2" s="88">
        <f>(D2-W2)/E2*F2-Y2</f>
        <v>95795</v>
      </c>
      <c r="M2" s="88">
        <f>IF($H2*0.12&gt;1800,1800,$H2*0.12)</f>
        <v>1800</v>
      </c>
      <c r="N2" s="88">
        <f>IF(L2&lt;=21000,L2*0.75%,0)</f>
        <v>0</v>
      </c>
      <c r="O2" s="88">
        <v>200</v>
      </c>
      <c r="P2" s="88">
        <v>0</v>
      </c>
      <c r="Q2" s="88"/>
      <c r="R2" s="88">
        <v>0</v>
      </c>
      <c r="S2" s="88">
        <f>L2+P2+Q2+R2</f>
        <v>95795</v>
      </c>
      <c r="T2" s="88">
        <v>0</v>
      </c>
      <c r="U2" s="88">
        <f>ROUND((L2/E2)*G2,0)</f>
        <v>0</v>
      </c>
      <c r="V2" s="88">
        <v>180</v>
      </c>
      <c r="W2" s="88">
        <f>IF($H2*0.12&gt;1800,1800,$H2*0.12)</f>
        <v>1800</v>
      </c>
      <c r="X2" s="88">
        <f>IF(L2&lt;=21000,L2*3.25%,0)</f>
        <v>0</v>
      </c>
      <c r="Y2" s="88">
        <v>2405</v>
      </c>
      <c r="Z2" s="88">
        <f>M2+N2+O2+V2+T2+W2+X2+Y2</f>
        <v>6385</v>
      </c>
      <c r="AA2" s="88"/>
      <c r="AB2" s="88">
        <f>L2-Z2+AA2+M2+Y2</f>
        <v>93615</v>
      </c>
    </row>
    <row r="3" spans="1:28" s="66" customFormat="1" ht="12" x14ac:dyDescent="0.3">
      <c r="H3" s="82"/>
    </row>
    <row r="4" spans="1:28" s="66" customFormat="1" ht="12" x14ac:dyDescent="0.3"/>
    <row r="5" spans="1:28" s="66" customFormat="1" ht="12" x14ac:dyDescent="0.3"/>
    <row r="6" spans="1:28" s="66" customFormat="1" ht="12" x14ac:dyDescent="0.3">
      <c r="C6" s="81" t="s">
        <v>28</v>
      </c>
      <c r="D6" s="82">
        <f>SUM(D2:D5)</f>
        <v>100000</v>
      </c>
      <c r="H6" s="82">
        <f t="shared" ref="H6:Z6" si="0">SUM(H2:H5)</f>
        <v>49999.989999999991</v>
      </c>
      <c r="I6" s="82">
        <f t="shared" si="0"/>
        <v>24999.994999999995</v>
      </c>
      <c r="J6" s="82">
        <f t="shared" si="0"/>
        <v>1600</v>
      </c>
      <c r="K6" s="82">
        <f t="shared" si="0"/>
        <v>19195.015000000014</v>
      </c>
      <c r="L6" s="82">
        <f t="shared" si="0"/>
        <v>95795</v>
      </c>
      <c r="M6" s="82">
        <f t="shared" si="0"/>
        <v>1800</v>
      </c>
      <c r="N6" s="82">
        <f t="shared" si="0"/>
        <v>0</v>
      </c>
      <c r="O6" s="82">
        <f t="shared" si="0"/>
        <v>200</v>
      </c>
      <c r="P6" s="82">
        <f t="shared" si="0"/>
        <v>0</v>
      </c>
      <c r="Q6" s="82">
        <f t="shared" si="0"/>
        <v>0</v>
      </c>
      <c r="R6" s="82">
        <f t="shared" si="0"/>
        <v>0</v>
      </c>
      <c r="S6" s="82">
        <f t="shared" si="0"/>
        <v>95795</v>
      </c>
      <c r="T6" s="82">
        <f t="shared" si="0"/>
        <v>0</v>
      </c>
      <c r="U6" s="82">
        <f t="shared" si="0"/>
        <v>0</v>
      </c>
      <c r="V6" s="82">
        <f t="shared" si="0"/>
        <v>180</v>
      </c>
      <c r="W6" s="82">
        <f t="shared" si="0"/>
        <v>1800</v>
      </c>
      <c r="X6" s="82">
        <f t="shared" si="0"/>
        <v>0</v>
      </c>
      <c r="Y6" s="82">
        <f t="shared" si="0"/>
        <v>2405</v>
      </c>
      <c r="Z6" s="82">
        <f t="shared" si="0"/>
        <v>6385</v>
      </c>
      <c r="AA6" s="82"/>
      <c r="AB6" s="83">
        <f>SUM(AB2:AB5)</f>
        <v>93615</v>
      </c>
    </row>
    <row r="7" spans="1:28" ht="15.5" x14ac:dyDescent="0.35">
      <c r="B7" s="80"/>
    </row>
    <row r="8" spans="1:28" x14ac:dyDescent="0.35">
      <c r="B8" s="6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7414-A3D1-4254-8A8C-87E636D1B006}">
  <dimension ref="A1:I8"/>
  <sheetViews>
    <sheetView workbookViewId="0">
      <selection activeCell="E14" sqref="E14"/>
    </sheetView>
  </sheetViews>
  <sheetFormatPr defaultRowHeight="14.5" x14ac:dyDescent="0.35"/>
  <cols>
    <col min="1" max="1" width="11.1796875" bestFit="1" customWidth="1"/>
    <col min="2" max="2" width="26.81640625" bestFit="1" customWidth="1"/>
    <col min="3" max="3" width="9.1796875" bestFit="1" customWidth="1"/>
    <col min="4" max="4" width="6.81640625" bestFit="1" customWidth="1"/>
    <col min="5" max="5" width="6.90625" bestFit="1" customWidth="1"/>
    <col min="6" max="6" width="4" bestFit="1" customWidth="1"/>
    <col min="7" max="7" width="5.08984375" bestFit="1" customWidth="1"/>
    <col min="8" max="8" width="7.36328125" bestFit="1" customWidth="1"/>
    <col min="9" max="9" width="6.90625" bestFit="1" customWidth="1"/>
  </cols>
  <sheetData>
    <row r="1" spans="1:9" x14ac:dyDescent="0.35">
      <c r="A1" s="84" t="s">
        <v>1</v>
      </c>
      <c r="B1" s="84" t="s">
        <v>0</v>
      </c>
      <c r="C1" s="84" t="s">
        <v>21</v>
      </c>
      <c r="D1" s="84" t="s">
        <v>25</v>
      </c>
      <c r="E1" s="84" t="s">
        <v>53</v>
      </c>
      <c r="F1" s="84" t="s">
        <v>13</v>
      </c>
      <c r="G1" s="84" t="s">
        <v>40</v>
      </c>
      <c r="H1" s="84" t="s">
        <v>41</v>
      </c>
      <c r="I1" s="84" t="s">
        <v>123</v>
      </c>
    </row>
    <row r="2" spans="1:9" x14ac:dyDescent="0.35">
      <c r="A2" s="56" t="s">
        <v>36</v>
      </c>
      <c r="B2" s="91" t="s">
        <v>52</v>
      </c>
      <c r="C2" s="92">
        <v>46055</v>
      </c>
      <c r="D2" s="91">
        <v>80000</v>
      </c>
      <c r="E2" s="91">
        <v>80000</v>
      </c>
      <c r="F2" s="91">
        <v>0</v>
      </c>
      <c r="G2" s="91">
        <v>200</v>
      </c>
      <c r="H2" s="93">
        <f t="shared" ref="H2:H7" si="0">E2-G2</f>
        <v>79800</v>
      </c>
      <c r="I2" s="93"/>
    </row>
    <row r="3" spans="1:9" x14ac:dyDescent="0.35">
      <c r="A3" s="56" t="s">
        <v>35</v>
      </c>
      <c r="B3" s="56" t="s">
        <v>38</v>
      </c>
      <c r="C3" s="92">
        <v>46055</v>
      </c>
      <c r="D3" s="91">
        <v>70000</v>
      </c>
      <c r="E3" s="91">
        <v>70000</v>
      </c>
      <c r="F3" s="91">
        <v>0</v>
      </c>
      <c r="G3" s="91">
        <v>200</v>
      </c>
      <c r="H3" s="93">
        <f t="shared" si="0"/>
        <v>69800</v>
      </c>
      <c r="I3" s="93"/>
    </row>
    <row r="4" spans="1:9" x14ac:dyDescent="0.35">
      <c r="A4" s="56" t="s">
        <v>37</v>
      </c>
      <c r="B4" s="56" t="s">
        <v>39</v>
      </c>
      <c r="C4" s="92">
        <v>46072</v>
      </c>
      <c r="D4" s="91">
        <v>80000</v>
      </c>
      <c r="E4" s="91">
        <v>80000</v>
      </c>
      <c r="F4" s="91">
        <v>0</v>
      </c>
      <c r="G4" s="91">
        <v>200</v>
      </c>
      <c r="H4" s="93">
        <f t="shared" si="0"/>
        <v>79800</v>
      </c>
      <c r="I4" s="93"/>
    </row>
    <row r="5" spans="1:9" x14ac:dyDescent="0.35">
      <c r="A5" s="54" t="s">
        <v>98</v>
      </c>
      <c r="B5" s="55" t="s">
        <v>99</v>
      </c>
      <c r="C5" s="92">
        <v>46092</v>
      </c>
      <c r="D5" s="91">
        <v>20000</v>
      </c>
      <c r="E5" s="91">
        <v>20000</v>
      </c>
      <c r="F5" s="91">
        <v>0</v>
      </c>
      <c r="G5" s="91">
        <v>200</v>
      </c>
      <c r="H5" s="93">
        <f t="shared" si="0"/>
        <v>19800</v>
      </c>
      <c r="I5" s="93"/>
    </row>
    <row r="6" spans="1:9" x14ac:dyDescent="0.35">
      <c r="A6" s="54" t="s">
        <v>298</v>
      </c>
      <c r="B6" s="55" t="s">
        <v>299</v>
      </c>
      <c r="C6" s="92">
        <v>46174</v>
      </c>
      <c r="D6" s="91">
        <v>10200</v>
      </c>
      <c r="E6" s="91">
        <v>10200</v>
      </c>
      <c r="F6" s="91">
        <v>0</v>
      </c>
      <c r="G6" s="91">
        <v>200</v>
      </c>
      <c r="H6" s="93">
        <f t="shared" si="0"/>
        <v>10000</v>
      </c>
      <c r="I6" s="93"/>
    </row>
    <row r="7" spans="1:9" x14ac:dyDescent="0.35">
      <c r="A7" s="54" t="s">
        <v>308</v>
      </c>
      <c r="B7" s="55" t="s">
        <v>309</v>
      </c>
      <c r="C7" s="92">
        <v>46174</v>
      </c>
      <c r="D7" s="91">
        <v>125000</v>
      </c>
      <c r="E7" s="91">
        <v>125000</v>
      </c>
      <c r="F7" s="91">
        <v>0</v>
      </c>
      <c r="G7" s="91">
        <v>200</v>
      </c>
      <c r="H7" s="93">
        <f t="shared" si="0"/>
        <v>124800</v>
      </c>
      <c r="I7" s="93"/>
    </row>
    <row r="8" spans="1:9" x14ac:dyDescent="0.35">
      <c r="G8" s="94" t="s">
        <v>28</v>
      </c>
      <c r="H8" s="95">
        <f>SUM(H3:H7)</f>
        <v>304200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E387-27D4-44EE-A3D1-5D19139B38CB}">
  <dimension ref="A1:AB51"/>
  <sheetViews>
    <sheetView zoomScale="115" zoomScaleNormal="115" workbookViewId="0">
      <pane xSplit="4" ySplit="1" topLeftCell="E35" activePane="bottomRight" state="frozen"/>
      <selection pane="topRight" activeCell="E1" sqref="E1"/>
      <selection pane="bottomLeft" activeCell="A2" sqref="A2"/>
      <selection pane="bottomRight" activeCell="A38" sqref="A38"/>
    </sheetView>
  </sheetViews>
  <sheetFormatPr defaultColWidth="8.81640625" defaultRowHeight="12" x14ac:dyDescent="0.35"/>
  <cols>
    <col min="1" max="1" width="9.453125" style="59" bestFit="1" customWidth="1"/>
    <col min="2" max="2" width="24.81640625" style="59" bestFit="1" customWidth="1"/>
    <col min="3" max="3" width="8.453125" style="59" bestFit="1" customWidth="1"/>
    <col min="4" max="4" width="5.81640625" style="59" bestFit="1" customWidth="1"/>
    <col min="5" max="5" width="6.90625" style="59" customWidth="1"/>
    <col min="6" max="6" width="4.08984375" style="59" bestFit="1" customWidth="1"/>
    <col min="7" max="7" width="3.81640625" style="59" bestFit="1" customWidth="1"/>
    <col min="8" max="9" width="4.90625" style="59" bestFit="1" customWidth="1"/>
    <col min="10" max="11" width="7.90625" style="59" bestFit="1" customWidth="1"/>
    <col min="12" max="12" width="6" style="59" bestFit="1" customWidth="1"/>
    <col min="13" max="14" width="7.6328125" style="59" bestFit="1" customWidth="1"/>
    <col min="15" max="15" width="9.1796875" style="59" bestFit="1" customWidth="1"/>
    <col min="16" max="16" width="5.81640625" style="59" bestFit="1" customWidth="1"/>
    <col min="17" max="17" width="12.36328125" style="59" bestFit="1" customWidth="1"/>
    <col min="18" max="18" width="6.36328125" style="59" bestFit="1" customWidth="1"/>
    <col min="19" max="19" width="6.6328125" style="59" bestFit="1" customWidth="1"/>
    <col min="20" max="20" width="3.453125" style="59" bestFit="1" customWidth="1"/>
    <col min="21" max="21" width="7" style="59" bestFit="1" customWidth="1"/>
    <col min="22" max="22" width="8.54296875" style="59" customWidth="1"/>
    <col min="23" max="24" width="7.36328125" style="59" bestFit="1" customWidth="1"/>
    <col min="25" max="25" width="6.36328125" style="59" bestFit="1" customWidth="1"/>
    <col min="26" max="26" width="7.90625" style="59" bestFit="1" customWidth="1"/>
    <col min="27" max="27" width="6.1796875" style="59" bestFit="1" customWidth="1"/>
    <col min="28" max="16384" width="8.81640625" style="59"/>
  </cols>
  <sheetData>
    <row r="1" spans="1:28" ht="48" x14ac:dyDescent="0.35">
      <c r="A1" s="57" t="s">
        <v>1</v>
      </c>
      <c r="B1" s="57" t="s">
        <v>0</v>
      </c>
      <c r="C1" s="57" t="s">
        <v>21</v>
      </c>
      <c r="D1" s="57" t="s">
        <v>25</v>
      </c>
      <c r="E1" s="75" t="s">
        <v>22</v>
      </c>
      <c r="F1" s="74" t="s">
        <v>23</v>
      </c>
      <c r="G1" s="74" t="s">
        <v>24</v>
      </c>
      <c r="H1" s="57" t="s">
        <v>2</v>
      </c>
      <c r="I1" s="57" t="s">
        <v>3</v>
      </c>
      <c r="J1" s="74" t="s">
        <v>4</v>
      </c>
      <c r="K1" s="74" t="s">
        <v>5</v>
      </c>
      <c r="L1" s="74" t="s">
        <v>54</v>
      </c>
      <c r="M1" s="74" t="s">
        <v>10</v>
      </c>
      <c r="N1" s="74" t="s">
        <v>11</v>
      </c>
      <c r="O1" s="74" t="s">
        <v>12</v>
      </c>
      <c r="P1" s="58" t="s">
        <v>6</v>
      </c>
      <c r="Q1" s="58" t="s">
        <v>7</v>
      </c>
      <c r="R1" s="75" t="s">
        <v>257</v>
      </c>
      <c r="S1" s="75" t="s">
        <v>9</v>
      </c>
      <c r="T1" s="57" t="s">
        <v>13</v>
      </c>
      <c r="U1" s="74" t="s">
        <v>14</v>
      </c>
      <c r="V1" s="74" t="s">
        <v>15</v>
      </c>
      <c r="W1" s="74" t="s">
        <v>18</v>
      </c>
      <c r="X1" s="74" t="s">
        <v>19</v>
      </c>
      <c r="Y1" s="74" t="s">
        <v>20</v>
      </c>
      <c r="Z1" s="74" t="s">
        <v>16</v>
      </c>
      <c r="AA1" s="74" t="s">
        <v>17</v>
      </c>
    </row>
    <row r="2" spans="1:28" x14ac:dyDescent="0.3">
      <c r="A2" s="60" t="s">
        <v>56</v>
      </c>
      <c r="B2" s="61" t="s">
        <v>57</v>
      </c>
      <c r="C2" s="62">
        <v>46083</v>
      </c>
      <c r="D2" s="63">
        <v>45000</v>
      </c>
      <c r="E2" s="64">
        <v>31</v>
      </c>
      <c r="F2" s="64">
        <f t="shared" ref="F2:F4" si="0">E2-G2</f>
        <v>31</v>
      </c>
      <c r="G2" s="64">
        <v>0</v>
      </c>
      <c r="H2" s="65">
        <f t="shared" ref="H2:H33" si="1">(+D2*49.99999%)/E2*F2</f>
        <v>22499.995499999997</v>
      </c>
      <c r="I2" s="65">
        <f t="shared" ref="I2:I36" si="2">(H2*50%)</f>
        <v>11249.997749999999</v>
      </c>
      <c r="J2" s="65">
        <f t="shared" ref="J2:J33" si="3">(1600/E2)*F2</f>
        <v>1600</v>
      </c>
      <c r="K2" s="65">
        <f t="shared" ref="K2:K36" si="4">(L2-H2-I2-J2)</f>
        <v>6767.7569664500079</v>
      </c>
      <c r="L2" s="65">
        <f t="shared" ref="L2:L33" si="5">(D2-W2)/E2*F2-Y2</f>
        <v>42117.750216450004</v>
      </c>
      <c r="M2" s="65">
        <f t="shared" ref="M2:M38" si="6">IF($H2*0.12&gt;1800,1800,$H2*0.12)</f>
        <v>1800</v>
      </c>
      <c r="N2" s="65">
        <f>IF(L2&lt;=21000,L2*0.75%,0)</f>
        <v>0</v>
      </c>
      <c r="O2" s="65">
        <v>200</v>
      </c>
      <c r="P2" s="65">
        <v>0</v>
      </c>
      <c r="Q2" s="65">
        <v>0</v>
      </c>
      <c r="R2" s="65">
        <v>0</v>
      </c>
      <c r="S2" s="65">
        <f t="shared" ref="S2:S36" si="7">L2+P2+Q2+R2</f>
        <v>42117.750216450004</v>
      </c>
      <c r="T2" s="65">
        <v>0</v>
      </c>
      <c r="U2" s="66">
        <f>ROUND((L2/E2)*G2,0)</f>
        <v>0</v>
      </c>
      <c r="V2" s="65">
        <v>0</v>
      </c>
      <c r="W2" s="65">
        <f t="shared" ref="W2:W38" si="8">IF($H2*0.12&gt;1800,1800,$H2*0.12)</f>
        <v>1800</v>
      </c>
      <c r="X2" s="65">
        <f t="shared" ref="X2:X13" si="9">IF(L2&lt;=21000,L2*3.25%,0)</f>
        <v>0</v>
      </c>
      <c r="Y2" s="65">
        <f t="shared" ref="Y2:Y32" si="10">H2*4.81%</f>
        <v>1082.2497835499998</v>
      </c>
      <c r="Z2" s="65">
        <f>M2+N2+O2+V2+T2+W2+X2+Y2</f>
        <v>4882.2497835499998</v>
      </c>
      <c r="AA2" s="65">
        <f>L2-Z2+Y2+W2+X2</f>
        <v>40117.750216450004</v>
      </c>
    </row>
    <row r="3" spans="1:28" x14ac:dyDescent="0.3">
      <c r="A3" s="60" t="s">
        <v>58</v>
      </c>
      <c r="B3" s="61" t="s">
        <v>59</v>
      </c>
      <c r="C3" s="62">
        <v>46083</v>
      </c>
      <c r="D3" s="63">
        <v>45000</v>
      </c>
      <c r="E3" s="64">
        <v>31</v>
      </c>
      <c r="F3" s="64">
        <f t="shared" si="0"/>
        <v>31</v>
      </c>
      <c r="G3" s="64">
        <v>0</v>
      </c>
      <c r="H3" s="65">
        <f t="shared" si="1"/>
        <v>22499.995499999997</v>
      </c>
      <c r="I3" s="65">
        <f t="shared" si="2"/>
        <v>11249.997749999999</v>
      </c>
      <c r="J3" s="65">
        <f t="shared" si="3"/>
        <v>1600</v>
      </c>
      <c r="K3" s="65">
        <f t="shared" si="4"/>
        <v>6767.7569664500079</v>
      </c>
      <c r="L3" s="65">
        <f t="shared" si="5"/>
        <v>42117.750216450004</v>
      </c>
      <c r="M3" s="65">
        <f t="shared" si="6"/>
        <v>1800</v>
      </c>
      <c r="N3" s="65">
        <f t="shared" ref="N3:N36" si="11">IF(L3&lt;=21000,L3*0.75%,0)</f>
        <v>0</v>
      </c>
      <c r="O3" s="65">
        <v>200</v>
      </c>
      <c r="P3" s="65">
        <v>0</v>
      </c>
      <c r="Q3" s="65">
        <v>0</v>
      </c>
      <c r="R3" s="65">
        <v>0</v>
      </c>
      <c r="S3" s="65">
        <f t="shared" si="7"/>
        <v>42117.750216450004</v>
      </c>
      <c r="T3" s="65">
        <v>0</v>
      </c>
      <c r="U3" s="66">
        <v>0</v>
      </c>
      <c r="V3" s="65">
        <v>0</v>
      </c>
      <c r="W3" s="65">
        <f t="shared" si="8"/>
        <v>1800</v>
      </c>
      <c r="X3" s="65">
        <f t="shared" si="9"/>
        <v>0</v>
      </c>
      <c r="Y3" s="65">
        <f t="shared" si="10"/>
        <v>1082.2497835499998</v>
      </c>
      <c r="Z3" s="65">
        <f t="shared" ref="Z3:Z32" si="12">M3+N3+O3+U3+V3+T3+W3+X3+Y3</f>
        <v>4882.2497835499998</v>
      </c>
      <c r="AA3" s="65">
        <f t="shared" ref="AA3:AA32" si="13">L3-Z3+Y3+W3</f>
        <v>40117.750216450004</v>
      </c>
      <c r="AB3" s="96"/>
    </row>
    <row r="4" spans="1:28" x14ac:dyDescent="0.3">
      <c r="A4" s="60" t="s">
        <v>60</v>
      </c>
      <c r="B4" s="61" t="s">
        <v>61</v>
      </c>
      <c r="C4" s="62">
        <v>46083</v>
      </c>
      <c r="D4" s="63">
        <v>60000</v>
      </c>
      <c r="E4" s="64">
        <v>31</v>
      </c>
      <c r="F4" s="64">
        <f t="shared" si="0"/>
        <v>31</v>
      </c>
      <c r="G4" s="64">
        <v>0</v>
      </c>
      <c r="H4" s="65">
        <f t="shared" si="1"/>
        <v>29999.993999999995</v>
      </c>
      <c r="I4" s="65">
        <f t="shared" si="2"/>
        <v>14999.996999999998</v>
      </c>
      <c r="J4" s="65">
        <f t="shared" si="3"/>
        <v>1600</v>
      </c>
      <c r="K4" s="65">
        <f t="shared" si="4"/>
        <v>10157.009288600007</v>
      </c>
      <c r="L4" s="65">
        <f t="shared" si="5"/>
        <v>56757.0002886</v>
      </c>
      <c r="M4" s="65">
        <f t="shared" si="6"/>
        <v>1800</v>
      </c>
      <c r="N4" s="65">
        <f t="shared" si="11"/>
        <v>0</v>
      </c>
      <c r="O4" s="65">
        <v>200</v>
      </c>
      <c r="P4" s="65">
        <v>0</v>
      </c>
      <c r="Q4" s="65">
        <v>0</v>
      </c>
      <c r="R4" s="65">
        <v>0</v>
      </c>
      <c r="S4" s="65">
        <f t="shared" si="7"/>
        <v>56757.0002886</v>
      </c>
      <c r="T4" s="65">
        <v>0</v>
      </c>
      <c r="U4" s="66">
        <f t="shared" ref="U4:U11" si="14">ROUND((L4/E4)*G4,0)</f>
        <v>0</v>
      </c>
      <c r="V4" s="65">
        <v>0</v>
      </c>
      <c r="W4" s="65">
        <f t="shared" si="8"/>
        <v>1800</v>
      </c>
      <c r="X4" s="65">
        <f t="shared" si="9"/>
        <v>0</v>
      </c>
      <c r="Y4" s="65">
        <f t="shared" si="10"/>
        <v>1442.9997113999996</v>
      </c>
      <c r="Z4" s="65">
        <f t="shared" si="12"/>
        <v>5242.9997113999998</v>
      </c>
      <c r="AA4" s="65">
        <f t="shared" si="13"/>
        <v>54757.0002886</v>
      </c>
    </row>
    <row r="5" spans="1:28" x14ac:dyDescent="0.3">
      <c r="A5" s="60" t="s">
        <v>62</v>
      </c>
      <c r="B5" s="61" t="s">
        <v>63</v>
      </c>
      <c r="C5" s="62">
        <v>46083</v>
      </c>
      <c r="D5" s="63">
        <v>23000</v>
      </c>
      <c r="E5" s="64">
        <v>31</v>
      </c>
      <c r="F5" s="64">
        <f t="shared" ref="F5" si="15">E5-G5</f>
        <v>31</v>
      </c>
      <c r="G5" s="64">
        <v>0</v>
      </c>
      <c r="H5" s="65">
        <f t="shared" si="1"/>
        <v>11499.997699999998</v>
      </c>
      <c r="I5" s="65">
        <f t="shared" si="2"/>
        <v>5749.998849999999</v>
      </c>
      <c r="J5" s="65">
        <f t="shared" si="3"/>
        <v>1600</v>
      </c>
      <c r="K5" s="65">
        <f t="shared" si="4"/>
        <v>2216.8538366300008</v>
      </c>
      <c r="L5" s="65">
        <f t="shared" si="5"/>
        <v>21066.850386629998</v>
      </c>
      <c r="M5" s="65">
        <f t="shared" si="6"/>
        <v>1379.9997239999998</v>
      </c>
      <c r="N5" s="65">
        <f t="shared" si="11"/>
        <v>0</v>
      </c>
      <c r="O5" s="65">
        <v>200</v>
      </c>
      <c r="P5" s="65">
        <v>0</v>
      </c>
      <c r="Q5" s="65">
        <v>0</v>
      </c>
      <c r="R5" s="65">
        <v>0</v>
      </c>
      <c r="S5" s="65">
        <f t="shared" si="7"/>
        <v>21066.850386629998</v>
      </c>
      <c r="T5" s="65">
        <v>0</v>
      </c>
      <c r="U5" s="66">
        <f t="shared" si="14"/>
        <v>0</v>
      </c>
      <c r="V5" s="65">
        <v>0</v>
      </c>
      <c r="W5" s="65">
        <f t="shared" si="8"/>
        <v>1379.9997239999998</v>
      </c>
      <c r="X5" s="65">
        <f t="shared" si="9"/>
        <v>0</v>
      </c>
      <c r="Y5" s="65">
        <f t="shared" si="10"/>
        <v>553.14988936999987</v>
      </c>
      <c r="Z5" s="65">
        <f t="shared" si="12"/>
        <v>3513.1493373699996</v>
      </c>
      <c r="AA5" s="65">
        <f t="shared" si="13"/>
        <v>19486.85066263</v>
      </c>
    </row>
    <row r="6" spans="1:28" x14ac:dyDescent="0.3">
      <c r="A6" s="60" t="s">
        <v>64</v>
      </c>
      <c r="B6" s="61" t="s">
        <v>65</v>
      </c>
      <c r="C6" s="62">
        <v>46083</v>
      </c>
      <c r="D6" s="65">
        <v>50000</v>
      </c>
      <c r="E6" s="64">
        <v>31</v>
      </c>
      <c r="F6" s="64">
        <f t="shared" ref="F6:F12" si="16">E6-G6</f>
        <v>31</v>
      </c>
      <c r="G6" s="64">
        <v>0</v>
      </c>
      <c r="H6" s="65">
        <f t="shared" si="1"/>
        <v>24999.994999999995</v>
      </c>
      <c r="I6" s="65">
        <f t="shared" si="2"/>
        <v>12499.997499999998</v>
      </c>
      <c r="J6" s="65">
        <f t="shared" si="3"/>
        <v>1600</v>
      </c>
      <c r="K6" s="65">
        <f t="shared" si="4"/>
        <v>7897.5077405000047</v>
      </c>
      <c r="L6" s="65">
        <f t="shared" si="5"/>
        <v>46997.500240499998</v>
      </c>
      <c r="M6" s="65">
        <f t="shared" si="6"/>
        <v>1800</v>
      </c>
      <c r="N6" s="65">
        <f t="shared" si="11"/>
        <v>0</v>
      </c>
      <c r="O6" s="65">
        <v>200</v>
      </c>
      <c r="P6" s="65">
        <v>0</v>
      </c>
      <c r="Q6" s="65">
        <v>0</v>
      </c>
      <c r="R6" s="65">
        <v>0</v>
      </c>
      <c r="S6" s="65">
        <f t="shared" si="7"/>
        <v>46997.500240499998</v>
      </c>
      <c r="T6" s="65">
        <v>0</v>
      </c>
      <c r="U6" s="66">
        <f t="shared" si="14"/>
        <v>0</v>
      </c>
      <c r="V6" s="65">
        <v>0</v>
      </c>
      <c r="W6" s="65">
        <f t="shared" si="8"/>
        <v>1800</v>
      </c>
      <c r="X6" s="65">
        <f t="shared" si="9"/>
        <v>0</v>
      </c>
      <c r="Y6" s="65">
        <f t="shared" si="10"/>
        <v>1202.4997594999998</v>
      </c>
      <c r="Z6" s="65">
        <f t="shared" si="12"/>
        <v>5002.4997594999995</v>
      </c>
      <c r="AA6" s="65">
        <f t="shared" si="13"/>
        <v>44997.500240499998</v>
      </c>
    </row>
    <row r="7" spans="1:28" x14ac:dyDescent="0.3">
      <c r="A7" s="60" t="s">
        <v>66</v>
      </c>
      <c r="B7" s="61" t="s">
        <v>67</v>
      </c>
      <c r="C7" s="62">
        <v>46083</v>
      </c>
      <c r="D7" s="63">
        <v>45000</v>
      </c>
      <c r="E7" s="64">
        <v>31</v>
      </c>
      <c r="F7" s="64">
        <f t="shared" si="16"/>
        <v>31</v>
      </c>
      <c r="G7" s="64">
        <v>0</v>
      </c>
      <c r="H7" s="65">
        <f t="shared" si="1"/>
        <v>22499.995499999997</v>
      </c>
      <c r="I7" s="65">
        <f t="shared" si="2"/>
        <v>11249.997749999999</v>
      </c>
      <c r="J7" s="65">
        <f t="shared" si="3"/>
        <v>1600</v>
      </c>
      <c r="K7" s="65">
        <f t="shared" si="4"/>
        <v>6767.7569664500079</v>
      </c>
      <c r="L7" s="65">
        <f t="shared" si="5"/>
        <v>42117.750216450004</v>
      </c>
      <c r="M7" s="65">
        <f t="shared" si="6"/>
        <v>1800</v>
      </c>
      <c r="N7" s="65">
        <f t="shared" si="11"/>
        <v>0</v>
      </c>
      <c r="O7" s="65">
        <v>200</v>
      </c>
      <c r="P7" s="65">
        <v>0</v>
      </c>
      <c r="Q7" s="65">
        <v>0</v>
      </c>
      <c r="R7" s="65">
        <v>0</v>
      </c>
      <c r="S7" s="65">
        <f t="shared" si="7"/>
        <v>42117.750216450004</v>
      </c>
      <c r="T7" s="65">
        <v>0</v>
      </c>
      <c r="U7" s="66">
        <f t="shared" si="14"/>
        <v>0</v>
      </c>
      <c r="V7" s="65">
        <v>0</v>
      </c>
      <c r="W7" s="65">
        <f t="shared" si="8"/>
        <v>1800</v>
      </c>
      <c r="X7" s="65">
        <f t="shared" si="9"/>
        <v>0</v>
      </c>
      <c r="Y7" s="65">
        <f t="shared" si="10"/>
        <v>1082.2497835499998</v>
      </c>
      <c r="Z7" s="65">
        <f t="shared" si="12"/>
        <v>4882.2497835499998</v>
      </c>
      <c r="AA7" s="65">
        <f t="shared" si="13"/>
        <v>40117.750216450004</v>
      </c>
    </row>
    <row r="8" spans="1:28" x14ac:dyDescent="0.3">
      <c r="A8" s="60" t="s">
        <v>68</v>
      </c>
      <c r="B8" s="61" t="s">
        <v>69</v>
      </c>
      <c r="C8" s="62">
        <v>46083</v>
      </c>
      <c r="D8" s="63">
        <v>45000</v>
      </c>
      <c r="E8" s="64">
        <v>31</v>
      </c>
      <c r="F8" s="64">
        <f t="shared" si="16"/>
        <v>31</v>
      </c>
      <c r="G8" s="64">
        <v>0</v>
      </c>
      <c r="H8" s="65">
        <f t="shared" si="1"/>
        <v>22499.995499999997</v>
      </c>
      <c r="I8" s="65">
        <f t="shared" si="2"/>
        <v>11249.997749999999</v>
      </c>
      <c r="J8" s="65">
        <f t="shared" si="3"/>
        <v>1600</v>
      </c>
      <c r="K8" s="65">
        <f t="shared" si="4"/>
        <v>6767.7569664500079</v>
      </c>
      <c r="L8" s="65">
        <f t="shared" si="5"/>
        <v>42117.750216450004</v>
      </c>
      <c r="M8" s="65">
        <f t="shared" si="6"/>
        <v>1800</v>
      </c>
      <c r="N8" s="65">
        <f t="shared" si="11"/>
        <v>0</v>
      </c>
      <c r="O8" s="65">
        <v>200</v>
      </c>
      <c r="P8" s="65">
        <v>0</v>
      </c>
      <c r="Q8" s="65">
        <v>0</v>
      </c>
      <c r="R8" s="65">
        <v>0</v>
      </c>
      <c r="S8" s="65">
        <f t="shared" si="7"/>
        <v>42117.750216450004</v>
      </c>
      <c r="T8" s="65">
        <v>0</v>
      </c>
      <c r="U8" s="66">
        <f t="shared" si="14"/>
        <v>0</v>
      </c>
      <c r="V8" s="65">
        <v>0</v>
      </c>
      <c r="W8" s="65">
        <f t="shared" si="8"/>
        <v>1800</v>
      </c>
      <c r="X8" s="65">
        <f t="shared" si="9"/>
        <v>0</v>
      </c>
      <c r="Y8" s="65">
        <f t="shared" si="10"/>
        <v>1082.2497835499998</v>
      </c>
      <c r="Z8" s="65">
        <f t="shared" si="12"/>
        <v>4882.2497835499998</v>
      </c>
      <c r="AA8" s="65">
        <f t="shared" si="13"/>
        <v>40117.750216450004</v>
      </c>
    </row>
    <row r="9" spans="1:28" x14ac:dyDescent="0.3">
      <c r="A9" s="60" t="s">
        <v>70</v>
      </c>
      <c r="B9" s="61" t="s">
        <v>71</v>
      </c>
      <c r="C9" s="62">
        <v>46083</v>
      </c>
      <c r="D9" s="63">
        <v>45000</v>
      </c>
      <c r="E9" s="64">
        <v>31</v>
      </c>
      <c r="F9" s="64">
        <f t="shared" si="16"/>
        <v>31</v>
      </c>
      <c r="G9" s="64">
        <v>0</v>
      </c>
      <c r="H9" s="65">
        <f t="shared" si="1"/>
        <v>22499.995499999997</v>
      </c>
      <c r="I9" s="65">
        <f t="shared" si="2"/>
        <v>11249.997749999999</v>
      </c>
      <c r="J9" s="65">
        <f t="shared" si="3"/>
        <v>1600</v>
      </c>
      <c r="K9" s="65">
        <f t="shared" si="4"/>
        <v>6767.7569664500079</v>
      </c>
      <c r="L9" s="65">
        <f t="shared" si="5"/>
        <v>42117.750216450004</v>
      </c>
      <c r="M9" s="65">
        <f t="shared" si="6"/>
        <v>1800</v>
      </c>
      <c r="N9" s="65">
        <f t="shared" si="11"/>
        <v>0</v>
      </c>
      <c r="O9" s="65">
        <v>200</v>
      </c>
      <c r="P9" s="65">
        <v>0</v>
      </c>
      <c r="Q9" s="65">
        <v>0</v>
      </c>
      <c r="R9" s="65">
        <v>0</v>
      </c>
      <c r="S9" s="65">
        <f t="shared" si="7"/>
        <v>42117.750216450004</v>
      </c>
      <c r="T9" s="65">
        <v>0</v>
      </c>
      <c r="U9" s="66">
        <f t="shared" si="14"/>
        <v>0</v>
      </c>
      <c r="V9" s="65">
        <v>0</v>
      </c>
      <c r="W9" s="65">
        <f t="shared" si="8"/>
        <v>1800</v>
      </c>
      <c r="X9" s="65">
        <f t="shared" si="9"/>
        <v>0</v>
      </c>
      <c r="Y9" s="65">
        <f t="shared" si="10"/>
        <v>1082.2497835499998</v>
      </c>
      <c r="Z9" s="65">
        <f>M9+N9+O9+V9+T9+W9+X9+Y9</f>
        <v>4882.2497835499998</v>
      </c>
      <c r="AA9" s="65">
        <f t="shared" si="13"/>
        <v>40117.750216450004</v>
      </c>
    </row>
    <row r="10" spans="1:28" x14ac:dyDescent="0.3">
      <c r="A10" s="60" t="s">
        <v>72</v>
      </c>
      <c r="B10" s="61" t="s">
        <v>73</v>
      </c>
      <c r="C10" s="62">
        <v>46083</v>
      </c>
      <c r="D10" s="63">
        <v>45000</v>
      </c>
      <c r="E10" s="64">
        <v>31</v>
      </c>
      <c r="F10" s="64">
        <f t="shared" si="16"/>
        <v>31</v>
      </c>
      <c r="G10" s="64">
        <v>0</v>
      </c>
      <c r="H10" s="65">
        <f t="shared" si="1"/>
        <v>22499.995499999997</v>
      </c>
      <c r="I10" s="65">
        <f t="shared" si="2"/>
        <v>11249.997749999999</v>
      </c>
      <c r="J10" s="65">
        <f t="shared" si="3"/>
        <v>1600</v>
      </c>
      <c r="K10" s="65">
        <f t="shared" si="4"/>
        <v>6767.7569664500079</v>
      </c>
      <c r="L10" s="65">
        <f t="shared" si="5"/>
        <v>42117.750216450004</v>
      </c>
      <c r="M10" s="65">
        <f t="shared" si="6"/>
        <v>1800</v>
      </c>
      <c r="N10" s="65">
        <f t="shared" si="11"/>
        <v>0</v>
      </c>
      <c r="O10" s="65">
        <v>200</v>
      </c>
      <c r="P10" s="65">
        <v>0</v>
      </c>
      <c r="Q10" s="65">
        <v>0</v>
      </c>
      <c r="R10" s="65">
        <v>0</v>
      </c>
      <c r="S10" s="65">
        <f t="shared" si="7"/>
        <v>42117.750216450004</v>
      </c>
      <c r="T10" s="65">
        <v>0</v>
      </c>
      <c r="U10" s="66">
        <f t="shared" si="14"/>
        <v>0</v>
      </c>
      <c r="V10" s="65">
        <v>0</v>
      </c>
      <c r="W10" s="65">
        <f t="shared" si="8"/>
        <v>1800</v>
      </c>
      <c r="X10" s="65">
        <f t="shared" si="9"/>
        <v>0</v>
      </c>
      <c r="Y10" s="65">
        <f t="shared" si="10"/>
        <v>1082.2497835499998</v>
      </c>
      <c r="Z10" s="65">
        <f t="shared" si="12"/>
        <v>4882.2497835499998</v>
      </c>
      <c r="AA10" s="65">
        <f t="shared" si="13"/>
        <v>40117.750216450004</v>
      </c>
    </row>
    <row r="11" spans="1:28" x14ac:dyDescent="0.3">
      <c r="A11" s="60" t="s">
        <v>74</v>
      </c>
      <c r="B11" s="61" t="s">
        <v>75</v>
      </c>
      <c r="C11" s="62">
        <v>46083</v>
      </c>
      <c r="D11" s="63">
        <v>50000</v>
      </c>
      <c r="E11" s="64">
        <v>31</v>
      </c>
      <c r="F11" s="64">
        <f t="shared" si="16"/>
        <v>31</v>
      </c>
      <c r="G11" s="64">
        <v>0</v>
      </c>
      <c r="H11" s="65">
        <f t="shared" si="1"/>
        <v>24999.994999999995</v>
      </c>
      <c r="I11" s="65">
        <f t="shared" si="2"/>
        <v>12499.997499999998</v>
      </c>
      <c r="J11" s="65">
        <f t="shared" si="3"/>
        <v>1600</v>
      </c>
      <c r="K11" s="65">
        <f t="shared" si="4"/>
        <v>7897.5077405000047</v>
      </c>
      <c r="L11" s="65">
        <f t="shared" si="5"/>
        <v>46997.500240499998</v>
      </c>
      <c r="M11" s="65">
        <f t="shared" si="6"/>
        <v>1800</v>
      </c>
      <c r="N11" s="65">
        <f t="shared" si="11"/>
        <v>0</v>
      </c>
      <c r="O11" s="65">
        <v>200</v>
      </c>
      <c r="P11" s="65">
        <v>0</v>
      </c>
      <c r="Q11" s="65">
        <v>0</v>
      </c>
      <c r="R11" s="65">
        <v>0</v>
      </c>
      <c r="S11" s="65">
        <f t="shared" si="7"/>
        <v>46997.500240499998</v>
      </c>
      <c r="T11" s="65">
        <v>0</v>
      </c>
      <c r="U11" s="66">
        <f t="shared" si="14"/>
        <v>0</v>
      </c>
      <c r="V11" s="65">
        <v>0</v>
      </c>
      <c r="W11" s="65">
        <f t="shared" si="8"/>
        <v>1800</v>
      </c>
      <c r="X11" s="65">
        <f t="shared" si="9"/>
        <v>0</v>
      </c>
      <c r="Y11" s="65">
        <f t="shared" si="10"/>
        <v>1202.4997594999998</v>
      </c>
      <c r="Z11" s="65">
        <f t="shared" si="12"/>
        <v>5002.4997594999995</v>
      </c>
      <c r="AA11" s="65">
        <f t="shared" si="13"/>
        <v>44997.500240499998</v>
      </c>
    </row>
    <row r="12" spans="1:28" x14ac:dyDescent="0.3">
      <c r="A12" s="60" t="s">
        <v>78</v>
      </c>
      <c r="B12" s="61" t="s">
        <v>79</v>
      </c>
      <c r="C12" s="62">
        <v>46083</v>
      </c>
      <c r="D12" s="63">
        <v>60000</v>
      </c>
      <c r="E12" s="64">
        <v>31</v>
      </c>
      <c r="F12" s="64">
        <f t="shared" si="16"/>
        <v>31</v>
      </c>
      <c r="G12" s="64">
        <v>0</v>
      </c>
      <c r="H12" s="65">
        <f t="shared" si="1"/>
        <v>29999.993999999995</v>
      </c>
      <c r="I12" s="65">
        <f t="shared" si="2"/>
        <v>14999.996999999998</v>
      </c>
      <c r="J12" s="65">
        <f t="shared" si="3"/>
        <v>1600</v>
      </c>
      <c r="K12" s="65">
        <f t="shared" si="4"/>
        <v>10157.009288600007</v>
      </c>
      <c r="L12" s="65">
        <f t="shared" si="5"/>
        <v>56757.0002886</v>
      </c>
      <c r="M12" s="65">
        <f t="shared" si="6"/>
        <v>1800</v>
      </c>
      <c r="N12" s="65">
        <f t="shared" si="11"/>
        <v>0</v>
      </c>
      <c r="O12" s="65">
        <v>200</v>
      </c>
      <c r="P12" s="65">
        <v>0</v>
      </c>
      <c r="Q12" s="65">
        <v>0</v>
      </c>
      <c r="R12" s="65">
        <v>0</v>
      </c>
      <c r="S12" s="65">
        <f t="shared" si="7"/>
        <v>56757.0002886</v>
      </c>
      <c r="T12" s="65">
        <v>0</v>
      </c>
      <c r="U12" s="66">
        <v>0</v>
      </c>
      <c r="V12" s="65">
        <v>0</v>
      </c>
      <c r="W12" s="65">
        <f t="shared" si="8"/>
        <v>1800</v>
      </c>
      <c r="X12" s="65">
        <f t="shared" si="9"/>
        <v>0</v>
      </c>
      <c r="Y12" s="65">
        <f t="shared" si="10"/>
        <v>1442.9997113999996</v>
      </c>
      <c r="Z12" s="65">
        <f t="shared" si="12"/>
        <v>5242.9997113999998</v>
      </c>
      <c r="AA12" s="65">
        <f t="shared" si="13"/>
        <v>54757.0002886</v>
      </c>
    </row>
    <row r="13" spans="1:28" x14ac:dyDescent="0.3">
      <c r="A13" s="60" t="s">
        <v>80</v>
      </c>
      <c r="B13" s="61" t="s">
        <v>81</v>
      </c>
      <c r="C13" s="62">
        <v>46083</v>
      </c>
      <c r="D13" s="63">
        <v>60000</v>
      </c>
      <c r="E13" s="64">
        <v>31</v>
      </c>
      <c r="F13" s="64">
        <f t="shared" ref="F13:F50" si="17">E13-G13</f>
        <v>31</v>
      </c>
      <c r="G13" s="64">
        <v>0</v>
      </c>
      <c r="H13" s="65">
        <f t="shared" si="1"/>
        <v>29999.993999999995</v>
      </c>
      <c r="I13" s="65">
        <f t="shared" si="2"/>
        <v>14999.996999999998</v>
      </c>
      <c r="J13" s="65">
        <f t="shared" si="3"/>
        <v>1600</v>
      </c>
      <c r="K13" s="65">
        <f t="shared" si="4"/>
        <v>10157.009288600007</v>
      </c>
      <c r="L13" s="65">
        <f t="shared" si="5"/>
        <v>56757.0002886</v>
      </c>
      <c r="M13" s="65">
        <f t="shared" si="6"/>
        <v>1800</v>
      </c>
      <c r="N13" s="65">
        <f t="shared" si="11"/>
        <v>0</v>
      </c>
      <c r="O13" s="65">
        <v>200</v>
      </c>
      <c r="P13" s="65">
        <v>0</v>
      </c>
      <c r="Q13" s="65">
        <v>0</v>
      </c>
      <c r="R13" s="65">
        <v>0</v>
      </c>
      <c r="S13" s="65">
        <f t="shared" si="7"/>
        <v>56757.0002886</v>
      </c>
      <c r="T13" s="65">
        <v>0</v>
      </c>
      <c r="U13" s="66">
        <f>ROUND((L13/E13)*G13,0)</f>
        <v>0</v>
      </c>
      <c r="V13" s="65">
        <v>0</v>
      </c>
      <c r="W13" s="65">
        <f t="shared" si="8"/>
        <v>1800</v>
      </c>
      <c r="X13" s="65">
        <f t="shared" si="9"/>
        <v>0</v>
      </c>
      <c r="Y13" s="65">
        <f t="shared" si="10"/>
        <v>1442.9997113999996</v>
      </c>
      <c r="Z13" s="65">
        <f t="shared" si="12"/>
        <v>5242.9997113999998</v>
      </c>
      <c r="AA13" s="65">
        <f t="shared" si="13"/>
        <v>54757.0002886</v>
      </c>
    </row>
    <row r="14" spans="1:28" x14ac:dyDescent="0.3">
      <c r="A14" s="60" t="s">
        <v>82</v>
      </c>
      <c r="B14" s="61" t="s">
        <v>83</v>
      </c>
      <c r="C14" s="62">
        <v>46083</v>
      </c>
      <c r="D14" s="63">
        <v>15000</v>
      </c>
      <c r="E14" s="64">
        <v>31</v>
      </c>
      <c r="F14" s="64">
        <f t="shared" si="17"/>
        <v>31</v>
      </c>
      <c r="G14" s="64">
        <v>0</v>
      </c>
      <c r="H14" s="65">
        <f t="shared" si="1"/>
        <v>7499.9984999999988</v>
      </c>
      <c r="I14" s="65">
        <f t="shared" si="2"/>
        <v>3749.9992499999994</v>
      </c>
      <c r="J14" s="65">
        <f t="shared" si="3"/>
        <v>1600</v>
      </c>
      <c r="K14" s="65">
        <f t="shared" si="4"/>
        <v>889.25250215000278</v>
      </c>
      <c r="L14" s="65">
        <f t="shared" si="5"/>
        <v>13739.250252150001</v>
      </c>
      <c r="M14" s="65">
        <f t="shared" si="6"/>
        <v>899.99981999999977</v>
      </c>
      <c r="N14" s="65">
        <v>0</v>
      </c>
      <c r="O14" s="65">
        <v>200</v>
      </c>
      <c r="P14" s="65">
        <v>0</v>
      </c>
      <c r="Q14" s="65">
        <v>0</v>
      </c>
      <c r="R14" s="65">
        <v>0</v>
      </c>
      <c r="S14" s="65">
        <f t="shared" si="7"/>
        <v>13739.250252150001</v>
      </c>
      <c r="T14" s="65">
        <v>0</v>
      </c>
      <c r="U14" s="66">
        <f>ROUND((L14/E14)*G14,0)</f>
        <v>0</v>
      </c>
      <c r="V14" s="65">
        <v>0</v>
      </c>
      <c r="W14" s="65">
        <f t="shared" si="8"/>
        <v>899.99981999999977</v>
      </c>
      <c r="X14" s="65">
        <v>0</v>
      </c>
      <c r="Y14" s="65">
        <f t="shared" si="10"/>
        <v>360.74992784999989</v>
      </c>
      <c r="Z14" s="65">
        <f t="shared" si="12"/>
        <v>2360.7495678499995</v>
      </c>
      <c r="AA14" s="65">
        <f t="shared" si="13"/>
        <v>12639.25043215</v>
      </c>
    </row>
    <row r="15" spans="1:28" x14ac:dyDescent="0.3">
      <c r="A15" s="60" t="s">
        <v>84</v>
      </c>
      <c r="B15" s="61" t="s">
        <v>85</v>
      </c>
      <c r="C15" s="62">
        <v>46083</v>
      </c>
      <c r="D15" s="63">
        <v>35000</v>
      </c>
      <c r="E15" s="64">
        <v>31</v>
      </c>
      <c r="F15" s="64">
        <f t="shared" si="17"/>
        <v>31</v>
      </c>
      <c r="G15" s="64">
        <v>0</v>
      </c>
      <c r="H15" s="65">
        <f t="shared" si="1"/>
        <v>17499.996499999997</v>
      </c>
      <c r="I15" s="65">
        <f t="shared" si="2"/>
        <v>8749.9982499999987</v>
      </c>
      <c r="J15" s="65">
        <f t="shared" si="3"/>
        <v>1600</v>
      </c>
      <c r="K15" s="65">
        <f t="shared" si="4"/>
        <v>4508.2554183500051</v>
      </c>
      <c r="L15" s="65">
        <f t="shared" si="5"/>
        <v>32358.250168350001</v>
      </c>
      <c r="M15" s="65">
        <f t="shared" si="6"/>
        <v>1800</v>
      </c>
      <c r="N15" s="65">
        <f t="shared" si="11"/>
        <v>0</v>
      </c>
      <c r="O15" s="65">
        <v>200</v>
      </c>
      <c r="P15" s="65">
        <v>0</v>
      </c>
      <c r="Q15" s="65">
        <v>0</v>
      </c>
      <c r="R15" s="65">
        <v>0</v>
      </c>
      <c r="S15" s="65">
        <f t="shared" si="7"/>
        <v>32358.250168350001</v>
      </c>
      <c r="T15" s="65">
        <v>0</v>
      </c>
      <c r="U15" s="66">
        <f>ROUND((L15/E15)*G15,0)</f>
        <v>0</v>
      </c>
      <c r="V15" s="65">
        <v>0</v>
      </c>
      <c r="W15" s="65">
        <f t="shared" si="8"/>
        <v>1800</v>
      </c>
      <c r="X15" s="65">
        <f t="shared" ref="X15:X22" si="18">IF(L15&lt;=21000,L15*3.25%,0)</f>
        <v>0</v>
      </c>
      <c r="Y15" s="65">
        <f t="shared" si="10"/>
        <v>841.74983164999981</v>
      </c>
      <c r="Z15" s="65">
        <f t="shared" si="12"/>
        <v>4641.7498316499996</v>
      </c>
      <c r="AA15" s="65">
        <f t="shared" si="13"/>
        <v>30358.250168350001</v>
      </c>
    </row>
    <row r="16" spans="1:28" x14ac:dyDescent="0.3">
      <c r="A16" s="60" t="s">
        <v>86</v>
      </c>
      <c r="B16" s="61" t="s">
        <v>87</v>
      </c>
      <c r="C16" s="62">
        <v>46083</v>
      </c>
      <c r="D16" s="63">
        <v>35000</v>
      </c>
      <c r="E16" s="64">
        <v>31</v>
      </c>
      <c r="F16" s="64">
        <f t="shared" si="17"/>
        <v>31</v>
      </c>
      <c r="G16" s="64">
        <v>0</v>
      </c>
      <c r="H16" s="65">
        <f t="shared" si="1"/>
        <v>17499.996499999997</v>
      </c>
      <c r="I16" s="65">
        <f t="shared" si="2"/>
        <v>8749.9982499999987</v>
      </c>
      <c r="J16" s="65">
        <f t="shared" si="3"/>
        <v>1600</v>
      </c>
      <c r="K16" s="65">
        <f t="shared" si="4"/>
        <v>4508.2554183500051</v>
      </c>
      <c r="L16" s="65">
        <f t="shared" si="5"/>
        <v>32358.250168350001</v>
      </c>
      <c r="M16" s="65">
        <f t="shared" si="6"/>
        <v>1800</v>
      </c>
      <c r="N16" s="65">
        <f t="shared" si="11"/>
        <v>0</v>
      </c>
      <c r="O16" s="65">
        <v>200</v>
      </c>
      <c r="P16" s="65">
        <v>0</v>
      </c>
      <c r="Q16" s="65">
        <v>0</v>
      </c>
      <c r="R16" s="65">
        <v>0</v>
      </c>
      <c r="S16" s="65">
        <f t="shared" si="7"/>
        <v>32358.250168350001</v>
      </c>
      <c r="T16" s="65">
        <v>0</v>
      </c>
      <c r="U16" s="66">
        <f>ROUND((L16/E16)*G16,0)</f>
        <v>0</v>
      </c>
      <c r="V16" s="65">
        <v>0</v>
      </c>
      <c r="W16" s="65">
        <f t="shared" si="8"/>
        <v>1800</v>
      </c>
      <c r="X16" s="65">
        <f t="shared" si="18"/>
        <v>0</v>
      </c>
      <c r="Y16" s="65">
        <f t="shared" si="10"/>
        <v>841.74983164999981</v>
      </c>
      <c r="Z16" s="65">
        <f t="shared" si="12"/>
        <v>4641.7498316499996</v>
      </c>
      <c r="AA16" s="65">
        <f t="shared" si="13"/>
        <v>30358.250168350001</v>
      </c>
    </row>
    <row r="17" spans="1:28" x14ac:dyDescent="0.3">
      <c r="A17" s="60" t="s">
        <v>88</v>
      </c>
      <c r="B17" s="60" t="s">
        <v>89</v>
      </c>
      <c r="C17" s="62">
        <v>46083</v>
      </c>
      <c r="D17" s="63">
        <v>23000</v>
      </c>
      <c r="E17" s="64">
        <v>31</v>
      </c>
      <c r="F17" s="64">
        <f t="shared" si="17"/>
        <v>31</v>
      </c>
      <c r="G17" s="64">
        <v>0</v>
      </c>
      <c r="H17" s="65">
        <f t="shared" si="1"/>
        <v>11499.997699999998</v>
      </c>
      <c r="I17" s="65">
        <f t="shared" si="2"/>
        <v>5749.998849999999</v>
      </c>
      <c r="J17" s="65">
        <f t="shared" si="3"/>
        <v>1600</v>
      </c>
      <c r="K17" s="65">
        <f t="shared" si="4"/>
        <v>2216.8538366300008</v>
      </c>
      <c r="L17" s="65">
        <f t="shared" si="5"/>
        <v>21066.850386629998</v>
      </c>
      <c r="M17" s="65">
        <f t="shared" si="6"/>
        <v>1379.9997239999998</v>
      </c>
      <c r="N17" s="65">
        <f t="shared" si="11"/>
        <v>0</v>
      </c>
      <c r="O17" s="65">
        <v>200</v>
      </c>
      <c r="P17" s="65">
        <v>0</v>
      </c>
      <c r="Q17" s="65">
        <v>0</v>
      </c>
      <c r="R17" s="65">
        <v>0</v>
      </c>
      <c r="S17" s="65">
        <f t="shared" si="7"/>
        <v>21066.850386629998</v>
      </c>
      <c r="T17" s="65">
        <v>0</v>
      </c>
      <c r="U17" s="66">
        <v>0</v>
      </c>
      <c r="V17" s="65">
        <v>0</v>
      </c>
      <c r="W17" s="65">
        <f t="shared" si="8"/>
        <v>1379.9997239999998</v>
      </c>
      <c r="X17" s="65">
        <f t="shared" si="18"/>
        <v>0</v>
      </c>
      <c r="Y17" s="65">
        <f t="shared" si="10"/>
        <v>553.14988936999987</v>
      </c>
      <c r="Z17" s="65">
        <f t="shared" si="12"/>
        <v>3513.1493373699996</v>
      </c>
      <c r="AA17" s="65">
        <f t="shared" si="13"/>
        <v>19486.85066263</v>
      </c>
    </row>
    <row r="18" spans="1:28" x14ac:dyDescent="0.3">
      <c r="A18" s="60" t="s">
        <v>92</v>
      </c>
      <c r="B18" s="60" t="s">
        <v>93</v>
      </c>
      <c r="C18" s="62">
        <v>46083</v>
      </c>
      <c r="D18" s="63">
        <v>60000</v>
      </c>
      <c r="E18" s="64">
        <v>31</v>
      </c>
      <c r="F18" s="64">
        <f t="shared" si="17"/>
        <v>30</v>
      </c>
      <c r="G18" s="64">
        <v>1</v>
      </c>
      <c r="H18" s="65">
        <f t="shared" si="1"/>
        <v>29032.252258064509</v>
      </c>
      <c r="I18" s="65">
        <f t="shared" si="2"/>
        <v>14516.126129032255</v>
      </c>
      <c r="J18" s="65">
        <f t="shared" si="3"/>
        <v>1548.3870967741934</v>
      </c>
      <c r="K18" s="65">
        <f t="shared" si="4"/>
        <v>9829.3638276774363</v>
      </c>
      <c r="L18" s="65">
        <f t="shared" si="5"/>
        <v>54926.129311548393</v>
      </c>
      <c r="M18" s="65">
        <f t="shared" si="6"/>
        <v>1800</v>
      </c>
      <c r="N18" s="65">
        <f t="shared" si="11"/>
        <v>0</v>
      </c>
      <c r="O18" s="65">
        <v>200</v>
      </c>
      <c r="P18" s="65">
        <v>0</v>
      </c>
      <c r="Q18" s="65">
        <v>0</v>
      </c>
      <c r="R18" s="65">
        <v>0</v>
      </c>
      <c r="S18" s="65">
        <f t="shared" si="7"/>
        <v>54926.129311548393</v>
      </c>
      <c r="T18" s="65">
        <v>0</v>
      </c>
      <c r="U18" s="66">
        <v>0</v>
      </c>
      <c r="V18" s="65">
        <v>0</v>
      </c>
      <c r="W18" s="65">
        <f t="shared" si="8"/>
        <v>1800</v>
      </c>
      <c r="X18" s="65">
        <f t="shared" si="18"/>
        <v>0</v>
      </c>
      <c r="Y18" s="65">
        <f t="shared" si="10"/>
        <v>1396.4513336129028</v>
      </c>
      <c r="Z18" s="65">
        <f t="shared" si="12"/>
        <v>5196.451333612903</v>
      </c>
      <c r="AA18" s="65">
        <f t="shared" si="13"/>
        <v>52926.129311548393</v>
      </c>
      <c r="AB18" s="96"/>
    </row>
    <row r="19" spans="1:28" ht="22" customHeight="1" x14ac:dyDescent="0.3">
      <c r="A19" s="60" t="s">
        <v>94</v>
      </c>
      <c r="B19" s="60" t="s">
        <v>95</v>
      </c>
      <c r="C19" s="62">
        <v>46083</v>
      </c>
      <c r="D19" s="63">
        <v>60000</v>
      </c>
      <c r="E19" s="64">
        <v>31</v>
      </c>
      <c r="F19" s="64">
        <f t="shared" si="17"/>
        <v>31</v>
      </c>
      <c r="G19" s="64">
        <v>0</v>
      </c>
      <c r="H19" s="65">
        <f t="shared" si="1"/>
        <v>29999.993999999995</v>
      </c>
      <c r="I19" s="65">
        <f t="shared" si="2"/>
        <v>14999.996999999998</v>
      </c>
      <c r="J19" s="65">
        <f t="shared" si="3"/>
        <v>1600</v>
      </c>
      <c r="K19" s="65">
        <f t="shared" si="4"/>
        <v>10157.009288600007</v>
      </c>
      <c r="L19" s="65">
        <f t="shared" si="5"/>
        <v>56757.0002886</v>
      </c>
      <c r="M19" s="65">
        <f t="shared" si="6"/>
        <v>1800</v>
      </c>
      <c r="N19" s="65">
        <f t="shared" si="11"/>
        <v>0</v>
      </c>
      <c r="O19" s="65">
        <v>200</v>
      </c>
      <c r="P19" s="65">
        <v>0</v>
      </c>
      <c r="Q19" s="65">
        <v>0</v>
      </c>
      <c r="R19" s="65">
        <v>0</v>
      </c>
      <c r="S19" s="65">
        <f t="shared" si="7"/>
        <v>56757.0002886</v>
      </c>
      <c r="T19" s="65">
        <v>0</v>
      </c>
      <c r="U19" s="66">
        <v>0</v>
      </c>
      <c r="V19" s="65">
        <v>0</v>
      </c>
      <c r="W19" s="65">
        <f t="shared" si="8"/>
        <v>1800</v>
      </c>
      <c r="X19" s="65">
        <f t="shared" si="18"/>
        <v>0</v>
      </c>
      <c r="Y19" s="65">
        <f t="shared" si="10"/>
        <v>1442.9997113999996</v>
      </c>
      <c r="Z19" s="65">
        <f t="shared" si="12"/>
        <v>5242.9997113999998</v>
      </c>
      <c r="AA19" s="65">
        <f t="shared" si="13"/>
        <v>54757.0002886</v>
      </c>
    </row>
    <row r="20" spans="1:28" x14ac:dyDescent="0.3">
      <c r="A20" s="67" t="s">
        <v>140</v>
      </c>
      <c r="B20" s="68" t="s">
        <v>141</v>
      </c>
      <c r="C20" s="62">
        <v>46113</v>
      </c>
      <c r="D20" s="63">
        <v>35000</v>
      </c>
      <c r="E20" s="64">
        <v>31</v>
      </c>
      <c r="F20" s="64">
        <f t="shared" si="17"/>
        <v>31</v>
      </c>
      <c r="G20" s="64">
        <v>0</v>
      </c>
      <c r="H20" s="65">
        <f t="shared" si="1"/>
        <v>17499.996499999997</v>
      </c>
      <c r="I20" s="65">
        <f t="shared" si="2"/>
        <v>8749.9982499999987</v>
      </c>
      <c r="J20" s="65">
        <f t="shared" si="3"/>
        <v>1600</v>
      </c>
      <c r="K20" s="65">
        <f t="shared" si="4"/>
        <v>4508.2554183500051</v>
      </c>
      <c r="L20" s="65">
        <f t="shared" si="5"/>
        <v>32358.250168350001</v>
      </c>
      <c r="M20" s="65">
        <f t="shared" si="6"/>
        <v>1800</v>
      </c>
      <c r="N20" s="65">
        <f t="shared" si="11"/>
        <v>0</v>
      </c>
      <c r="O20" s="65">
        <v>200</v>
      </c>
      <c r="P20" s="65">
        <v>0</v>
      </c>
      <c r="Q20" s="65">
        <v>0</v>
      </c>
      <c r="R20" s="65">
        <v>0</v>
      </c>
      <c r="S20" s="65">
        <f t="shared" si="7"/>
        <v>32358.250168350001</v>
      </c>
      <c r="T20" s="65">
        <v>0</v>
      </c>
      <c r="U20" s="66">
        <v>0</v>
      </c>
      <c r="V20" s="65">
        <v>0</v>
      </c>
      <c r="W20" s="65">
        <f t="shared" si="8"/>
        <v>1800</v>
      </c>
      <c r="X20" s="65">
        <f t="shared" si="18"/>
        <v>0</v>
      </c>
      <c r="Y20" s="65">
        <f t="shared" si="10"/>
        <v>841.74983164999981</v>
      </c>
      <c r="Z20" s="65">
        <f t="shared" si="12"/>
        <v>4641.7498316499996</v>
      </c>
      <c r="AA20" s="65">
        <f t="shared" si="13"/>
        <v>30358.250168350001</v>
      </c>
    </row>
    <row r="21" spans="1:28" x14ac:dyDescent="0.3">
      <c r="A21" s="67" t="s">
        <v>142</v>
      </c>
      <c r="B21" s="68" t="s">
        <v>143</v>
      </c>
      <c r="C21" s="62">
        <v>46113</v>
      </c>
      <c r="D21" s="64">
        <v>30000</v>
      </c>
      <c r="E21" s="64">
        <v>31</v>
      </c>
      <c r="F21" s="64">
        <f t="shared" si="17"/>
        <v>31</v>
      </c>
      <c r="G21" s="64">
        <v>0</v>
      </c>
      <c r="H21" s="65">
        <f t="shared" si="1"/>
        <v>14999.996999999998</v>
      </c>
      <c r="I21" s="65">
        <f t="shared" si="2"/>
        <v>7499.9984999999988</v>
      </c>
      <c r="J21" s="65">
        <f t="shared" si="3"/>
        <v>1600</v>
      </c>
      <c r="K21" s="65">
        <f t="shared" si="4"/>
        <v>3378.5050043000056</v>
      </c>
      <c r="L21" s="65">
        <f t="shared" si="5"/>
        <v>27478.500504300002</v>
      </c>
      <c r="M21" s="65">
        <f t="shared" si="6"/>
        <v>1799.9996399999995</v>
      </c>
      <c r="N21" s="65">
        <f t="shared" si="11"/>
        <v>0</v>
      </c>
      <c r="O21" s="65">
        <v>200</v>
      </c>
      <c r="P21" s="65">
        <v>0</v>
      </c>
      <c r="Q21" s="65">
        <v>0</v>
      </c>
      <c r="R21" s="65">
        <v>0</v>
      </c>
      <c r="S21" s="65">
        <f t="shared" si="7"/>
        <v>27478.500504300002</v>
      </c>
      <c r="T21" s="65">
        <v>0</v>
      </c>
      <c r="U21" s="66">
        <v>0</v>
      </c>
      <c r="V21" s="65">
        <v>0</v>
      </c>
      <c r="W21" s="65">
        <f t="shared" si="8"/>
        <v>1799.9996399999995</v>
      </c>
      <c r="X21" s="65">
        <f t="shared" si="18"/>
        <v>0</v>
      </c>
      <c r="Y21" s="65">
        <f t="shared" si="10"/>
        <v>721.49985569999978</v>
      </c>
      <c r="Z21" s="65">
        <f t="shared" si="12"/>
        <v>4521.499135699999</v>
      </c>
      <c r="AA21" s="65">
        <f t="shared" si="13"/>
        <v>25478.5008643</v>
      </c>
    </row>
    <row r="22" spans="1:28" x14ac:dyDescent="0.3">
      <c r="A22" s="67" t="s">
        <v>144</v>
      </c>
      <c r="B22" s="68" t="s">
        <v>145</v>
      </c>
      <c r="C22" s="62">
        <v>46113</v>
      </c>
      <c r="D22" s="64">
        <v>50000</v>
      </c>
      <c r="E22" s="64">
        <v>31</v>
      </c>
      <c r="F22" s="64">
        <f t="shared" si="17"/>
        <v>31</v>
      </c>
      <c r="G22" s="64">
        <v>0</v>
      </c>
      <c r="H22" s="65">
        <f t="shared" si="1"/>
        <v>24999.994999999995</v>
      </c>
      <c r="I22" s="65">
        <f t="shared" si="2"/>
        <v>12499.997499999998</v>
      </c>
      <c r="J22" s="65">
        <f t="shared" si="3"/>
        <v>1600</v>
      </c>
      <c r="K22" s="65">
        <f t="shared" si="4"/>
        <v>7897.5077405000047</v>
      </c>
      <c r="L22" s="65">
        <f t="shared" si="5"/>
        <v>46997.500240499998</v>
      </c>
      <c r="M22" s="65">
        <f t="shared" si="6"/>
        <v>1800</v>
      </c>
      <c r="N22" s="65">
        <f t="shared" si="11"/>
        <v>0</v>
      </c>
      <c r="O22" s="65">
        <v>200</v>
      </c>
      <c r="P22" s="65">
        <v>0</v>
      </c>
      <c r="Q22" s="65">
        <v>0</v>
      </c>
      <c r="R22" s="65">
        <v>0</v>
      </c>
      <c r="S22" s="65">
        <f t="shared" si="7"/>
        <v>46997.500240499998</v>
      </c>
      <c r="T22" s="65">
        <v>0</v>
      </c>
      <c r="U22" s="66">
        <v>0</v>
      </c>
      <c r="V22" s="65">
        <v>0</v>
      </c>
      <c r="W22" s="65">
        <f t="shared" si="8"/>
        <v>1800</v>
      </c>
      <c r="X22" s="65">
        <f t="shared" si="18"/>
        <v>0</v>
      </c>
      <c r="Y22" s="65">
        <f t="shared" si="10"/>
        <v>1202.4997594999998</v>
      </c>
      <c r="Z22" s="65">
        <f t="shared" si="12"/>
        <v>5002.4997594999995</v>
      </c>
      <c r="AA22" s="65">
        <f t="shared" si="13"/>
        <v>44997.500240499998</v>
      </c>
    </row>
    <row r="23" spans="1:28" x14ac:dyDescent="0.3">
      <c r="A23" s="67" t="s">
        <v>146</v>
      </c>
      <c r="B23" s="68" t="s">
        <v>147</v>
      </c>
      <c r="C23" s="62">
        <v>46114</v>
      </c>
      <c r="D23" s="64">
        <v>23000</v>
      </c>
      <c r="E23" s="64">
        <v>31</v>
      </c>
      <c r="F23" s="64">
        <f t="shared" si="17"/>
        <v>31</v>
      </c>
      <c r="G23" s="64">
        <v>0</v>
      </c>
      <c r="H23" s="65">
        <f t="shared" si="1"/>
        <v>11499.997699999998</v>
      </c>
      <c r="I23" s="65">
        <f t="shared" si="2"/>
        <v>5749.998849999999</v>
      </c>
      <c r="J23" s="65">
        <f t="shared" si="3"/>
        <v>1600</v>
      </c>
      <c r="K23" s="65">
        <f t="shared" si="4"/>
        <v>2216.8538366300008</v>
      </c>
      <c r="L23" s="65">
        <f t="shared" si="5"/>
        <v>21066.850386629998</v>
      </c>
      <c r="M23" s="65">
        <f t="shared" si="6"/>
        <v>1379.9997239999998</v>
      </c>
      <c r="N23" s="65">
        <v>0</v>
      </c>
      <c r="O23" s="65">
        <v>200</v>
      </c>
      <c r="P23" s="65">
        <v>0</v>
      </c>
      <c r="Q23" s="65">
        <v>0</v>
      </c>
      <c r="R23" s="65">
        <v>0</v>
      </c>
      <c r="S23" s="65">
        <f t="shared" si="7"/>
        <v>21066.850386629998</v>
      </c>
      <c r="T23" s="65">
        <v>0</v>
      </c>
      <c r="U23" s="66">
        <v>0</v>
      </c>
      <c r="V23" s="65">
        <v>0</v>
      </c>
      <c r="W23" s="65">
        <f t="shared" si="8"/>
        <v>1379.9997239999998</v>
      </c>
      <c r="X23" s="65">
        <v>0</v>
      </c>
      <c r="Y23" s="65">
        <f t="shared" si="10"/>
        <v>553.14988936999987</v>
      </c>
      <c r="Z23" s="65">
        <f t="shared" si="12"/>
        <v>3513.1493373699996</v>
      </c>
      <c r="AA23" s="65">
        <f t="shared" si="13"/>
        <v>19486.85066263</v>
      </c>
    </row>
    <row r="24" spans="1:28" x14ac:dyDescent="0.3">
      <c r="A24" s="67" t="s">
        <v>148</v>
      </c>
      <c r="B24" s="68" t="s">
        <v>149</v>
      </c>
      <c r="C24" s="62">
        <v>46113</v>
      </c>
      <c r="D24" s="64">
        <v>15000</v>
      </c>
      <c r="E24" s="64">
        <v>31</v>
      </c>
      <c r="F24" s="64">
        <f t="shared" si="17"/>
        <v>31</v>
      </c>
      <c r="G24" s="64">
        <v>0</v>
      </c>
      <c r="H24" s="65">
        <f t="shared" si="1"/>
        <v>7499.9984999999988</v>
      </c>
      <c r="I24" s="65">
        <f t="shared" si="2"/>
        <v>3749.9992499999994</v>
      </c>
      <c r="J24" s="65">
        <f t="shared" si="3"/>
        <v>1600</v>
      </c>
      <c r="K24" s="65">
        <f t="shared" si="4"/>
        <v>889.25250215000278</v>
      </c>
      <c r="L24" s="65">
        <f t="shared" si="5"/>
        <v>13739.250252150001</v>
      </c>
      <c r="M24" s="65">
        <f t="shared" si="6"/>
        <v>899.99981999999977</v>
      </c>
      <c r="N24" s="65">
        <v>0</v>
      </c>
      <c r="O24" s="65">
        <v>150</v>
      </c>
      <c r="P24" s="65">
        <v>0</v>
      </c>
      <c r="Q24" s="65">
        <v>0</v>
      </c>
      <c r="R24" s="65">
        <v>0</v>
      </c>
      <c r="S24" s="65">
        <f t="shared" si="7"/>
        <v>13739.250252150001</v>
      </c>
      <c r="T24" s="65">
        <v>0</v>
      </c>
      <c r="U24" s="66">
        <v>0</v>
      </c>
      <c r="V24" s="65">
        <v>0</v>
      </c>
      <c r="W24" s="65">
        <f t="shared" si="8"/>
        <v>899.99981999999977</v>
      </c>
      <c r="X24" s="65">
        <v>0</v>
      </c>
      <c r="Y24" s="65">
        <f t="shared" si="10"/>
        <v>360.74992784999989</v>
      </c>
      <c r="Z24" s="65">
        <f t="shared" si="12"/>
        <v>2310.7495678499995</v>
      </c>
      <c r="AA24" s="65">
        <f t="shared" si="13"/>
        <v>12689.25043215</v>
      </c>
    </row>
    <row r="25" spans="1:28" x14ac:dyDescent="0.3">
      <c r="A25" s="67" t="s">
        <v>150</v>
      </c>
      <c r="B25" s="68" t="s">
        <v>151</v>
      </c>
      <c r="C25" s="62">
        <v>46113</v>
      </c>
      <c r="D25" s="64">
        <v>15000</v>
      </c>
      <c r="E25" s="64">
        <v>31</v>
      </c>
      <c r="F25" s="64">
        <f t="shared" si="17"/>
        <v>31</v>
      </c>
      <c r="G25" s="64">
        <v>0</v>
      </c>
      <c r="H25" s="65">
        <f t="shared" si="1"/>
        <v>7499.9984999999988</v>
      </c>
      <c r="I25" s="65">
        <f t="shared" si="2"/>
        <v>3749.9992499999994</v>
      </c>
      <c r="J25" s="65">
        <f t="shared" si="3"/>
        <v>1600</v>
      </c>
      <c r="K25" s="65">
        <f t="shared" si="4"/>
        <v>889.25250215000278</v>
      </c>
      <c r="L25" s="65">
        <f t="shared" si="5"/>
        <v>13739.250252150001</v>
      </c>
      <c r="M25" s="65">
        <f t="shared" si="6"/>
        <v>899.99981999999977</v>
      </c>
      <c r="N25" s="65">
        <v>0</v>
      </c>
      <c r="O25" s="65">
        <v>150</v>
      </c>
      <c r="P25" s="65">
        <v>0</v>
      </c>
      <c r="Q25" s="65">
        <v>0</v>
      </c>
      <c r="R25" s="65">
        <v>0</v>
      </c>
      <c r="S25" s="65">
        <f t="shared" si="7"/>
        <v>13739.250252150001</v>
      </c>
      <c r="T25" s="65">
        <v>0</v>
      </c>
      <c r="U25" s="66">
        <v>0</v>
      </c>
      <c r="V25" s="65">
        <v>0</v>
      </c>
      <c r="W25" s="65">
        <f t="shared" si="8"/>
        <v>899.99981999999977</v>
      </c>
      <c r="X25" s="65">
        <v>0</v>
      </c>
      <c r="Y25" s="65">
        <f t="shared" si="10"/>
        <v>360.74992784999989</v>
      </c>
      <c r="Z25" s="65">
        <f t="shared" si="12"/>
        <v>2310.7495678499995</v>
      </c>
      <c r="AA25" s="65">
        <f t="shared" si="13"/>
        <v>12689.25043215</v>
      </c>
    </row>
    <row r="26" spans="1:28" x14ac:dyDescent="0.3">
      <c r="A26" s="67" t="s">
        <v>152</v>
      </c>
      <c r="B26" s="68" t="s">
        <v>153</v>
      </c>
      <c r="C26" s="62">
        <v>46113</v>
      </c>
      <c r="D26" s="64">
        <v>15000</v>
      </c>
      <c r="E26" s="64">
        <v>31</v>
      </c>
      <c r="F26" s="64">
        <f t="shared" si="17"/>
        <v>31</v>
      </c>
      <c r="G26" s="64">
        <v>0</v>
      </c>
      <c r="H26" s="65">
        <f t="shared" si="1"/>
        <v>7499.9984999999988</v>
      </c>
      <c r="I26" s="65">
        <f t="shared" si="2"/>
        <v>3749.9992499999994</v>
      </c>
      <c r="J26" s="65">
        <f t="shared" si="3"/>
        <v>1600</v>
      </c>
      <c r="K26" s="65">
        <f t="shared" si="4"/>
        <v>889.25250215000278</v>
      </c>
      <c r="L26" s="65">
        <f t="shared" si="5"/>
        <v>13739.250252150001</v>
      </c>
      <c r="M26" s="65">
        <f t="shared" si="6"/>
        <v>899.99981999999977</v>
      </c>
      <c r="N26" s="65">
        <v>0</v>
      </c>
      <c r="O26" s="65">
        <v>150</v>
      </c>
      <c r="P26" s="65">
        <v>0</v>
      </c>
      <c r="Q26" s="65">
        <v>0</v>
      </c>
      <c r="R26" s="65">
        <v>0</v>
      </c>
      <c r="S26" s="65">
        <f t="shared" si="7"/>
        <v>13739.250252150001</v>
      </c>
      <c r="T26" s="65">
        <v>0</v>
      </c>
      <c r="U26" s="66">
        <v>0</v>
      </c>
      <c r="V26" s="65">
        <v>0</v>
      </c>
      <c r="W26" s="65">
        <f t="shared" si="8"/>
        <v>899.99981999999977</v>
      </c>
      <c r="X26" s="65">
        <v>0</v>
      </c>
      <c r="Y26" s="65">
        <f t="shared" si="10"/>
        <v>360.74992784999989</v>
      </c>
      <c r="Z26" s="65">
        <f t="shared" si="12"/>
        <v>2310.7495678499995</v>
      </c>
      <c r="AA26" s="65">
        <f t="shared" si="13"/>
        <v>12689.25043215</v>
      </c>
    </row>
    <row r="27" spans="1:28" x14ac:dyDescent="0.3">
      <c r="A27" s="67" t="s">
        <v>156</v>
      </c>
      <c r="B27" s="69" t="s">
        <v>157</v>
      </c>
      <c r="C27" s="62">
        <v>46113</v>
      </c>
      <c r="D27" s="64">
        <v>15000</v>
      </c>
      <c r="E27" s="64">
        <v>31</v>
      </c>
      <c r="F27" s="64">
        <f t="shared" si="17"/>
        <v>31</v>
      </c>
      <c r="G27" s="64">
        <v>0</v>
      </c>
      <c r="H27" s="65">
        <f t="shared" si="1"/>
        <v>7499.9984999999988</v>
      </c>
      <c r="I27" s="65">
        <f t="shared" si="2"/>
        <v>3749.9992499999994</v>
      </c>
      <c r="J27" s="65">
        <f t="shared" si="3"/>
        <v>1600</v>
      </c>
      <c r="K27" s="65">
        <f t="shared" si="4"/>
        <v>889.25250215000278</v>
      </c>
      <c r="L27" s="65">
        <f t="shared" si="5"/>
        <v>13739.250252150001</v>
      </c>
      <c r="M27" s="65">
        <f t="shared" si="6"/>
        <v>899.99981999999977</v>
      </c>
      <c r="N27" s="65">
        <v>0</v>
      </c>
      <c r="O27" s="65">
        <v>150</v>
      </c>
      <c r="P27" s="65">
        <v>0</v>
      </c>
      <c r="Q27" s="65">
        <v>0</v>
      </c>
      <c r="R27" s="65">
        <v>0</v>
      </c>
      <c r="S27" s="65">
        <f t="shared" si="7"/>
        <v>13739.250252150001</v>
      </c>
      <c r="T27" s="65">
        <v>0</v>
      </c>
      <c r="U27" s="66">
        <v>0</v>
      </c>
      <c r="V27" s="65">
        <v>0</v>
      </c>
      <c r="W27" s="65">
        <f t="shared" si="8"/>
        <v>899.99981999999977</v>
      </c>
      <c r="X27" s="65">
        <v>0</v>
      </c>
      <c r="Y27" s="65">
        <f t="shared" si="10"/>
        <v>360.74992784999989</v>
      </c>
      <c r="Z27" s="65">
        <f t="shared" si="12"/>
        <v>2310.7495678499995</v>
      </c>
      <c r="AA27" s="65">
        <f t="shared" si="13"/>
        <v>12689.25043215</v>
      </c>
    </row>
    <row r="28" spans="1:28" x14ac:dyDescent="0.3">
      <c r="A28" s="67" t="s">
        <v>158</v>
      </c>
      <c r="B28" s="69" t="s">
        <v>159</v>
      </c>
      <c r="C28" s="62">
        <v>46113</v>
      </c>
      <c r="D28" s="64">
        <v>15000</v>
      </c>
      <c r="E28" s="64">
        <v>31</v>
      </c>
      <c r="F28" s="64">
        <f t="shared" si="17"/>
        <v>31</v>
      </c>
      <c r="G28" s="64">
        <v>0</v>
      </c>
      <c r="H28" s="65">
        <f t="shared" si="1"/>
        <v>7499.9984999999988</v>
      </c>
      <c r="I28" s="65">
        <f t="shared" si="2"/>
        <v>3749.9992499999994</v>
      </c>
      <c r="J28" s="65">
        <f t="shared" si="3"/>
        <v>1600</v>
      </c>
      <c r="K28" s="65">
        <f t="shared" si="4"/>
        <v>889.25250215000278</v>
      </c>
      <c r="L28" s="65">
        <f t="shared" si="5"/>
        <v>13739.250252150001</v>
      </c>
      <c r="M28" s="65">
        <f t="shared" si="6"/>
        <v>899.99981999999977</v>
      </c>
      <c r="N28" s="65">
        <v>0</v>
      </c>
      <c r="O28" s="65">
        <v>150</v>
      </c>
      <c r="P28" s="65">
        <v>0</v>
      </c>
      <c r="Q28" s="65">
        <v>0</v>
      </c>
      <c r="R28" s="65">
        <v>0</v>
      </c>
      <c r="S28" s="65">
        <f t="shared" si="7"/>
        <v>13739.250252150001</v>
      </c>
      <c r="T28" s="65">
        <v>0</v>
      </c>
      <c r="U28" s="66">
        <v>0</v>
      </c>
      <c r="V28" s="65">
        <v>0</v>
      </c>
      <c r="W28" s="65">
        <f t="shared" si="8"/>
        <v>899.99981999999977</v>
      </c>
      <c r="X28" s="65">
        <v>0</v>
      </c>
      <c r="Y28" s="65">
        <f t="shared" si="10"/>
        <v>360.74992784999989</v>
      </c>
      <c r="Z28" s="65">
        <f t="shared" si="12"/>
        <v>2310.7495678499995</v>
      </c>
      <c r="AA28" s="65">
        <f t="shared" si="13"/>
        <v>12689.25043215</v>
      </c>
    </row>
    <row r="29" spans="1:28" x14ac:dyDescent="0.3">
      <c r="A29" s="67" t="s">
        <v>160</v>
      </c>
      <c r="B29" s="68" t="s">
        <v>161</v>
      </c>
      <c r="C29" s="62">
        <v>46113</v>
      </c>
      <c r="D29" s="64">
        <v>45000</v>
      </c>
      <c r="E29" s="64">
        <v>31</v>
      </c>
      <c r="F29" s="64">
        <f t="shared" si="17"/>
        <v>31</v>
      </c>
      <c r="G29" s="64">
        <v>0</v>
      </c>
      <c r="H29" s="65">
        <f t="shared" si="1"/>
        <v>22499.995499999997</v>
      </c>
      <c r="I29" s="65">
        <f t="shared" si="2"/>
        <v>11249.997749999999</v>
      </c>
      <c r="J29" s="65">
        <f t="shared" si="3"/>
        <v>1600</v>
      </c>
      <c r="K29" s="65">
        <f t="shared" si="4"/>
        <v>6767.7569664500079</v>
      </c>
      <c r="L29" s="65">
        <f t="shared" si="5"/>
        <v>42117.750216450004</v>
      </c>
      <c r="M29" s="65">
        <f t="shared" si="6"/>
        <v>1800</v>
      </c>
      <c r="N29" s="65">
        <v>0</v>
      </c>
      <c r="O29" s="65">
        <v>200</v>
      </c>
      <c r="P29" s="65">
        <v>0</v>
      </c>
      <c r="Q29" s="65">
        <v>0</v>
      </c>
      <c r="R29" s="65">
        <v>0</v>
      </c>
      <c r="S29" s="65">
        <f t="shared" si="7"/>
        <v>42117.750216450004</v>
      </c>
      <c r="T29" s="65">
        <v>0</v>
      </c>
      <c r="U29" s="66">
        <v>0</v>
      </c>
      <c r="V29" s="65">
        <v>0</v>
      </c>
      <c r="W29" s="65">
        <f t="shared" si="8"/>
        <v>1800</v>
      </c>
      <c r="X29" s="65">
        <v>0</v>
      </c>
      <c r="Y29" s="65">
        <f t="shared" si="10"/>
        <v>1082.2497835499998</v>
      </c>
      <c r="Z29" s="65">
        <f t="shared" si="12"/>
        <v>4882.2497835499998</v>
      </c>
      <c r="AA29" s="65">
        <f t="shared" si="13"/>
        <v>40117.750216450004</v>
      </c>
    </row>
    <row r="30" spans="1:28" x14ac:dyDescent="0.3">
      <c r="A30" s="67" t="s">
        <v>162</v>
      </c>
      <c r="B30" s="68" t="s">
        <v>163</v>
      </c>
      <c r="C30" s="62">
        <v>46113</v>
      </c>
      <c r="D30" s="64">
        <v>45000</v>
      </c>
      <c r="E30" s="64">
        <v>31</v>
      </c>
      <c r="F30" s="64">
        <f t="shared" si="17"/>
        <v>31</v>
      </c>
      <c r="G30" s="64">
        <v>0</v>
      </c>
      <c r="H30" s="65">
        <f t="shared" si="1"/>
        <v>22499.995499999997</v>
      </c>
      <c r="I30" s="65">
        <f t="shared" si="2"/>
        <v>11249.997749999999</v>
      </c>
      <c r="J30" s="65">
        <f t="shared" si="3"/>
        <v>1600</v>
      </c>
      <c r="K30" s="65">
        <f t="shared" si="4"/>
        <v>6767.7569664500079</v>
      </c>
      <c r="L30" s="65">
        <f t="shared" si="5"/>
        <v>42117.750216450004</v>
      </c>
      <c r="M30" s="65">
        <f t="shared" si="6"/>
        <v>1800</v>
      </c>
      <c r="N30" s="65">
        <v>0</v>
      </c>
      <c r="O30" s="65">
        <v>200</v>
      </c>
      <c r="P30" s="65">
        <v>0</v>
      </c>
      <c r="Q30" s="65">
        <v>0</v>
      </c>
      <c r="R30" s="65">
        <v>0</v>
      </c>
      <c r="S30" s="65">
        <f t="shared" si="7"/>
        <v>42117.750216450004</v>
      </c>
      <c r="T30" s="65">
        <v>0</v>
      </c>
      <c r="U30" s="66">
        <v>0</v>
      </c>
      <c r="V30" s="65">
        <v>0</v>
      </c>
      <c r="W30" s="65">
        <f t="shared" si="8"/>
        <v>1800</v>
      </c>
      <c r="X30" s="65">
        <v>0</v>
      </c>
      <c r="Y30" s="65">
        <f t="shared" si="10"/>
        <v>1082.2497835499998</v>
      </c>
      <c r="Z30" s="65">
        <f t="shared" si="12"/>
        <v>4882.2497835499998</v>
      </c>
      <c r="AA30" s="65">
        <f t="shared" si="13"/>
        <v>40117.750216450004</v>
      </c>
    </row>
    <row r="31" spans="1:28" x14ac:dyDescent="0.3">
      <c r="A31" s="67" t="s">
        <v>164</v>
      </c>
      <c r="B31" s="68" t="s">
        <v>165</v>
      </c>
      <c r="C31" s="62">
        <v>46113</v>
      </c>
      <c r="D31" s="64">
        <v>30000</v>
      </c>
      <c r="E31" s="64">
        <v>31</v>
      </c>
      <c r="F31" s="64">
        <f t="shared" si="17"/>
        <v>31</v>
      </c>
      <c r="G31" s="64">
        <v>0</v>
      </c>
      <c r="H31" s="65">
        <f t="shared" si="1"/>
        <v>14999.996999999998</v>
      </c>
      <c r="I31" s="65">
        <f t="shared" si="2"/>
        <v>7499.9984999999988</v>
      </c>
      <c r="J31" s="65">
        <f t="shared" si="3"/>
        <v>1600</v>
      </c>
      <c r="K31" s="65">
        <f t="shared" si="4"/>
        <v>3378.5050043000056</v>
      </c>
      <c r="L31" s="65">
        <f t="shared" si="5"/>
        <v>27478.500504300002</v>
      </c>
      <c r="M31" s="65">
        <f t="shared" si="6"/>
        <v>1799.9996399999995</v>
      </c>
      <c r="N31" s="65">
        <v>0</v>
      </c>
      <c r="O31" s="65">
        <v>200</v>
      </c>
      <c r="P31" s="65">
        <v>0</v>
      </c>
      <c r="Q31" s="65">
        <v>0</v>
      </c>
      <c r="R31" s="65">
        <v>0</v>
      </c>
      <c r="S31" s="65">
        <f t="shared" si="7"/>
        <v>27478.500504300002</v>
      </c>
      <c r="T31" s="65">
        <v>0</v>
      </c>
      <c r="U31" s="66">
        <v>0</v>
      </c>
      <c r="V31" s="65">
        <v>0</v>
      </c>
      <c r="W31" s="65">
        <f t="shared" si="8"/>
        <v>1799.9996399999995</v>
      </c>
      <c r="X31" s="65">
        <v>0</v>
      </c>
      <c r="Y31" s="65">
        <f t="shared" si="10"/>
        <v>721.49985569999978</v>
      </c>
      <c r="Z31" s="65">
        <f t="shared" si="12"/>
        <v>4521.499135699999</v>
      </c>
      <c r="AA31" s="65">
        <f t="shared" si="13"/>
        <v>25478.5008643</v>
      </c>
    </row>
    <row r="32" spans="1:28" x14ac:dyDescent="0.3">
      <c r="A32" s="67" t="s">
        <v>166</v>
      </c>
      <c r="B32" s="68" t="s">
        <v>167</v>
      </c>
      <c r="C32" s="62">
        <v>46113</v>
      </c>
      <c r="D32" s="64">
        <v>15000</v>
      </c>
      <c r="E32" s="64">
        <v>31</v>
      </c>
      <c r="F32" s="64">
        <f t="shared" si="17"/>
        <v>31</v>
      </c>
      <c r="G32" s="64">
        <v>0</v>
      </c>
      <c r="H32" s="65">
        <f t="shared" si="1"/>
        <v>7499.9984999999988</v>
      </c>
      <c r="I32" s="65">
        <f t="shared" si="2"/>
        <v>3749.9992499999994</v>
      </c>
      <c r="J32" s="65">
        <f t="shared" si="3"/>
        <v>1600</v>
      </c>
      <c r="K32" s="65">
        <f t="shared" si="4"/>
        <v>889.25250215000278</v>
      </c>
      <c r="L32" s="65">
        <f t="shared" si="5"/>
        <v>13739.250252150001</v>
      </c>
      <c r="M32" s="65">
        <f t="shared" si="6"/>
        <v>899.99981999999977</v>
      </c>
      <c r="N32" s="65">
        <v>0</v>
      </c>
      <c r="O32" s="65">
        <v>150</v>
      </c>
      <c r="P32" s="65">
        <v>0</v>
      </c>
      <c r="Q32" s="65">
        <v>0</v>
      </c>
      <c r="R32" s="65">
        <v>0</v>
      </c>
      <c r="S32" s="65">
        <f t="shared" si="7"/>
        <v>13739.250252150001</v>
      </c>
      <c r="T32" s="65">
        <v>0</v>
      </c>
      <c r="U32" s="66">
        <v>0</v>
      </c>
      <c r="V32" s="65">
        <v>0</v>
      </c>
      <c r="W32" s="65">
        <f t="shared" si="8"/>
        <v>899.99981999999977</v>
      </c>
      <c r="X32" s="65">
        <v>0</v>
      </c>
      <c r="Y32" s="65">
        <f t="shared" si="10"/>
        <v>360.74992784999989</v>
      </c>
      <c r="Z32" s="65">
        <f t="shared" si="12"/>
        <v>2310.7495678499995</v>
      </c>
      <c r="AA32" s="65">
        <f t="shared" si="13"/>
        <v>12689.25043215</v>
      </c>
    </row>
    <row r="33" spans="1:27" x14ac:dyDescent="0.3">
      <c r="A33" s="67" t="s">
        <v>168</v>
      </c>
      <c r="B33" s="68" t="s">
        <v>169</v>
      </c>
      <c r="C33" s="62">
        <v>46113</v>
      </c>
      <c r="D33" s="64">
        <v>15000</v>
      </c>
      <c r="E33" s="64">
        <v>31</v>
      </c>
      <c r="F33" s="64">
        <f t="shared" si="17"/>
        <v>31</v>
      </c>
      <c r="G33" s="64">
        <v>0</v>
      </c>
      <c r="H33" s="65">
        <f t="shared" si="1"/>
        <v>7499.9984999999988</v>
      </c>
      <c r="I33" s="65">
        <f t="shared" si="2"/>
        <v>3749.9992499999994</v>
      </c>
      <c r="J33" s="65">
        <f t="shared" si="3"/>
        <v>1600</v>
      </c>
      <c r="K33" s="65">
        <f t="shared" si="4"/>
        <v>889.25250215000278</v>
      </c>
      <c r="L33" s="65">
        <f t="shared" si="5"/>
        <v>13739.250252150001</v>
      </c>
      <c r="M33" s="65">
        <f t="shared" si="6"/>
        <v>899.99981999999977</v>
      </c>
      <c r="N33" s="65">
        <v>0</v>
      </c>
      <c r="O33" s="65">
        <v>150</v>
      </c>
      <c r="P33" s="65">
        <v>0</v>
      </c>
      <c r="Q33" s="65">
        <v>0</v>
      </c>
      <c r="R33" s="65">
        <v>0</v>
      </c>
      <c r="S33" s="65">
        <f t="shared" si="7"/>
        <v>13739.250252150001</v>
      </c>
      <c r="T33" s="65">
        <v>0</v>
      </c>
      <c r="U33" s="66">
        <v>0</v>
      </c>
      <c r="V33" s="65">
        <v>0</v>
      </c>
      <c r="W33" s="65">
        <f t="shared" si="8"/>
        <v>899.99981999999977</v>
      </c>
      <c r="X33" s="65">
        <v>0</v>
      </c>
      <c r="Y33" s="65">
        <f t="shared" ref="Y33:Y50" si="19">H33*4.81%</f>
        <v>360.74992784999989</v>
      </c>
      <c r="Z33" s="65">
        <f t="shared" ref="Z33:Z50" si="20">M33+N33+O33+U33+V33+T33+W33+X33+Y33</f>
        <v>2310.7495678499995</v>
      </c>
      <c r="AA33" s="65">
        <f t="shared" ref="AA33:AA50" si="21">L33-Z33+Y33+W33</f>
        <v>12689.25043215</v>
      </c>
    </row>
    <row r="34" spans="1:27" x14ac:dyDescent="0.3">
      <c r="A34" s="67" t="s">
        <v>170</v>
      </c>
      <c r="B34" s="68" t="s">
        <v>171</v>
      </c>
      <c r="C34" s="62">
        <v>46113</v>
      </c>
      <c r="D34" s="64">
        <v>23000</v>
      </c>
      <c r="E34" s="64">
        <v>31</v>
      </c>
      <c r="F34" s="64">
        <f t="shared" si="17"/>
        <v>31</v>
      </c>
      <c r="G34" s="64">
        <v>0</v>
      </c>
      <c r="H34" s="65">
        <f t="shared" ref="H34:H50" si="22">(+D34*49.99999%)/E34*F34</f>
        <v>11499.997699999998</v>
      </c>
      <c r="I34" s="65">
        <f t="shared" si="2"/>
        <v>5749.998849999999</v>
      </c>
      <c r="J34" s="65">
        <f t="shared" ref="J34:J50" si="23">(1600/E34)*F34</f>
        <v>1600</v>
      </c>
      <c r="K34" s="65">
        <f t="shared" si="4"/>
        <v>2216.8538366300008</v>
      </c>
      <c r="L34" s="65">
        <f t="shared" ref="L34:L50" si="24">(D34-W34)/E34*F34-Y34</f>
        <v>21066.850386629998</v>
      </c>
      <c r="M34" s="65">
        <f t="shared" si="6"/>
        <v>1379.9997239999998</v>
      </c>
      <c r="N34" s="65">
        <f t="shared" si="11"/>
        <v>0</v>
      </c>
      <c r="O34" s="65">
        <v>200</v>
      </c>
      <c r="P34" s="65">
        <v>0</v>
      </c>
      <c r="Q34" s="65">
        <v>0</v>
      </c>
      <c r="R34" s="65">
        <v>0</v>
      </c>
      <c r="S34" s="65">
        <f t="shared" si="7"/>
        <v>21066.850386629998</v>
      </c>
      <c r="T34" s="65">
        <v>0</v>
      </c>
      <c r="U34" s="66">
        <v>0</v>
      </c>
      <c r="V34" s="65">
        <v>0</v>
      </c>
      <c r="W34" s="65">
        <f t="shared" si="8"/>
        <v>1379.9997239999998</v>
      </c>
      <c r="X34" s="65">
        <f t="shared" ref="X34:X47" si="25">IF(L34&lt;=21000,L34*3.25%,0)</f>
        <v>0</v>
      </c>
      <c r="Y34" s="65">
        <f t="shared" si="19"/>
        <v>553.14988936999987</v>
      </c>
      <c r="Z34" s="65">
        <f t="shared" si="20"/>
        <v>3513.1493373699996</v>
      </c>
      <c r="AA34" s="65">
        <f t="shared" si="21"/>
        <v>19486.85066263</v>
      </c>
    </row>
    <row r="35" spans="1:27" x14ac:dyDescent="0.3">
      <c r="A35" s="67" t="s">
        <v>172</v>
      </c>
      <c r="B35" s="67" t="s">
        <v>173</v>
      </c>
      <c r="C35" s="62">
        <v>46114</v>
      </c>
      <c r="D35" s="64">
        <v>24000</v>
      </c>
      <c r="E35" s="64">
        <v>31</v>
      </c>
      <c r="F35" s="64">
        <f t="shared" si="17"/>
        <v>31</v>
      </c>
      <c r="G35" s="64">
        <v>0</v>
      </c>
      <c r="H35" s="65">
        <f t="shared" si="22"/>
        <v>11999.997599999999</v>
      </c>
      <c r="I35" s="65">
        <f t="shared" si="2"/>
        <v>5999.9987999999994</v>
      </c>
      <c r="J35" s="65">
        <f t="shared" si="23"/>
        <v>1600</v>
      </c>
      <c r="K35" s="65">
        <f t="shared" si="4"/>
        <v>2382.8040034400019</v>
      </c>
      <c r="L35" s="65">
        <f t="shared" si="24"/>
        <v>21982.80040344</v>
      </c>
      <c r="M35" s="65">
        <f t="shared" si="6"/>
        <v>1439.9997119999998</v>
      </c>
      <c r="N35" s="65">
        <f t="shared" si="11"/>
        <v>0</v>
      </c>
      <c r="O35" s="65">
        <v>200</v>
      </c>
      <c r="P35" s="65">
        <v>0</v>
      </c>
      <c r="Q35" s="65">
        <v>0</v>
      </c>
      <c r="R35" s="65">
        <v>0</v>
      </c>
      <c r="S35" s="65">
        <f t="shared" si="7"/>
        <v>21982.80040344</v>
      </c>
      <c r="T35" s="65">
        <v>0</v>
      </c>
      <c r="U35" s="66">
        <v>0</v>
      </c>
      <c r="V35" s="65">
        <v>0</v>
      </c>
      <c r="W35" s="65">
        <f t="shared" si="8"/>
        <v>1439.9997119999998</v>
      </c>
      <c r="X35" s="65">
        <f t="shared" si="25"/>
        <v>0</v>
      </c>
      <c r="Y35" s="65">
        <f t="shared" si="19"/>
        <v>577.19988455999987</v>
      </c>
      <c r="Z35" s="65">
        <f t="shared" si="20"/>
        <v>3657.1993085599997</v>
      </c>
      <c r="AA35" s="65">
        <f t="shared" si="21"/>
        <v>20342.800691439999</v>
      </c>
    </row>
    <row r="36" spans="1:27" x14ac:dyDescent="0.3">
      <c r="A36" s="70" t="s">
        <v>175</v>
      </c>
      <c r="B36" s="64" t="s">
        <v>174</v>
      </c>
      <c r="C36" s="62">
        <v>46113</v>
      </c>
      <c r="D36" s="64">
        <v>35000</v>
      </c>
      <c r="E36" s="64">
        <v>31</v>
      </c>
      <c r="F36" s="64">
        <f t="shared" si="17"/>
        <v>31</v>
      </c>
      <c r="G36" s="64">
        <v>0</v>
      </c>
      <c r="H36" s="65">
        <f t="shared" si="22"/>
        <v>17499.996499999997</v>
      </c>
      <c r="I36" s="65">
        <f t="shared" si="2"/>
        <v>8749.9982499999987</v>
      </c>
      <c r="J36" s="65">
        <f t="shared" si="23"/>
        <v>1600</v>
      </c>
      <c r="K36" s="65">
        <f t="shared" si="4"/>
        <v>4508.2554183500051</v>
      </c>
      <c r="L36" s="65">
        <f t="shared" si="24"/>
        <v>32358.250168350001</v>
      </c>
      <c r="M36" s="65">
        <f t="shared" si="6"/>
        <v>1800</v>
      </c>
      <c r="N36" s="65">
        <f t="shared" si="11"/>
        <v>0</v>
      </c>
      <c r="O36" s="65">
        <v>200</v>
      </c>
      <c r="P36" s="65">
        <v>0</v>
      </c>
      <c r="Q36" s="65">
        <v>0</v>
      </c>
      <c r="R36" s="65">
        <v>0</v>
      </c>
      <c r="S36" s="65">
        <f t="shared" si="7"/>
        <v>32358.250168350001</v>
      </c>
      <c r="T36" s="65">
        <v>0</v>
      </c>
      <c r="U36" s="66">
        <v>0</v>
      </c>
      <c r="V36" s="65">
        <v>0</v>
      </c>
      <c r="W36" s="65">
        <f t="shared" si="8"/>
        <v>1800</v>
      </c>
      <c r="X36" s="65">
        <f t="shared" si="25"/>
        <v>0</v>
      </c>
      <c r="Y36" s="65">
        <f t="shared" si="19"/>
        <v>841.74983164999981</v>
      </c>
      <c r="Z36" s="65">
        <f t="shared" si="20"/>
        <v>4641.7498316499996</v>
      </c>
      <c r="AA36" s="65">
        <f t="shared" si="21"/>
        <v>30358.250168350001</v>
      </c>
    </row>
    <row r="37" spans="1:27" x14ac:dyDescent="0.3">
      <c r="A37" s="67" t="s">
        <v>322</v>
      </c>
      <c r="B37" s="79" t="s">
        <v>203</v>
      </c>
      <c r="C37" s="62">
        <v>46113</v>
      </c>
      <c r="D37" s="59">
        <v>100000</v>
      </c>
      <c r="E37" s="64">
        <v>31</v>
      </c>
      <c r="F37" s="64">
        <f t="shared" si="17"/>
        <v>31</v>
      </c>
      <c r="G37" s="64">
        <v>0</v>
      </c>
      <c r="H37" s="65">
        <f t="shared" si="22"/>
        <v>49999.989999999991</v>
      </c>
      <c r="I37" s="65">
        <f t="shared" ref="I37:I38" si="26">(H37*50%)</f>
        <v>24999.994999999995</v>
      </c>
      <c r="J37" s="65">
        <f t="shared" si="23"/>
        <v>1600</v>
      </c>
      <c r="K37" s="65">
        <f t="shared" ref="K37:K38" si="27">(L37-H37-I37-J37)</f>
        <v>19195.015481000009</v>
      </c>
      <c r="L37" s="65">
        <f t="shared" si="24"/>
        <v>95795.000480999995</v>
      </c>
      <c r="M37" s="65">
        <f t="shared" si="6"/>
        <v>1800</v>
      </c>
      <c r="N37" s="65">
        <f t="shared" ref="N37:N38" si="28">IF(L37&lt;=21000,L37*0.75%,0)</f>
        <v>0</v>
      </c>
      <c r="O37" s="65">
        <v>200</v>
      </c>
      <c r="P37" s="65">
        <v>0</v>
      </c>
      <c r="Q37" s="65">
        <v>0</v>
      </c>
      <c r="R37" s="65">
        <v>0</v>
      </c>
      <c r="S37" s="65">
        <f t="shared" ref="S37:S38" si="29">L37+P37+Q37+R37</f>
        <v>95795.000480999995</v>
      </c>
      <c r="T37" s="65">
        <v>0</v>
      </c>
      <c r="U37" s="66">
        <v>0</v>
      </c>
      <c r="V37" s="65">
        <v>0</v>
      </c>
      <c r="W37" s="65">
        <f t="shared" si="8"/>
        <v>1800</v>
      </c>
      <c r="X37" s="65">
        <f t="shared" si="25"/>
        <v>0</v>
      </c>
      <c r="Y37" s="65">
        <f t="shared" si="19"/>
        <v>2404.9995189999995</v>
      </c>
      <c r="Z37" s="65">
        <f t="shared" si="20"/>
        <v>6204.9995189999991</v>
      </c>
      <c r="AA37" s="65">
        <f t="shared" si="21"/>
        <v>93795.000480999995</v>
      </c>
    </row>
    <row r="38" spans="1:27" x14ac:dyDescent="0.3">
      <c r="A38" s="67" t="s">
        <v>209</v>
      </c>
      <c r="B38" s="79" t="s">
        <v>205</v>
      </c>
      <c r="C38" s="71">
        <v>46113</v>
      </c>
      <c r="D38" s="59">
        <v>33333</v>
      </c>
      <c r="E38" s="64">
        <v>31</v>
      </c>
      <c r="F38" s="64">
        <f t="shared" si="17"/>
        <v>31</v>
      </c>
      <c r="G38" s="64">
        <v>0</v>
      </c>
      <c r="H38" s="73">
        <f t="shared" si="22"/>
        <v>16666.496666699997</v>
      </c>
      <c r="I38" s="73">
        <f t="shared" si="26"/>
        <v>8333.2483333499986</v>
      </c>
      <c r="J38" s="73">
        <f t="shared" si="23"/>
        <v>1600</v>
      </c>
      <c r="K38" s="73">
        <f t="shared" si="27"/>
        <v>4131.5965102817354</v>
      </c>
      <c r="L38" s="73">
        <f t="shared" si="24"/>
        <v>30731.341510331731</v>
      </c>
      <c r="M38" s="73">
        <f t="shared" si="6"/>
        <v>1800</v>
      </c>
      <c r="N38" s="73">
        <f t="shared" si="28"/>
        <v>0</v>
      </c>
      <c r="O38" s="73">
        <v>200</v>
      </c>
      <c r="P38" s="73">
        <v>0</v>
      </c>
      <c r="Q38" s="73">
        <v>0</v>
      </c>
      <c r="R38" s="73">
        <v>0</v>
      </c>
      <c r="S38" s="73">
        <f t="shared" si="29"/>
        <v>30731.341510331731</v>
      </c>
      <c r="T38" s="73">
        <v>0</v>
      </c>
      <c r="U38" s="66">
        <v>0</v>
      </c>
      <c r="V38" s="73">
        <v>0</v>
      </c>
      <c r="W38" s="73">
        <f t="shared" si="8"/>
        <v>1800</v>
      </c>
      <c r="X38" s="73">
        <f t="shared" si="25"/>
        <v>0</v>
      </c>
      <c r="Y38" s="73">
        <f t="shared" si="19"/>
        <v>801.65848966826979</v>
      </c>
      <c r="Z38" s="73">
        <f t="shared" si="20"/>
        <v>4601.6584896682698</v>
      </c>
      <c r="AA38" s="73">
        <f t="shared" si="21"/>
        <v>28731.341510331731</v>
      </c>
    </row>
    <row r="39" spans="1:27" x14ac:dyDescent="0.3">
      <c r="A39" s="64" t="s">
        <v>234</v>
      </c>
      <c r="B39" s="64" t="s">
        <v>235</v>
      </c>
      <c r="C39" s="76">
        <v>46146</v>
      </c>
      <c r="D39" s="64">
        <v>35000</v>
      </c>
      <c r="E39" s="64">
        <v>31</v>
      </c>
      <c r="F39" s="64">
        <f t="shared" si="17"/>
        <v>31</v>
      </c>
      <c r="G39" s="64">
        <v>0</v>
      </c>
      <c r="H39" s="73">
        <f t="shared" si="22"/>
        <v>17499.996499999997</v>
      </c>
      <c r="I39" s="73">
        <f t="shared" ref="I39:I50" si="30">(H39*50%)</f>
        <v>8749.9982499999987</v>
      </c>
      <c r="J39" s="73">
        <f t="shared" si="23"/>
        <v>1600</v>
      </c>
      <c r="K39" s="73">
        <f t="shared" ref="K39:K50" si="31">(L39-H39-I39-J39)</f>
        <v>4508.2554183500051</v>
      </c>
      <c r="L39" s="73">
        <f t="shared" si="24"/>
        <v>32358.250168350001</v>
      </c>
      <c r="M39" s="73">
        <f t="shared" ref="M39:M50" si="32">IF($H39*0.12&gt;1800,1800,$H39*0.12)</f>
        <v>1800</v>
      </c>
      <c r="N39" s="73">
        <f t="shared" ref="N39:N47" si="33">IF(L39&lt;=21000,L39*0.75%,0)</f>
        <v>0</v>
      </c>
      <c r="O39" s="73">
        <v>200</v>
      </c>
      <c r="P39" s="73">
        <v>0</v>
      </c>
      <c r="Q39" s="73">
        <v>0</v>
      </c>
      <c r="R39" s="73">
        <v>0</v>
      </c>
      <c r="S39" s="73">
        <f t="shared" ref="S39:S50" si="34">L39+P39+Q39+R39</f>
        <v>32358.250168350001</v>
      </c>
      <c r="T39" s="73">
        <v>0</v>
      </c>
      <c r="U39" s="66">
        <v>0</v>
      </c>
      <c r="V39" s="73">
        <v>0</v>
      </c>
      <c r="W39" s="73">
        <f t="shared" ref="W39:W50" si="35">IF($H39*0.12&gt;1800,1800,$H39*0.12)</f>
        <v>1800</v>
      </c>
      <c r="X39" s="73">
        <f t="shared" si="25"/>
        <v>0</v>
      </c>
      <c r="Y39" s="73">
        <f t="shared" si="19"/>
        <v>841.74983164999981</v>
      </c>
      <c r="Z39" s="73">
        <f t="shared" si="20"/>
        <v>4641.7498316499996</v>
      </c>
      <c r="AA39" s="73">
        <f t="shared" si="21"/>
        <v>30358.250168350001</v>
      </c>
    </row>
    <row r="40" spans="1:27" x14ac:dyDescent="0.3">
      <c r="A40" s="64" t="s">
        <v>236</v>
      </c>
      <c r="B40" s="64" t="s">
        <v>237</v>
      </c>
      <c r="C40" s="76">
        <v>46146</v>
      </c>
      <c r="D40" s="64">
        <v>15000</v>
      </c>
      <c r="E40" s="64">
        <v>31</v>
      </c>
      <c r="F40" s="64">
        <f t="shared" si="17"/>
        <v>31</v>
      </c>
      <c r="G40" s="64">
        <v>0</v>
      </c>
      <c r="H40" s="73">
        <f t="shared" si="22"/>
        <v>7499.9984999999988</v>
      </c>
      <c r="I40" s="73">
        <f t="shared" si="30"/>
        <v>3749.9992499999994</v>
      </c>
      <c r="J40" s="73">
        <f t="shared" si="23"/>
        <v>1600</v>
      </c>
      <c r="K40" s="73">
        <f t="shared" si="31"/>
        <v>889.25250215000278</v>
      </c>
      <c r="L40" s="73">
        <f t="shared" si="24"/>
        <v>13739.250252150001</v>
      </c>
      <c r="M40" s="73">
        <f t="shared" si="32"/>
        <v>899.99981999999977</v>
      </c>
      <c r="N40" s="73">
        <v>0</v>
      </c>
      <c r="O40" s="73">
        <v>150</v>
      </c>
      <c r="P40" s="73">
        <v>0</v>
      </c>
      <c r="Q40" s="73">
        <v>0</v>
      </c>
      <c r="R40" s="73">
        <v>0</v>
      </c>
      <c r="S40" s="73">
        <f t="shared" si="34"/>
        <v>13739.250252150001</v>
      </c>
      <c r="T40" s="73">
        <v>0</v>
      </c>
      <c r="U40" s="66">
        <v>0</v>
      </c>
      <c r="V40" s="73">
        <v>0</v>
      </c>
      <c r="W40" s="73">
        <f t="shared" si="35"/>
        <v>899.99981999999977</v>
      </c>
      <c r="X40" s="73">
        <v>0</v>
      </c>
      <c r="Y40" s="73">
        <f t="shared" si="19"/>
        <v>360.74992784999989</v>
      </c>
      <c r="Z40" s="73">
        <f t="shared" si="20"/>
        <v>2310.7495678499995</v>
      </c>
      <c r="AA40" s="73">
        <f>L40-Z40+Y40+W40+X40</f>
        <v>12689.25043215</v>
      </c>
    </row>
    <row r="41" spans="1:27" x14ac:dyDescent="0.3">
      <c r="A41" s="64" t="s">
        <v>238</v>
      </c>
      <c r="B41" s="64" t="s">
        <v>239</v>
      </c>
      <c r="C41" s="76">
        <v>46146</v>
      </c>
      <c r="D41" s="64">
        <v>23000</v>
      </c>
      <c r="E41" s="64">
        <v>31</v>
      </c>
      <c r="F41" s="64">
        <f t="shared" si="17"/>
        <v>31</v>
      </c>
      <c r="G41" s="64">
        <v>0</v>
      </c>
      <c r="H41" s="73">
        <f t="shared" si="22"/>
        <v>11499.997699999998</v>
      </c>
      <c r="I41" s="73">
        <f t="shared" si="30"/>
        <v>5749.998849999999</v>
      </c>
      <c r="J41" s="73">
        <f t="shared" si="23"/>
        <v>1600</v>
      </c>
      <c r="K41" s="73">
        <f t="shared" si="31"/>
        <v>2216.8538366300008</v>
      </c>
      <c r="L41" s="73">
        <f t="shared" si="24"/>
        <v>21066.850386629998</v>
      </c>
      <c r="M41" s="73">
        <f t="shared" si="32"/>
        <v>1379.9997239999998</v>
      </c>
      <c r="N41" s="73">
        <f t="shared" si="33"/>
        <v>0</v>
      </c>
      <c r="O41" s="73">
        <v>200</v>
      </c>
      <c r="P41" s="73">
        <v>0</v>
      </c>
      <c r="Q41" s="73">
        <v>0</v>
      </c>
      <c r="R41" s="73">
        <v>0</v>
      </c>
      <c r="S41" s="73">
        <f t="shared" si="34"/>
        <v>21066.850386629998</v>
      </c>
      <c r="T41" s="73">
        <v>0</v>
      </c>
      <c r="U41" s="66">
        <v>0</v>
      </c>
      <c r="V41" s="73">
        <v>0</v>
      </c>
      <c r="W41" s="73">
        <f t="shared" si="35"/>
        <v>1379.9997239999998</v>
      </c>
      <c r="X41" s="73">
        <f t="shared" si="25"/>
        <v>0</v>
      </c>
      <c r="Y41" s="73">
        <f t="shared" si="19"/>
        <v>553.14988936999987</v>
      </c>
      <c r="Z41" s="73">
        <f t="shared" si="20"/>
        <v>3513.1493373699996</v>
      </c>
      <c r="AA41" s="73">
        <f t="shared" si="21"/>
        <v>19486.85066263</v>
      </c>
    </row>
    <row r="42" spans="1:27" x14ac:dyDescent="0.3">
      <c r="A42" s="64" t="s">
        <v>240</v>
      </c>
      <c r="B42" s="64" t="s">
        <v>241</v>
      </c>
      <c r="C42" s="76">
        <v>46146</v>
      </c>
      <c r="D42" s="64">
        <v>30000</v>
      </c>
      <c r="E42" s="64">
        <v>31</v>
      </c>
      <c r="F42" s="64">
        <f t="shared" si="17"/>
        <v>31</v>
      </c>
      <c r="G42" s="64">
        <v>0</v>
      </c>
      <c r="H42" s="73">
        <f t="shared" si="22"/>
        <v>14999.996999999998</v>
      </c>
      <c r="I42" s="73">
        <f t="shared" si="30"/>
        <v>7499.9984999999988</v>
      </c>
      <c r="J42" s="73">
        <f t="shared" si="23"/>
        <v>1600</v>
      </c>
      <c r="K42" s="73">
        <f t="shared" si="31"/>
        <v>3378.5050043000056</v>
      </c>
      <c r="L42" s="73">
        <f t="shared" si="24"/>
        <v>27478.500504300002</v>
      </c>
      <c r="M42" s="73">
        <f t="shared" si="32"/>
        <v>1799.9996399999995</v>
      </c>
      <c r="N42" s="73">
        <f t="shared" si="33"/>
        <v>0</v>
      </c>
      <c r="O42" s="73">
        <v>200</v>
      </c>
      <c r="P42" s="73">
        <v>0</v>
      </c>
      <c r="Q42" s="73">
        <v>0</v>
      </c>
      <c r="R42" s="73">
        <v>0</v>
      </c>
      <c r="S42" s="73">
        <f t="shared" si="34"/>
        <v>27478.500504300002</v>
      </c>
      <c r="T42" s="73">
        <v>0</v>
      </c>
      <c r="U42" s="66">
        <v>0</v>
      </c>
      <c r="V42" s="73">
        <v>0</v>
      </c>
      <c r="W42" s="73">
        <f t="shared" si="35"/>
        <v>1799.9996399999995</v>
      </c>
      <c r="X42" s="73">
        <f t="shared" si="25"/>
        <v>0</v>
      </c>
      <c r="Y42" s="73">
        <f t="shared" si="19"/>
        <v>721.49985569999978</v>
      </c>
      <c r="Z42" s="73">
        <f t="shared" si="20"/>
        <v>4521.499135699999</v>
      </c>
      <c r="AA42" s="73">
        <f t="shared" si="21"/>
        <v>25478.5008643</v>
      </c>
    </row>
    <row r="43" spans="1:27" x14ac:dyDescent="0.3">
      <c r="A43" s="64" t="s">
        <v>242</v>
      </c>
      <c r="B43" s="64" t="s">
        <v>243</v>
      </c>
      <c r="C43" s="76">
        <v>46146</v>
      </c>
      <c r="D43" s="64">
        <v>45000</v>
      </c>
      <c r="E43" s="64">
        <v>31</v>
      </c>
      <c r="F43" s="64">
        <f t="shared" si="17"/>
        <v>31</v>
      </c>
      <c r="G43" s="64">
        <v>0</v>
      </c>
      <c r="H43" s="73">
        <f t="shared" si="22"/>
        <v>22499.995499999997</v>
      </c>
      <c r="I43" s="73">
        <f t="shared" si="30"/>
        <v>11249.997749999999</v>
      </c>
      <c r="J43" s="73">
        <f t="shared" si="23"/>
        <v>1600</v>
      </c>
      <c r="K43" s="73">
        <f t="shared" si="31"/>
        <v>6767.7569664500079</v>
      </c>
      <c r="L43" s="73">
        <f t="shared" si="24"/>
        <v>42117.750216450004</v>
      </c>
      <c r="M43" s="73">
        <f t="shared" si="32"/>
        <v>1800</v>
      </c>
      <c r="N43" s="73">
        <f t="shared" si="33"/>
        <v>0</v>
      </c>
      <c r="O43" s="73">
        <v>200</v>
      </c>
      <c r="P43" s="73">
        <v>0</v>
      </c>
      <c r="Q43" s="73">
        <v>0</v>
      </c>
      <c r="R43" s="73">
        <v>0</v>
      </c>
      <c r="S43" s="73">
        <f t="shared" si="34"/>
        <v>42117.750216450004</v>
      </c>
      <c r="T43" s="73">
        <v>0</v>
      </c>
      <c r="U43" s="66">
        <v>0</v>
      </c>
      <c r="V43" s="73">
        <v>0</v>
      </c>
      <c r="W43" s="73">
        <f t="shared" si="35"/>
        <v>1800</v>
      </c>
      <c r="X43" s="73">
        <f t="shared" si="25"/>
        <v>0</v>
      </c>
      <c r="Y43" s="73">
        <f t="shared" si="19"/>
        <v>1082.2497835499998</v>
      </c>
      <c r="Z43" s="73">
        <f t="shared" si="20"/>
        <v>4882.2497835499998</v>
      </c>
      <c r="AA43" s="73">
        <f t="shared" si="21"/>
        <v>40117.750216450004</v>
      </c>
    </row>
    <row r="44" spans="1:27" x14ac:dyDescent="0.3">
      <c r="A44" s="64" t="s">
        <v>244</v>
      </c>
      <c r="B44" s="64" t="s">
        <v>245</v>
      </c>
      <c r="C44" s="76">
        <v>46146</v>
      </c>
      <c r="D44" s="64">
        <v>15000</v>
      </c>
      <c r="E44" s="64">
        <v>31</v>
      </c>
      <c r="F44" s="64">
        <f t="shared" si="17"/>
        <v>31</v>
      </c>
      <c r="G44" s="64">
        <v>0</v>
      </c>
      <c r="H44" s="73">
        <f t="shared" si="22"/>
        <v>7499.9984999999988</v>
      </c>
      <c r="I44" s="73">
        <f t="shared" si="30"/>
        <v>3749.9992499999994</v>
      </c>
      <c r="J44" s="73">
        <f t="shared" si="23"/>
        <v>1600</v>
      </c>
      <c r="K44" s="73">
        <f t="shared" si="31"/>
        <v>889.25250215000278</v>
      </c>
      <c r="L44" s="73">
        <f t="shared" si="24"/>
        <v>13739.250252150001</v>
      </c>
      <c r="M44" s="73">
        <f t="shared" si="32"/>
        <v>899.99981999999977</v>
      </c>
      <c r="N44" s="73">
        <v>0</v>
      </c>
      <c r="O44" s="73">
        <v>150</v>
      </c>
      <c r="P44" s="73">
        <v>0</v>
      </c>
      <c r="Q44" s="73">
        <v>0</v>
      </c>
      <c r="R44" s="73">
        <v>0</v>
      </c>
      <c r="S44" s="73">
        <f t="shared" si="34"/>
        <v>13739.250252150001</v>
      </c>
      <c r="T44" s="73">
        <v>0</v>
      </c>
      <c r="U44" s="66">
        <v>0</v>
      </c>
      <c r="V44" s="73">
        <v>0</v>
      </c>
      <c r="W44" s="73">
        <f t="shared" si="35"/>
        <v>899.99981999999977</v>
      </c>
      <c r="X44" s="73">
        <v>0</v>
      </c>
      <c r="Y44" s="73">
        <f t="shared" si="19"/>
        <v>360.74992784999989</v>
      </c>
      <c r="Z44" s="73">
        <f t="shared" si="20"/>
        <v>2310.7495678499995</v>
      </c>
      <c r="AA44" s="73">
        <f t="shared" si="21"/>
        <v>12689.25043215</v>
      </c>
    </row>
    <row r="45" spans="1:27" x14ac:dyDescent="0.3">
      <c r="A45" s="64" t="s">
        <v>246</v>
      </c>
      <c r="B45" s="64" t="s">
        <v>247</v>
      </c>
      <c r="C45" s="76">
        <v>46146</v>
      </c>
      <c r="D45" s="64">
        <v>15000</v>
      </c>
      <c r="E45" s="64">
        <v>31</v>
      </c>
      <c r="F45" s="64">
        <f t="shared" si="17"/>
        <v>31</v>
      </c>
      <c r="G45" s="64">
        <v>0</v>
      </c>
      <c r="H45" s="73">
        <f t="shared" si="22"/>
        <v>7499.9984999999988</v>
      </c>
      <c r="I45" s="73">
        <f t="shared" si="30"/>
        <v>3749.9992499999994</v>
      </c>
      <c r="J45" s="73">
        <f t="shared" si="23"/>
        <v>1600</v>
      </c>
      <c r="K45" s="73">
        <f t="shared" si="31"/>
        <v>889.25250215000278</v>
      </c>
      <c r="L45" s="73">
        <f t="shared" si="24"/>
        <v>13739.250252150001</v>
      </c>
      <c r="M45" s="73">
        <f t="shared" si="32"/>
        <v>899.99981999999977</v>
      </c>
      <c r="N45" s="73">
        <v>0</v>
      </c>
      <c r="O45" s="73">
        <v>150</v>
      </c>
      <c r="P45" s="73">
        <v>0</v>
      </c>
      <c r="Q45" s="73">
        <v>0</v>
      </c>
      <c r="R45" s="73">
        <v>0</v>
      </c>
      <c r="S45" s="73">
        <f t="shared" si="34"/>
        <v>13739.250252150001</v>
      </c>
      <c r="T45" s="73">
        <v>0</v>
      </c>
      <c r="U45" s="66">
        <v>0</v>
      </c>
      <c r="V45" s="73">
        <v>0</v>
      </c>
      <c r="W45" s="73">
        <f t="shared" si="35"/>
        <v>899.99981999999977</v>
      </c>
      <c r="X45" s="73">
        <v>0</v>
      </c>
      <c r="Y45" s="73">
        <f t="shared" si="19"/>
        <v>360.74992784999989</v>
      </c>
      <c r="Z45" s="73">
        <f t="shared" si="20"/>
        <v>2310.7495678499995</v>
      </c>
      <c r="AA45" s="73">
        <f t="shared" si="21"/>
        <v>12689.25043215</v>
      </c>
    </row>
    <row r="46" spans="1:27" x14ac:dyDescent="0.3">
      <c r="A46" s="64" t="s">
        <v>248</v>
      </c>
      <c r="B46" s="64" t="s">
        <v>249</v>
      </c>
      <c r="C46" s="76">
        <v>46146</v>
      </c>
      <c r="D46" s="64">
        <v>45000</v>
      </c>
      <c r="E46" s="64">
        <v>31</v>
      </c>
      <c r="F46" s="64">
        <f t="shared" si="17"/>
        <v>31</v>
      </c>
      <c r="G46" s="64">
        <v>0</v>
      </c>
      <c r="H46" s="73">
        <f t="shared" si="22"/>
        <v>22499.995499999997</v>
      </c>
      <c r="I46" s="73">
        <f t="shared" si="30"/>
        <v>11249.997749999999</v>
      </c>
      <c r="J46" s="73">
        <f t="shared" si="23"/>
        <v>1600</v>
      </c>
      <c r="K46" s="73">
        <f t="shared" si="31"/>
        <v>6767.7569664500079</v>
      </c>
      <c r="L46" s="73">
        <f t="shared" si="24"/>
        <v>42117.750216450004</v>
      </c>
      <c r="M46" s="73">
        <f t="shared" si="32"/>
        <v>1800</v>
      </c>
      <c r="N46" s="73">
        <f t="shared" si="33"/>
        <v>0</v>
      </c>
      <c r="O46" s="73">
        <v>200</v>
      </c>
      <c r="P46" s="73">
        <v>0</v>
      </c>
      <c r="Q46" s="73">
        <v>0</v>
      </c>
      <c r="R46" s="73">
        <v>0</v>
      </c>
      <c r="S46" s="73">
        <f t="shared" si="34"/>
        <v>42117.750216450004</v>
      </c>
      <c r="T46" s="73">
        <v>0</v>
      </c>
      <c r="U46" s="66">
        <v>0</v>
      </c>
      <c r="V46" s="73">
        <v>0</v>
      </c>
      <c r="W46" s="73">
        <f t="shared" si="35"/>
        <v>1800</v>
      </c>
      <c r="X46" s="73">
        <f t="shared" si="25"/>
        <v>0</v>
      </c>
      <c r="Y46" s="73">
        <f t="shared" si="19"/>
        <v>1082.2497835499998</v>
      </c>
      <c r="Z46" s="73">
        <f t="shared" si="20"/>
        <v>4882.2497835499998</v>
      </c>
      <c r="AA46" s="73">
        <f t="shared" si="21"/>
        <v>40117.750216450004</v>
      </c>
    </row>
    <row r="47" spans="1:27" x14ac:dyDescent="0.3">
      <c r="A47" s="64" t="s">
        <v>250</v>
      </c>
      <c r="B47" s="64" t="s">
        <v>251</v>
      </c>
      <c r="C47" s="76">
        <v>46146</v>
      </c>
      <c r="D47" s="64">
        <v>35000</v>
      </c>
      <c r="E47" s="64">
        <v>31</v>
      </c>
      <c r="F47" s="64">
        <f t="shared" si="17"/>
        <v>31</v>
      </c>
      <c r="G47" s="64">
        <v>0</v>
      </c>
      <c r="H47" s="73">
        <f t="shared" si="22"/>
        <v>17499.996499999997</v>
      </c>
      <c r="I47" s="73">
        <f t="shared" si="30"/>
        <v>8749.9982499999987</v>
      </c>
      <c r="J47" s="73">
        <f t="shared" si="23"/>
        <v>1600</v>
      </c>
      <c r="K47" s="73">
        <f t="shared" si="31"/>
        <v>4508.2554183500051</v>
      </c>
      <c r="L47" s="73">
        <f t="shared" si="24"/>
        <v>32358.250168350001</v>
      </c>
      <c r="M47" s="73">
        <f t="shared" si="32"/>
        <v>1800</v>
      </c>
      <c r="N47" s="73">
        <f t="shared" si="33"/>
        <v>0</v>
      </c>
      <c r="O47" s="73">
        <v>200</v>
      </c>
      <c r="P47" s="73">
        <v>0</v>
      </c>
      <c r="Q47" s="73">
        <v>0</v>
      </c>
      <c r="R47" s="73">
        <v>0</v>
      </c>
      <c r="S47" s="73">
        <f t="shared" si="34"/>
        <v>32358.250168350001</v>
      </c>
      <c r="T47" s="73">
        <v>0</v>
      </c>
      <c r="U47" s="66">
        <v>0</v>
      </c>
      <c r="V47" s="73">
        <v>0</v>
      </c>
      <c r="W47" s="73">
        <f t="shared" si="35"/>
        <v>1800</v>
      </c>
      <c r="X47" s="73">
        <f t="shared" si="25"/>
        <v>0</v>
      </c>
      <c r="Y47" s="73">
        <f t="shared" si="19"/>
        <v>841.74983164999981</v>
      </c>
      <c r="Z47" s="73">
        <f t="shared" si="20"/>
        <v>4641.7498316499996</v>
      </c>
      <c r="AA47" s="73">
        <f t="shared" si="21"/>
        <v>30358.250168350001</v>
      </c>
    </row>
    <row r="48" spans="1:27" x14ac:dyDescent="0.3">
      <c r="A48" s="64" t="s">
        <v>252</v>
      </c>
      <c r="B48" s="64" t="s">
        <v>253</v>
      </c>
      <c r="C48" s="76">
        <v>46146</v>
      </c>
      <c r="D48" s="64">
        <v>15000</v>
      </c>
      <c r="E48" s="64">
        <v>31</v>
      </c>
      <c r="F48" s="64">
        <f t="shared" si="17"/>
        <v>31</v>
      </c>
      <c r="G48" s="64">
        <v>0</v>
      </c>
      <c r="H48" s="73">
        <f t="shared" si="22"/>
        <v>7499.9984999999988</v>
      </c>
      <c r="I48" s="73">
        <f t="shared" si="30"/>
        <v>3749.9992499999994</v>
      </c>
      <c r="J48" s="73">
        <f t="shared" si="23"/>
        <v>1600</v>
      </c>
      <c r="K48" s="73">
        <f t="shared" si="31"/>
        <v>889.25250215000278</v>
      </c>
      <c r="L48" s="73">
        <f t="shared" si="24"/>
        <v>13739.250252150001</v>
      </c>
      <c r="M48" s="73">
        <f t="shared" si="32"/>
        <v>899.99981999999977</v>
      </c>
      <c r="N48" s="73">
        <v>0</v>
      </c>
      <c r="O48" s="73">
        <v>150</v>
      </c>
      <c r="P48" s="73">
        <v>0</v>
      </c>
      <c r="Q48" s="73">
        <v>0</v>
      </c>
      <c r="R48" s="73">
        <v>0</v>
      </c>
      <c r="S48" s="73">
        <f t="shared" si="34"/>
        <v>13739.250252150001</v>
      </c>
      <c r="T48" s="73">
        <v>0</v>
      </c>
      <c r="U48" s="66">
        <v>0</v>
      </c>
      <c r="V48" s="73">
        <v>0</v>
      </c>
      <c r="W48" s="73">
        <f t="shared" si="35"/>
        <v>899.99981999999977</v>
      </c>
      <c r="X48" s="73">
        <v>0</v>
      </c>
      <c r="Y48" s="73">
        <f t="shared" si="19"/>
        <v>360.74992784999989</v>
      </c>
      <c r="Z48" s="73">
        <f t="shared" si="20"/>
        <v>2310.7495678499995</v>
      </c>
      <c r="AA48" s="73">
        <f t="shared" si="21"/>
        <v>12689.25043215</v>
      </c>
    </row>
    <row r="49" spans="1:27" x14ac:dyDescent="0.3">
      <c r="A49" s="64" t="s">
        <v>208</v>
      </c>
      <c r="B49" s="72" t="s">
        <v>254</v>
      </c>
      <c r="C49" s="77">
        <v>46146</v>
      </c>
      <c r="D49" s="72">
        <v>15000</v>
      </c>
      <c r="E49" s="64">
        <v>31</v>
      </c>
      <c r="F49" s="64">
        <f t="shared" si="17"/>
        <v>31</v>
      </c>
      <c r="G49" s="64">
        <v>0</v>
      </c>
      <c r="H49" s="73">
        <f t="shared" si="22"/>
        <v>7499.9984999999988</v>
      </c>
      <c r="I49" s="73">
        <f t="shared" si="30"/>
        <v>3749.9992499999994</v>
      </c>
      <c r="J49" s="73">
        <f t="shared" si="23"/>
        <v>1600</v>
      </c>
      <c r="K49" s="73">
        <f t="shared" si="31"/>
        <v>889.25250215000278</v>
      </c>
      <c r="L49" s="73">
        <f t="shared" si="24"/>
        <v>13739.250252150001</v>
      </c>
      <c r="M49" s="73">
        <f t="shared" si="32"/>
        <v>899.99981999999977</v>
      </c>
      <c r="N49" s="73">
        <v>0</v>
      </c>
      <c r="O49" s="73">
        <v>150</v>
      </c>
      <c r="P49" s="73">
        <v>0</v>
      </c>
      <c r="Q49" s="73">
        <v>0</v>
      </c>
      <c r="R49" s="73">
        <v>0</v>
      </c>
      <c r="S49" s="73">
        <f t="shared" si="34"/>
        <v>13739.250252150001</v>
      </c>
      <c r="T49" s="73">
        <v>0</v>
      </c>
      <c r="U49" s="66">
        <v>0</v>
      </c>
      <c r="V49" s="73">
        <v>0</v>
      </c>
      <c r="W49" s="73">
        <f t="shared" si="35"/>
        <v>899.99981999999977</v>
      </c>
      <c r="X49" s="73">
        <v>0</v>
      </c>
      <c r="Y49" s="73">
        <f t="shared" si="19"/>
        <v>360.74992784999989</v>
      </c>
      <c r="Z49" s="73">
        <f t="shared" si="20"/>
        <v>2310.7495678499995</v>
      </c>
      <c r="AA49" s="73">
        <f>L49-Z49+Y49+W49+X49</f>
        <v>12689.25043215</v>
      </c>
    </row>
    <row r="50" spans="1:27" x14ac:dyDescent="0.3">
      <c r="A50" s="64" t="s">
        <v>255</v>
      </c>
      <c r="B50" s="64" t="s">
        <v>256</v>
      </c>
      <c r="C50" s="76">
        <v>46148</v>
      </c>
      <c r="D50" s="64">
        <v>15000</v>
      </c>
      <c r="E50" s="64">
        <v>31</v>
      </c>
      <c r="F50" s="64">
        <f t="shared" si="17"/>
        <v>31</v>
      </c>
      <c r="G50" s="64">
        <v>0</v>
      </c>
      <c r="H50" s="65">
        <f t="shared" si="22"/>
        <v>7499.9984999999988</v>
      </c>
      <c r="I50" s="65">
        <f t="shared" si="30"/>
        <v>3749.9992499999994</v>
      </c>
      <c r="J50" s="65">
        <f t="shared" si="23"/>
        <v>1600</v>
      </c>
      <c r="K50" s="65">
        <f t="shared" si="31"/>
        <v>889.25250215000278</v>
      </c>
      <c r="L50" s="65">
        <f t="shared" si="24"/>
        <v>13739.250252150001</v>
      </c>
      <c r="M50" s="65">
        <f t="shared" si="32"/>
        <v>899.99981999999977</v>
      </c>
      <c r="N50" s="65">
        <v>0</v>
      </c>
      <c r="O50" s="73">
        <v>150</v>
      </c>
      <c r="P50" s="65">
        <v>0</v>
      </c>
      <c r="Q50" s="65">
        <v>0</v>
      </c>
      <c r="R50" s="65">
        <v>0</v>
      </c>
      <c r="S50" s="65">
        <f t="shared" si="34"/>
        <v>13739.250252150001</v>
      </c>
      <c r="T50" s="65">
        <v>0</v>
      </c>
      <c r="U50" s="66">
        <v>0</v>
      </c>
      <c r="V50" s="65">
        <v>0</v>
      </c>
      <c r="W50" s="65">
        <f t="shared" si="35"/>
        <v>899.99981999999977</v>
      </c>
      <c r="X50" s="65">
        <v>0</v>
      </c>
      <c r="Y50" s="65">
        <f t="shared" si="19"/>
        <v>360.74992784999989</v>
      </c>
      <c r="Z50" s="65">
        <f t="shared" si="20"/>
        <v>2310.7495678499995</v>
      </c>
      <c r="AA50" s="65">
        <f t="shared" si="21"/>
        <v>12689.25043215</v>
      </c>
    </row>
    <row r="51" spans="1:27" x14ac:dyDescent="0.35">
      <c r="H51" s="78"/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C0A7-FA40-42C2-A0AE-90708849FE17}">
  <dimension ref="A1:AA14"/>
  <sheetViews>
    <sheetView tabSelected="1" topLeftCell="K1" zoomScale="130" zoomScaleNormal="130" workbookViewId="0">
      <selection activeCell="U8" sqref="U8"/>
    </sheetView>
  </sheetViews>
  <sheetFormatPr defaultRowHeight="14.5" x14ac:dyDescent="0.35"/>
  <cols>
    <col min="1" max="1" width="9.453125" bestFit="1" customWidth="1"/>
    <col min="2" max="2" width="18.6328125" bestFit="1" customWidth="1"/>
    <col min="3" max="3" width="7.90625" bestFit="1" customWidth="1"/>
    <col min="4" max="4" width="6.54296875" bestFit="1" customWidth="1"/>
    <col min="5" max="5" width="6.90625" customWidth="1"/>
    <col min="6" max="7" width="7.453125" customWidth="1"/>
    <col min="8" max="9" width="4.90625" bestFit="1" customWidth="1"/>
    <col min="10" max="11" width="7.90625" bestFit="1" customWidth="1"/>
    <col min="12" max="12" width="6" bestFit="1" customWidth="1"/>
    <col min="13" max="13" width="7.6328125" customWidth="1"/>
    <col min="14" max="14" width="8.453125" customWidth="1"/>
    <col min="15" max="15" width="8" customWidth="1"/>
    <col min="16" max="16" width="5.81640625" customWidth="1"/>
    <col min="17" max="17" width="12.36328125" customWidth="1"/>
    <col min="18" max="18" width="7.1796875" customWidth="1"/>
    <col min="19" max="19" width="6.6328125" bestFit="1" customWidth="1"/>
    <col min="20" max="20" width="3.453125" customWidth="1"/>
    <col min="21" max="21" width="7.90625" customWidth="1"/>
    <col min="22" max="22" width="8.54296875" customWidth="1"/>
    <col min="23" max="23" width="7.36328125" customWidth="1"/>
    <col min="24" max="24" width="8.453125" customWidth="1"/>
    <col min="25" max="25" width="6.36328125" bestFit="1" customWidth="1"/>
    <col min="26" max="26" width="8.54296875" bestFit="1" customWidth="1"/>
    <col min="27" max="27" width="7.81640625" bestFit="1" customWidth="1"/>
  </cols>
  <sheetData>
    <row r="1" spans="1:27" ht="24" x14ac:dyDescent="0.35">
      <c r="A1" s="57" t="s">
        <v>1</v>
      </c>
      <c r="B1" s="57" t="s">
        <v>0</v>
      </c>
      <c r="C1" s="57" t="s">
        <v>21</v>
      </c>
      <c r="D1" s="57" t="s">
        <v>25</v>
      </c>
      <c r="E1" s="75" t="s">
        <v>22</v>
      </c>
      <c r="F1" s="74" t="s">
        <v>23</v>
      </c>
      <c r="G1" s="74" t="s">
        <v>24</v>
      </c>
      <c r="H1" s="57" t="s">
        <v>2</v>
      </c>
      <c r="I1" s="57" t="s">
        <v>3</v>
      </c>
      <c r="J1" s="74" t="s">
        <v>4</v>
      </c>
      <c r="K1" s="74" t="s">
        <v>5</v>
      </c>
      <c r="L1" s="74" t="s">
        <v>54</v>
      </c>
      <c r="M1" s="74" t="s">
        <v>10</v>
      </c>
      <c r="N1" s="74" t="s">
        <v>11</v>
      </c>
      <c r="O1" s="74" t="s">
        <v>12</v>
      </c>
      <c r="P1" s="58" t="s">
        <v>6</v>
      </c>
      <c r="Q1" s="58" t="s">
        <v>7</v>
      </c>
      <c r="R1" s="75" t="s">
        <v>257</v>
      </c>
      <c r="S1" s="75" t="s">
        <v>9</v>
      </c>
      <c r="T1" s="57" t="s">
        <v>13</v>
      </c>
      <c r="U1" s="74" t="s">
        <v>14</v>
      </c>
      <c r="V1" s="74" t="s">
        <v>15</v>
      </c>
      <c r="W1" s="74" t="s">
        <v>18</v>
      </c>
      <c r="X1" s="74" t="s">
        <v>19</v>
      </c>
      <c r="Y1" s="74" t="s">
        <v>20</v>
      </c>
      <c r="Z1" s="74" t="s">
        <v>16</v>
      </c>
      <c r="AA1" s="74" t="s">
        <v>17</v>
      </c>
    </row>
    <row r="2" spans="1:27" x14ac:dyDescent="0.35">
      <c r="A2" s="60" t="s">
        <v>272</v>
      </c>
      <c r="B2" s="61" t="s">
        <v>273</v>
      </c>
      <c r="C2" s="62">
        <v>46174</v>
      </c>
      <c r="D2" s="63">
        <v>18444</v>
      </c>
      <c r="E2" s="64">
        <v>31</v>
      </c>
      <c r="F2" s="64">
        <f t="shared" ref="F2:F14" si="0">E2-G2</f>
        <v>31</v>
      </c>
      <c r="G2" s="64">
        <v>0</v>
      </c>
      <c r="H2" s="65">
        <f t="shared" ref="H2:H14" si="1">(+D2*49.99999%)/E2*F2</f>
        <v>9221.9981555999984</v>
      </c>
      <c r="I2" s="65">
        <f t="shared" ref="I2:I14" si="2">(H2*50%)</f>
        <v>4610.9990777999992</v>
      </c>
      <c r="J2" s="65">
        <f t="shared" ref="J2:J14" si="3">(1600/E2)*F2</f>
        <v>1600</v>
      </c>
      <c r="K2" s="65">
        <f t="shared" ref="K2:K14" si="4">(L2-H2-I2-J2)</f>
        <v>2567.4246553156408</v>
      </c>
      <c r="L2" s="65">
        <f t="shared" ref="L2:L14" si="5">(D2-W2)/E2*F2-Y2</f>
        <v>18000.421888715638</v>
      </c>
      <c r="M2" s="107">
        <v>0</v>
      </c>
      <c r="N2" s="107">
        <v>0</v>
      </c>
      <c r="O2" s="107">
        <v>200</v>
      </c>
      <c r="P2" s="107">
        <v>0</v>
      </c>
      <c r="Q2" s="107">
        <v>0</v>
      </c>
      <c r="R2" s="107">
        <v>500</v>
      </c>
      <c r="S2" s="65">
        <f t="shared" ref="S2:S14" si="6">L2+P2+Q2+R2</f>
        <v>18500.421888715638</v>
      </c>
      <c r="T2" s="107">
        <v>0</v>
      </c>
      <c r="U2" s="108">
        <f t="shared" ref="U2:U14" si="7">ROUND((L2/E2)*G2,0)</f>
        <v>0</v>
      </c>
      <c r="V2" s="107">
        <v>0</v>
      </c>
      <c r="W2" s="107">
        <v>0</v>
      </c>
      <c r="X2" s="107">
        <v>0</v>
      </c>
      <c r="Y2" s="65">
        <f t="shared" ref="Y2:Y14" si="8">H2*4.81%</f>
        <v>443.57811128435992</v>
      </c>
      <c r="Z2" s="65">
        <f t="shared" ref="Z2:Z14" si="9">M2+N2+O2+U2+V2+T2+W2+X2+Y2</f>
        <v>643.57811128435992</v>
      </c>
      <c r="AA2" s="65">
        <f>L2-Z2+Y2+W2+X2+P2+Q2+R2</f>
        <v>18300.421888715638</v>
      </c>
    </row>
    <row r="3" spans="1:27" x14ac:dyDescent="0.35">
      <c r="A3" s="60" t="s">
        <v>274</v>
      </c>
      <c r="B3" s="61" t="s">
        <v>275</v>
      </c>
      <c r="C3" s="62">
        <v>46174</v>
      </c>
      <c r="D3" s="63">
        <v>15370</v>
      </c>
      <c r="E3" s="64">
        <v>31</v>
      </c>
      <c r="F3" s="64">
        <f t="shared" si="0"/>
        <v>31</v>
      </c>
      <c r="G3" s="64">
        <v>0</v>
      </c>
      <c r="H3" s="65">
        <f t="shared" si="1"/>
        <v>7684.998462999999</v>
      </c>
      <c r="I3" s="65">
        <f t="shared" si="2"/>
        <v>3842.4992314999995</v>
      </c>
      <c r="J3" s="65">
        <f t="shared" si="3"/>
        <v>1600</v>
      </c>
      <c r="K3" s="65">
        <f t="shared" si="4"/>
        <v>1872.8538794297015</v>
      </c>
      <c r="L3" s="65">
        <f t="shared" si="5"/>
        <v>15000.3515739297</v>
      </c>
      <c r="M3" s="107">
        <v>0</v>
      </c>
      <c r="N3" s="107">
        <v>0</v>
      </c>
      <c r="O3" s="107">
        <v>200</v>
      </c>
      <c r="P3" s="107">
        <v>0</v>
      </c>
      <c r="Q3" s="107">
        <v>0</v>
      </c>
      <c r="R3" s="107">
        <v>0</v>
      </c>
      <c r="S3" s="65">
        <f t="shared" si="6"/>
        <v>15000.3515739297</v>
      </c>
      <c r="T3" s="107">
        <v>0</v>
      </c>
      <c r="U3" s="108">
        <f t="shared" si="7"/>
        <v>0</v>
      </c>
      <c r="V3" s="107">
        <v>0</v>
      </c>
      <c r="W3" s="107">
        <v>0</v>
      </c>
      <c r="X3" s="107">
        <v>0</v>
      </c>
      <c r="Y3" s="65">
        <f t="shared" si="8"/>
        <v>369.64842607029993</v>
      </c>
      <c r="Z3" s="65">
        <f t="shared" si="9"/>
        <v>569.64842607029993</v>
      </c>
      <c r="AA3" s="65">
        <f t="shared" ref="AA3:AA14" si="10">L3-Z3+Y3+W3+X3+P3+Q3+R3</f>
        <v>14800.3515739297</v>
      </c>
    </row>
    <row r="4" spans="1:27" x14ac:dyDescent="0.35">
      <c r="A4" s="60" t="s">
        <v>276</v>
      </c>
      <c r="B4" s="61" t="s">
        <v>277</v>
      </c>
      <c r="C4" s="62">
        <v>46174</v>
      </c>
      <c r="D4" s="63">
        <v>18444</v>
      </c>
      <c r="E4" s="64">
        <v>31</v>
      </c>
      <c r="F4" s="64">
        <f t="shared" si="0"/>
        <v>31</v>
      </c>
      <c r="G4" s="64">
        <v>0</v>
      </c>
      <c r="H4" s="65">
        <f t="shared" si="1"/>
        <v>9221.9981555999984</v>
      </c>
      <c r="I4" s="65">
        <f t="shared" si="2"/>
        <v>4610.9990777999992</v>
      </c>
      <c r="J4" s="65">
        <f t="shared" si="3"/>
        <v>1600</v>
      </c>
      <c r="K4" s="65">
        <f t="shared" si="4"/>
        <v>2567.4246553156408</v>
      </c>
      <c r="L4" s="65">
        <f t="shared" si="5"/>
        <v>18000.421888715638</v>
      </c>
      <c r="M4" s="107">
        <v>0</v>
      </c>
      <c r="N4" s="107">
        <v>0</v>
      </c>
      <c r="O4" s="107">
        <v>200</v>
      </c>
      <c r="P4" s="107">
        <v>0</v>
      </c>
      <c r="Q4" s="107">
        <v>0</v>
      </c>
      <c r="R4" s="107">
        <v>0</v>
      </c>
      <c r="S4" s="65">
        <f t="shared" si="6"/>
        <v>18000.421888715638</v>
      </c>
      <c r="T4" s="107">
        <v>0</v>
      </c>
      <c r="U4" s="108">
        <f t="shared" si="7"/>
        <v>0</v>
      </c>
      <c r="V4" s="107">
        <v>0</v>
      </c>
      <c r="W4" s="107">
        <v>0</v>
      </c>
      <c r="X4" s="107">
        <v>0</v>
      </c>
      <c r="Y4" s="65">
        <f t="shared" si="8"/>
        <v>443.57811128435992</v>
      </c>
      <c r="Z4" s="65">
        <f t="shared" si="9"/>
        <v>643.57811128435992</v>
      </c>
      <c r="AA4" s="65">
        <f t="shared" si="10"/>
        <v>17800.421888715638</v>
      </c>
    </row>
    <row r="5" spans="1:27" x14ac:dyDescent="0.35">
      <c r="A5" s="60" t="s">
        <v>278</v>
      </c>
      <c r="B5" s="61" t="s">
        <v>279</v>
      </c>
      <c r="C5" s="62">
        <v>46174</v>
      </c>
      <c r="D5" s="63">
        <v>15370</v>
      </c>
      <c r="E5" s="64">
        <v>31</v>
      </c>
      <c r="F5" s="64">
        <f t="shared" si="0"/>
        <v>31</v>
      </c>
      <c r="G5" s="64">
        <v>0</v>
      </c>
      <c r="H5" s="65">
        <f t="shared" si="1"/>
        <v>7684.998462999999</v>
      </c>
      <c r="I5" s="65">
        <f t="shared" si="2"/>
        <v>3842.4992314999995</v>
      </c>
      <c r="J5" s="65">
        <f t="shared" si="3"/>
        <v>1600</v>
      </c>
      <c r="K5" s="65">
        <f t="shared" si="4"/>
        <v>1872.8538794297015</v>
      </c>
      <c r="L5" s="65">
        <f t="shared" si="5"/>
        <v>15000.3515739297</v>
      </c>
      <c r="M5" s="107">
        <v>0</v>
      </c>
      <c r="N5" s="107">
        <v>0</v>
      </c>
      <c r="O5" s="107">
        <v>200</v>
      </c>
      <c r="P5" s="107">
        <v>0</v>
      </c>
      <c r="Q5" s="107">
        <v>0</v>
      </c>
      <c r="R5" s="107">
        <v>0</v>
      </c>
      <c r="S5" s="65">
        <f t="shared" si="6"/>
        <v>15000.3515739297</v>
      </c>
      <c r="T5" s="107">
        <v>0</v>
      </c>
      <c r="U5" s="108">
        <f t="shared" si="7"/>
        <v>0</v>
      </c>
      <c r="V5" s="107">
        <v>0</v>
      </c>
      <c r="W5" s="107">
        <v>0</v>
      </c>
      <c r="X5" s="107">
        <v>0</v>
      </c>
      <c r="Y5" s="65">
        <f t="shared" si="8"/>
        <v>369.64842607029993</v>
      </c>
      <c r="Z5" s="65">
        <f t="shared" si="9"/>
        <v>569.64842607029993</v>
      </c>
      <c r="AA5" s="65">
        <f t="shared" si="10"/>
        <v>14800.3515739297</v>
      </c>
    </row>
    <row r="6" spans="1:27" x14ac:dyDescent="0.35">
      <c r="A6" s="60" t="s">
        <v>280</v>
      </c>
      <c r="B6" s="61" t="s">
        <v>281</v>
      </c>
      <c r="C6" s="62">
        <v>46174</v>
      </c>
      <c r="D6" s="63">
        <v>13320</v>
      </c>
      <c r="E6" s="64">
        <v>31</v>
      </c>
      <c r="F6" s="64">
        <f t="shared" si="0"/>
        <v>31</v>
      </c>
      <c r="G6" s="64">
        <v>0</v>
      </c>
      <c r="H6" s="65">
        <f t="shared" si="1"/>
        <v>6659.9986679999993</v>
      </c>
      <c r="I6" s="65">
        <f t="shared" si="2"/>
        <v>3329.9993339999996</v>
      </c>
      <c r="J6" s="65">
        <f t="shared" si="3"/>
        <v>1600</v>
      </c>
      <c r="K6" s="65">
        <f t="shared" si="4"/>
        <v>1409.6560620692012</v>
      </c>
      <c r="L6" s="65">
        <f t="shared" si="5"/>
        <v>12999.6540640692</v>
      </c>
      <c r="M6" s="107">
        <v>0</v>
      </c>
      <c r="N6" s="107">
        <v>0</v>
      </c>
      <c r="O6" s="107">
        <v>150</v>
      </c>
      <c r="P6" s="107">
        <v>0</v>
      </c>
      <c r="Q6" s="107">
        <v>0</v>
      </c>
      <c r="R6" s="107">
        <v>0</v>
      </c>
      <c r="S6" s="65">
        <f t="shared" si="6"/>
        <v>12999.6540640692</v>
      </c>
      <c r="T6" s="107">
        <v>0</v>
      </c>
      <c r="U6" s="108">
        <f t="shared" si="7"/>
        <v>0</v>
      </c>
      <c r="V6" s="107">
        <v>0</v>
      </c>
      <c r="W6" s="107">
        <v>0</v>
      </c>
      <c r="X6" s="107">
        <v>0</v>
      </c>
      <c r="Y6" s="65">
        <f t="shared" si="8"/>
        <v>320.34593593079995</v>
      </c>
      <c r="Z6" s="65">
        <f t="shared" si="9"/>
        <v>470.34593593079995</v>
      </c>
      <c r="AA6" s="65">
        <f t="shared" si="10"/>
        <v>12849.6540640692</v>
      </c>
    </row>
    <row r="7" spans="1:27" x14ac:dyDescent="0.35">
      <c r="A7" s="60" t="s">
        <v>282</v>
      </c>
      <c r="B7" s="61" t="s">
        <v>283</v>
      </c>
      <c r="C7" s="62">
        <v>46174</v>
      </c>
      <c r="D7" s="63">
        <v>12296</v>
      </c>
      <c r="E7" s="64">
        <v>31</v>
      </c>
      <c r="F7" s="64">
        <f t="shared" si="0"/>
        <v>31</v>
      </c>
      <c r="G7" s="64">
        <v>0</v>
      </c>
      <c r="H7" s="65">
        <f t="shared" si="1"/>
        <v>6147.9987703999996</v>
      </c>
      <c r="I7" s="65">
        <f t="shared" si="2"/>
        <v>3073.9993851999998</v>
      </c>
      <c r="J7" s="65">
        <f t="shared" si="3"/>
        <v>1600</v>
      </c>
      <c r="K7" s="65">
        <f t="shared" si="4"/>
        <v>1178.2831035437603</v>
      </c>
      <c r="L7" s="65">
        <f t="shared" si="5"/>
        <v>12000.28125914376</v>
      </c>
      <c r="M7" s="107">
        <v>0</v>
      </c>
      <c r="N7" s="107">
        <v>0</v>
      </c>
      <c r="O7" s="107">
        <v>150</v>
      </c>
      <c r="P7" s="107">
        <v>0</v>
      </c>
      <c r="Q7" s="107">
        <v>0</v>
      </c>
      <c r="R7" s="107">
        <v>0</v>
      </c>
      <c r="S7" s="65">
        <f t="shared" si="6"/>
        <v>12000.28125914376</v>
      </c>
      <c r="T7" s="107">
        <v>0</v>
      </c>
      <c r="U7" s="108">
        <f t="shared" si="7"/>
        <v>0</v>
      </c>
      <c r="V7" s="107">
        <v>0</v>
      </c>
      <c r="W7" s="107">
        <v>0</v>
      </c>
      <c r="X7" s="107">
        <v>0</v>
      </c>
      <c r="Y7" s="65">
        <f t="shared" si="8"/>
        <v>295.71874085623995</v>
      </c>
      <c r="Z7" s="65">
        <f t="shared" si="9"/>
        <v>445.71874085623995</v>
      </c>
      <c r="AA7" s="65">
        <f t="shared" si="10"/>
        <v>11850.28125914376</v>
      </c>
    </row>
    <row r="8" spans="1:27" x14ac:dyDescent="0.35">
      <c r="A8" s="60" t="s">
        <v>284</v>
      </c>
      <c r="B8" s="61" t="s">
        <v>285</v>
      </c>
      <c r="C8" s="62">
        <v>46174</v>
      </c>
      <c r="D8" s="63">
        <v>13320</v>
      </c>
      <c r="E8" s="64">
        <v>31</v>
      </c>
      <c r="F8" s="64">
        <f t="shared" si="0"/>
        <v>31</v>
      </c>
      <c r="G8" s="64">
        <v>0</v>
      </c>
      <c r="H8" s="65">
        <f t="shared" si="1"/>
        <v>6659.9986679999993</v>
      </c>
      <c r="I8" s="65">
        <f t="shared" si="2"/>
        <v>3329.9993339999996</v>
      </c>
      <c r="J8" s="65">
        <f t="shared" si="3"/>
        <v>1600</v>
      </c>
      <c r="K8" s="65">
        <f t="shared" si="4"/>
        <v>1409.6560620692012</v>
      </c>
      <c r="L8" s="65">
        <f t="shared" si="5"/>
        <v>12999.6540640692</v>
      </c>
      <c r="M8" s="107">
        <v>0</v>
      </c>
      <c r="N8" s="107">
        <v>0</v>
      </c>
      <c r="O8" s="107">
        <v>150</v>
      </c>
      <c r="P8" s="107">
        <v>0</v>
      </c>
      <c r="Q8" s="107">
        <v>0</v>
      </c>
      <c r="R8" s="107">
        <v>0</v>
      </c>
      <c r="S8" s="65">
        <f t="shared" si="6"/>
        <v>12999.6540640692</v>
      </c>
      <c r="T8" s="107">
        <v>0</v>
      </c>
      <c r="U8" s="108">
        <f t="shared" si="7"/>
        <v>0</v>
      </c>
      <c r="V8" s="107">
        <v>0</v>
      </c>
      <c r="W8" s="107">
        <v>0</v>
      </c>
      <c r="X8" s="107">
        <v>0</v>
      </c>
      <c r="Y8" s="65">
        <f t="shared" si="8"/>
        <v>320.34593593079995</v>
      </c>
      <c r="Z8" s="65">
        <f t="shared" si="9"/>
        <v>470.34593593079995</v>
      </c>
      <c r="AA8" s="65">
        <f t="shared" si="10"/>
        <v>12849.6540640692</v>
      </c>
    </row>
    <row r="9" spans="1:27" x14ac:dyDescent="0.35">
      <c r="A9" s="60" t="s">
        <v>286</v>
      </c>
      <c r="B9" s="61" t="s">
        <v>287</v>
      </c>
      <c r="C9" s="62">
        <v>46174</v>
      </c>
      <c r="D9" s="63">
        <v>28690</v>
      </c>
      <c r="E9" s="64">
        <v>31</v>
      </c>
      <c r="F9" s="64">
        <f t="shared" si="0"/>
        <v>31</v>
      </c>
      <c r="G9" s="64">
        <v>0</v>
      </c>
      <c r="H9" s="65">
        <f t="shared" si="1"/>
        <v>14344.997130999998</v>
      </c>
      <c r="I9" s="65">
        <f t="shared" si="2"/>
        <v>7172.4985654999991</v>
      </c>
      <c r="J9" s="65">
        <f t="shared" si="3"/>
        <v>1600</v>
      </c>
      <c r="K9" s="65">
        <f t="shared" si="4"/>
        <v>4882.5099414989027</v>
      </c>
      <c r="L9" s="65">
        <f t="shared" si="5"/>
        <v>28000.0056379989</v>
      </c>
      <c r="M9" s="107">
        <v>0</v>
      </c>
      <c r="N9" s="107">
        <v>0</v>
      </c>
      <c r="O9" s="107">
        <v>200</v>
      </c>
      <c r="P9" s="107">
        <v>0</v>
      </c>
      <c r="Q9" s="107">
        <v>0</v>
      </c>
      <c r="R9" s="107">
        <v>0</v>
      </c>
      <c r="S9" s="65">
        <f t="shared" si="6"/>
        <v>28000.0056379989</v>
      </c>
      <c r="T9" s="107">
        <v>0</v>
      </c>
      <c r="U9" s="108">
        <f t="shared" si="7"/>
        <v>0</v>
      </c>
      <c r="V9" s="107">
        <v>0</v>
      </c>
      <c r="W9" s="107">
        <v>0</v>
      </c>
      <c r="X9" s="107">
        <v>0</v>
      </c>
      <c r="Y9" s="65">
        <f t="shared" si="8"/>
        <v>689.99436200109983</v>
      </c>
      <c r="Z9" s="65">
        <f t="shared" si="9"/>
        <v>889.99436200109983</v>
      </c>
      <c r="AA9" s="65">
        <f t="shared" si="10"/>
        <v>27800.0056379989</v>
      </c>
    </row>
    <row r="10" spans="1:27" x14ac:dyDescent="0.35">
      <c r="A10" s="60" t="s">
        <v>288</v>
      </c>
      <c r="B10" s="61" t="s">
        <v>289</v>
      </c>
      <c r="C10" s="62">
        <v>46174</v>
      </c>
      <c r="D10" s="63">
        <v>25616</v>
      </c>
      <c r="E10" s="64">
        <v>31</v>
      </c>
      <c r="F10" s="64">
        <f t="shared" si="0"/>
        <v>31</v>
      </c>
      <c r="G10" s="64">
        <v>0</v>
      </c>
      <c r="H10" s="65">
        <f t="shared" si="1"/>
        <v>12807.997438399998</v>
      </c>
      <c r="I10" s="65">
        <f t="shared" si="2"/>
        <v>6403.998719199999</v>
      </c>
      <c r="J10" s="65">
        <f t="shared" si="3"/>
        <v>1600</v>
      </c>
      <c r="K10" s="65">
        <f t="shared" si="4"/>
        <v>4187.9391656129646</v>
      </c>
      <c r="L10" s="65">
        <f t="shared" si="5"/>
        <v>24999.935323212962</v>
      </c>
      <c r="M10" s="107">
        <v>0</v>
      </c>
      <c r="N10" s="107">
        <v>0</v>
      </c>
      <c r="O10" s="107">
        <v>200</v>
      </c>
      <c r="P10" s="107">
        <v>0</v>
      </c>
      <c r="Q10" s="107">
        <v>0</v>
      </c>
      <c r="R10" s="107">
        <v>0</v>
      </c>
      <c r="S10" s="65">
        <f t="shared" si="6"/>
        <v>24999.935323212962</v>
      </c>
      <c r="T10" s="107">
        <v>0</v>
      </c>
      <c r="U10" s="108">
        <f t="shared" si="7"/>
        <v>0</v>
      </c>
      <c r="V10" s="107">
        <v>0</v>
      </c>
      <c r="W10" s="107">
        <v>0</v>
      </c>
      <c r="X10" s="107">
        <v>0</v>
      </c>
      <c r="Y10" s="65">
        <f t="shared" si="8"/>
        <v>616.06467678703984</v>
      </c>
      <c r="Z10" s="65">
        <f t="shared" si="9"/>
        <v>816.06467678703984</v>
      </c>
      <c r="AA10" s="65">
        <f t="shared" si="10"/>
        <v>24799.935323212962</v>
      </c>
    </row>
    <row r="11" spans="1:27" x14ac:dyDescent="0.35">
      <c r="A11" s="60" t="s">
        <v>290</v>
      </c>
      <c r="B11" s="61" t="s">
        <v>291</v>
      </c>
      <c r="C11" s="62">
        <v>46174</v>
      </c>
      <c r="D11" s="63">
        <v>23567</v>
      </c>
      <c r="E11" s="64">
        <v>31</v>
      </c>
      <c r="F11" s="64">
        <f t="shared" si="0"/>
        <v>31</v>
      </c>
      <c r="G11" s="64">
        <v>0</v>
      </c>
      <c r="H11" s="65">
        <f t="shared" si="1"/>
        <v>11783.497643299999</v>
      </c>
      <c r="I11" s="65">
        <f t="shared" si="2"/>
        <v>5891.7488216499996</v>
      </c>
      <c r="J11" s="65">
        <f t="shared" si="3"/>
        <v>1600</v>
      </c>
      <c r="K11" s="65">
        <f t="shared" si="4"/>
        <v>3724.9672984072722</v>
      </c>
      <c r="L11" s="65">
        <f t="shared" si="5"/>
        <v>23000.213763357271</v>
      </c>
      <c r="M11" s="107">
        <v>0</v>
      </c>
      <c r="N11" s="107">
        <v>0</v>
      </c>
      <c r="O11" s="107">
        <v>200</v>
      </c>
      <c r="P11" s="107">
        <v>0</v>
      </c>
      <c r="Q11" s="107">
        <v>0</v>
      </c>
      <c r="R11" s="107">
        <v>0</v>
      </c>
      <c r="S11" s="65">
        <f t="shared" si="6"/>
        <v>23000.213763357271</v>
      </c>
      <c r="T11" s="107">
        <v>0</v>
      </c>
      <c r="U11" s="108">
        <f t="shared" si="7"/>
        <v>0</v>
      </c>
      <c r="V11" s="107">
        <v>0</v>
      </c>
      <c r="W11" s="107">
        <v>0</v>
      </c>
      <c r="X11" s="107">
        <v>0</v>
      </c>
      <c r="Y11" s="65">
        <f t="shared" si="8"/>
        <v>566.78623664272993</v>
      </c>
      <c r="Z11" s="65">
        <f t="shared" si="9"/>
        <v>766.78623664272993</v>
      </c>
      <c r="AA11" s="65">
        <f t="shared" si="10"/>
        <v>22800.213763357271</v>
      </c>
    </row>
    <row r="12" spans="1:27" x14ac:dyDescent="0.35">
      <c r="A12" s="60" t="s">
        <v>292</v>
      </c>
      <c r="B12" s="61" t="s">
        <v>293</v>
      </c>
      <c r="C12" s="62">
        <v>46174</v>
      </c>
      <c r="D12" s="63">
        <v>46109</v>
      </c>
      <c r="E12" s="64">
        <v>31</v>
      </c>
      <c r="F12" s="64">
        <f t="shared" si="0"/>
        <v>31</v>
      </c>
      <c r="G12" s="64">
        <v>0</v>
      </c>
      <c r="H12" s="65">
        <f t="shared" si="1"/>
        <v>23054.495389099997</v>
      </c>
      <c r="I12" s="65">
        <f t="shared" si="2"/>
        <v>11527.247694549998</v>
      </c>
      <c r="J12" s="65">
        <f t="shared" si="3"/>
        <v>1600</v>
      </c>
      <c r="K12" s="65">
        <f t="shared" si="4"/>
        <v>8818.3356881342952</v>
      </c>
      <c r="L12" s="65">
        <f t="shared" si="5"/>
        <v>45000.07877178429</v>
      </c>
      <c r="M12" s="107">
        <v>0</v>
      </c>
      <c r="N12" s="107">
        <v>0</v>
      </c>
      <c r="O12" s="107">
        <v>200</v>
      </c>
      <c r="P12" s="107">
        <v>0</v>
      </c>
      <c r="Q12" s="107">
        <v>0</v>
      </c>
      <c r="R12" s="107">
        <v>0</v>
      </c>
      <c r="S12" s="65">
        <f t="shared" si="6"/>
        <v>45000.07877178429</v>
      </c>
      <c r="T12" s="107">
        <v>0</v>
      </c>
      <c r="U12" s="108">
        <f t="shared" si="7"/>
        <v>0</v>
      </c>
      <c r="V12" s="107">
        <v>0</v>
      </c>
      <c r="W12" s="107">
        <v>0</v>
      </c>
      <c r="X12" s="107">
        <v>0</v>
      </c>
      <c r="Y12" s="65">
        <f t="shared" si="8"/>
        <v>1108.9212282157098</v>
      </c>
      <c r="Z12" s="65">
        <f t="shared" si="9"/>
        <v>1308.9212282157098</v>
      </c>
      <c r="AA12" s="65">
        <f t="shared" si="10"/>
        <v>44800.07877178429</v>
      </c>
    </row>
    <row r="13" spans="1:27" x14ac:dyDescent="0.35">
      <c r="A13" s="60" t="s">
        <v>294</v>
      </c>
      <c r="B13" s="61" t="s">
        <v>295</v>
      </c>
      <c r="C13" s="62">
        <v>46174</v>
      </c>
      <c r="D13" s="63">
        <v>10246</v>
      </c>
      <c r="E13" s="64">
        <v>31</v>
      </c>
      <c r="F13" s="64">
        <f t="shared" si="0"/>
        <v>31</v>
      </c>
      <c r="G13" s="64">
        <v>0</v>
      </c>
      <c r="H13" s="65">
        <f t="shared" si="1"/>
        <v>5122.9989753999998</v>
      </c>
      <c r="I13" s="65">
        <f t="shared" si="2"/>
        <v>2561.4994876999999</v>
      </c>
      <c r="J13" s="65">
        <f t="shared" si="3"/>
        <v>1600</v>
      </c>
      <c r="K13" s="65">
        <f t="shared" si="4"/>
        <v>715.08528618326</v>
      </c>
      <c r="L13" s="65">
        <f t="shared" si="5"/>
        <v>9999.5837492832597</v>
      </c>
      <c r="M13" s="107">
        <v>0</v>
      </c>
      <c r="N13" s="107">
        <v>0</v>
      </c>
      <c r="O13" s="107">
        <v>150</v>
      </c>
      <c r="P13" s="107">
        <v>0</v>
      </c>
      <c r="Q13" s="107">
        <v>0</v>
      </c>
      <c r="R13" s="107">
        <v>0</v>
      </c>
      <c r="S13" s="65">
        <f t="shared" si="6"/>
        <v>9999.5837492832597</v>
      </c>
      <c r="T13" s="107">
        <v>0</v>
      </c>
      <c r="U13" s="108">
        <f t="shared" si="7"/>
        <v>0</v>
      </c>
      <c r="V13" s="107">
        <v>0</v>
      </c>
      <c r="W13" s="107">
        <v>0</v>
      </c>
      <c r="X13" s="107">
        <v>0</v>
      </c>
      <c r="Y13" s="65">
        <f t="shared" si="8"/>
        <v>246.41625071673997</v>
      </c>
      <c r="Z13" s="65">
        <f t="shared" si="9"/>
        <v>396.41625071673997</v>
      </c>
      <c r="AA13" s="65">
        <f t="shared" si="10"/>
        <v>9849.5837492832597</v>
      </c>
    </row>
    <row r="14" spans="1:27" x14ac:dyDescent="0.35">
      <c r="A14" s="60" t="s">
        <v>296</v>
      </c>
      <c r="B14" s="61" t="s">
        <v>297</v>
      </c>
      <c r="C14" s="62">
        <v>46174</v>
      </c>
      <c r="D14" s="63">
        <v>12296</v>
      </c>
      <c r="E14" s="64">
        <v>31</v>
      </c>
      <c r="F14" s="64">
        <f t="shared" si="0"/>
        <v>31</v>
      </c>
      <c r="G14" s="64">
        <v>0</v>
      </c>
      <c r="H14" s="65">
        <f t="shared" si="1"/>
        <v>6147.9987703999996</v>
      </c>
      <c r="I14" s="65">
        <f t="shared" si="2"/>
        <v>3073.9993851999998</v>
      </c>
      <c r="J14" s="65">
        <f t="shared" si="3"/>
        <v>1600</v>
      </c>
      <c r="K14" s="65">
        <f t="shared" si="4"/>
        <v>1178.2831035437603</v>
      </c>
      <c r="L14" s="65">
        <f t="shared" si="5"/>
        <v>12000.28125914376</v>
      </c>
      <c r="M14" s="107">
        <v>0</v>
      </c>
      <c r="N14" s="107">
        <v>0</v>
      </c>
      <c r="O14" s="107">
        <v>150</v>
      </c>
      <c r="P14" s="107">
        <v>0</v>
      </c>
      <c r="Q14" s="107">
        <v>0</v>
      </c>
      <c r="R14" s="107">
        <v>0</v>
      </c>
      <c r="S14" s="65">
        <f t="shared" si="6"/>
        <v>12000.28125914376</v>
      </c>
      <c r="T14" s="107">
        <v>0</v>
      </c>
      <c r="U14" s="108">
        <f t="shared" si="7"/>
        <v>0</v>
      </c>
      <c r="V14" s="107">
        <v>0</v>
      </c>
      <c r="W14" s="107">
        <v>0</v>
      </c>
      <c r="X14" s="107">
        <v>0</v>
      </c>
      <c r="Y14" s="65">
        <f t="shared" si="8"/>
        <v>295.71874085623995</v>
      </c>
      <c r="Z14" s="65">
        <f t="shared" si="9"/>
        <v>445.71874085623995</v>
      </c>
      <c r="AA14" s="65">
        <f t="shared" si="10"/>
        <v>11850.28125914376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A4A1-6F1A-4CCD-BAC9-3FC0199C210F}">
  <dimension ref="A1:C2"/>
  <sheetViews>
    <sheetView zoomScaleNormal="100" workbookViewId="0">
      <selection activeCell="D9" sqref="D9"/>
    </sheetView>
  </sheetViews>
  <sheetFormatPr defaultColWidth="34.1796875" defaultRowHeight="14.5" x14ac:dyDescent="0.35"/>
  <cols>
    <col min="1" max="1" width="9.453125" bestFit="1" customWidth="1"/>
    <col min="2" max="2" width="24.81640625" bestFit="1" customWidth="1"/>
    <col min="3" max="3" width="7.453125" bestFit="1" customWidth="1"/>
  </cols>
  <sheetData>
    <row r="1" spans="1:3" x14ac:dyDescent="0.35">
      <c r="A1" s="57" t="s">
        <v>1</v>
      </c>
      <c r="B1" s="57" t="s">
        <v>0</v>
      </c>
      <c r="C1" s="74" t="s">
        <v>24</v>
      </c>
    </row>
    <row r="2" spans="1:3" x14ac:dyDescent="0.35">
      <c r="A2" s="56" t="s">
        <v>92</v>
      </c>
      <c r="B2" s="56" t="s">
        <v>93</v>
      </c>
      <c r="C2" s="10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9937-D8E5-4F9E-97D1-8B5E20610177}">
  <dimension ref="A1:J10"/>
  <sheetViews>
    <sheetView workbookViewId="0">
      <selection activeCell="E14" sqref="E14"/>
    </sheetView>
  </sheetViews>
  <sheetFormatPr defaultColWidth="4.54296875" defaultRowHeight="14.5" x14ac:dyDescent="0.35"/>
  <cols>
    <col min="1" max="1" width="4.6328125" bestFit="1" customWidth="1"/>
    <col min="2" max="2" width="15.54296875" bestFit="1" customWidth="1"/>
    <col min="3" max="3" width="10.81640625" bestFit="1" customWidth="1"/>
    <col min="4" max="4" width="10.81640625" customWidth="1"/>
    <col min="5" max="5" width="16.54296875" bestFit="1" customWidth="1"/>
    <col min="6" max="6" width="9.08984375" bestFit="1" customWidth="1"/>
    <col min="7" max="7" width="19.81640625" bestFit="1" customWidth="1"/>
    <col min="8" max="8" width="13.08984375" bestFit="1" customWidth="1"/>
    <col min="9" max="9" width="22" bestFit="1" customWidth="1"/>
    <col min="10" max="10" width="16.453125" bestFit="1" customWidth="1"/>
  </cols>
  <sheetData>
    <row r="1" spans="1:10" x14ac:dyDescent="0.35">
      <c r="A1" s="28" t="s">
        <v>128</v>
      </c>
      <c r="B1" s="28" t="s">
        <v>129</v>
      </c>
      <c r="C1" s="28" t="s">
        <v>266</v>
      </c>
      <c r="D1" s="28" t="s">
        <v>268</v>
      </c>
      <c r="E1" s="28" t="s">
        <v>267</v>
      </c>
      <c r="F1" s="28" t="s">
        <v>132</v>
      </c>
      <c r="G1" s="12" t="s">
        <v>29</v>
      </c>
      <c r="H1" s="12" t="s">
        <v>30</v>
      </c>
      <c r="I1" s="12" t="s">
        <v>210</v>
      </c>
      <c r="J1" s="12" t="s">
        <v>32</v>
      </c>
    </row>
    <row r="2" spans="1:10" x14ac:dyDescent="0.35">
      <c r="A2" s="15">
        <v>1</v>
      </c>
      <c r="B2" s="15" t="s">
        <v>135</v>
      </c>
      <c r="C2" s="27">
        <v>29</v>
      </c>
      <c r="D2" s="27" t="s">
        <v>269</v>
      </c>
      <c r="E2" s="15">
        <v>1000</v>
      </c>
      <c r="F2" s="15">
        <f t="shared" ref="F2:F6" si="0">C2*E2</f>
        <v>29000</v>
      </c>
      <c r="G2" s="35">
        <v>922020060410761</v>
      </c>
      <c r="H2" s="15" t="s">
        <v>219</v>
      </c>
      <c r="I2" s="15" t="s">
        <v>220</v>
      </c>
      <c r="J2" s="15" t="s">
        <v>200</v>
      </c>
    </row>
    <row r="3" spans="1:10" x14ac:dyDescent="0.35">
      <c r="A3" s="15">
        <v>2</v>
      </c>
      <c r="B3" s="15" t="s">
        <v>313</v>
      </c>
      <c r="C3" s="27">
        <v>15</v>
      </c>
      <c r="D3" s="27" t="s">
        <v>269</v>
      </c>
      <c r="E3" s="15">
        <v>1000</v>
      </c>
      <c r="F3" s="15">
        <f t="shared" si="0"/>
        <v>15000</v>
      </c>
      <c r="G3" s="40">
        <v>621837012</v>
      </c>
      <c r="H3" s="15" t="s">
        <v>314</v>
      </c>
      <c r="I3" s="15" t="s">
        <v>315</v>
      </c>
      <c r="J3" s="15" t="s">
        <v>316</v>
      </c>
    </row>
    <row r="4" spans="1:10" x14ac:dyDescent="0.35">
      <c r="A4" s="15">
        <v>3</v>
      </c>
      <c r="B4" s="15" t="s">
        <v>312</v>
      </c>
      <c r="C4" s="27">
        <v>14</v>
      </c>
      <c r="D4" s="27" t="s">
        <v>269</v>
      </c>
      <c r="E4" s="15">
        <v>1800</v>
      </c>
      <c r="F4" s="15">
        <f t="shared" si="0"/>
        <v>25200</v>
      </c>
      <c r="G4" s="35">
        <v>62332625265</v>
      </c>
      <c r="H4" s="15" t="s">
        <v>318</v>
      </c>
      <c r="I4" s="15" t="s">
        <v>317</v>
      </c>
      <c r="J4" s="15" t="s">
        <v>176</v>
      </c>
    </row>
    <row r="5" spans="1:10" x14ac:dyDescent="0.35">
      <c r="A5" s="15">
        <v>4</v>
      </c>
      <c r="B5" s="15" t="s">
        <v>197</v>
      </c>
      <c r="C5" s="27">
        <v>11</v>
      </c>
      <c r="D5" s="27" t="s">
        <v>269</v>
      </c>
      <c r="E5" s="15">
        <v>800</v>
      </c>
      <c r="F5" s="15">
        <f t="shared" si="0"/>
        <v>8800</v>
      </c>
      <c r="G5" s="40">
        <v>45080524946</v>
      </c>
      <c r="H5" s="15" t="s">
        <v>223</v>
      </c>
      <c r="I5" s="15" t="s">
        <v>224</v>
      </c>
      <c r="J5" s="15" t="s">
        <v>176</v>
      </c>
    </row>
    <row r="6" spans="1:10" x14ac:dyDescent="0.35">
      <c r="A6" s="15">
        <v>5</v>
      </c>
      <c r="B6" s="15" t="s">
        <v>136</v>
      </c>
      <c r="C6" s="27">
        <v>16.5</v>
      </c>
      <c r="D6" s="27" t="s">
        <v>269</v>
      </c>
      <c r="E6" s="15">
        <v>1000</v>
      </c>
      <c r="F6" s="15">
        <f t="shared" si="0"/>
        <v>16500</v>
      </c>
      <c r="G6" s="40">
        <v>814649188</v>
      </c>
      <c r="H6" s="15" t="s">
        <v>215</v>
      </c>
      <c r="I6" s="15" t="s">
        <v>216</v>
      </c>
      <c r="J6" s="15" t="s">
        <v>217</v>
      </c>
    </row>
    <row r="7" spans="1:10" x14ac:dyDescent="0.35">
      <c r="A7" s="15"/>
    </row>
    <row r="9" spans="1:10" x14ac:dyDescent="0.35">
      <c r="C9" s="100" t="s">
        <v>28</v>
      </c>
      <c r="D9" s="104"/>
      <c r="E9" s="109">
        <f>SUM(F2:F8)</f>
        <v>94500</v>
      </c>
      <c r="F9" s="110"/>
    </row>
    <row r="10" spans="1:10" x14ac:dyDescent="0.35">
      <c r="F10" s="1"/>
    </row>
  </sheetData>
  <mergeCells count="1">
    <mergeCell ref="E9:F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653E-67C0-4905-ABFF-14FF9076BD1D}">
  <dimension ref="A1:I72"/>
  <sheetViews>
    <sheetView workbookViewId="0">
      <pane ySplit="1" topLeftCell="A47" activePane="bottomLeft" state="frozen"/>
      <selection pane="bottomLeft" activeCell="J59" sqref="J59"/>
    </sheetView>
  </sheetViews>
  <sheetFormatPr defaultRowHeight="14.5" x14ac:dyDescent="0.35"/>
  <cols>
    <col min="1" max="1" width="11.54296875" customWidth="1"/>
    <col min="2" max="2" width="28.90625" customWidth="1"/>
    <col min="3" max="3" width="11.1796875" customWidth="1"/>
    <col min="4" max="4" width="16" customWidth="1"/>
    <col min="5" max="5" width="25.6328125" style="3" customWidth="1"/>
    <col min="6" max="6" width="15.90625" customWidth="1"/>
    <col min="7" max="7" width="18.6328125" customWidth="1"/>
  </cols>
  <sheetData>
    <row r="1" spans="1:9" s="28" customFormat="1" x14ac:dyDescent="0.35">
      <c r="A1" s="12" t="s">
        <v>1</v>
      </c>
      <c r="B1" s="12" t="s">
        <v>0</v>
      </c>
      <c r="C1" s="12" t="s">
        <v>21</v>
      </c>
      <c r="D1" s="12" t="s">
        <v>17</v>
      </c>
      <c r="E1" s="98" t="s">
        <v>29</v>
      </c>
      <c r="F1" s="12" t="s">
        <v>30</v>
      </c>
      <c r="G1" s="12" t="s">
        <v>32</v>
      </c>
      <c r="H1" s="12" t="s">
        <v>55</v>
      </c>
      <c r="I1" s="97"/>
    </row>
    <row r="2" spans="1:9" x14ac:dyDescent="0.35">
      <c r="A2" s="86" t="s">
        <v>96</v>
      </c>
      <c r="B2" s="86" t="s">
        <v>97</v>
      </c>
      <c r="C2" s="99">
        <v>46086</v>
      </c>
      <c r="D2" s="88">
        <f>VLOOKUP(A2,Employees!A2:AB3,28,0)</f>
        <v>93615</v>
      </c>
      <c r="E2" s="88">
        <v>99980130961795</v>
      </c>
      <c r="F2" s="86" t="s">
        <v>225</v>
      </c>
      <c r="G2" s="86" t="s">
        <v>122</v>
      </c>
      <c r="H2" s="15"/>
    </row>
    <row r="3" spans="1:9" x14ac:dyDescent="0.35">
      <c r="A3" s="56" t="s">
        <v>36</v>
      </c>
      <c r="B3" s="91" t="s">
        <v>52</v>
      </c>
      <c r="C3" s="99">
        <v>46055</v>
      </c>
      <c r="D3" s="88">
        <f>VLOOKUP(A3,Consultant!A1:H5,8,0)</f>
        <v>79800</v>
      </c>
      <c r="E3" s="88">
        <v>50100677371816</v>
      </c>
      <c r="F3" s="86" t="s">
        <v>50</v>
      </c>
      <c r="G3" s="86" t="s">
        <v>51</v>
      </c>
      <c r="H3" s="15"/>
    </row>
    <row r="4" spans="1:9" x14ac:dyDescent="0.35">
      <c r="A4" s="56" t="s">
        <v>35</v>
      </c>
      <c r="B4" s="56" t="s">
        <v>38</v>
      </c>
      <c r="C4" s="99">
        <v>46055</v>
      </c>
      <c r="D4" s="88">
        <f>VLOOKUP(A4,Consultant!A2:H7,8,0)</f>
        <v>69800</v>
      </c>
      <c r="E4" s="88">
        <v>99980130961985</v>
      </c>
      <c r="F4" s="86" t="s">
        <v>225</v>
      </c>
      <c r="G4" s="86" t="s">
        <v>122</v>
      </c>
      <c r="H4" s="15"/>
    </row>
    <row r="5" spans="1:9" x14ac:dyDescent="0.35">
      <c r="A5" s="56" t="s">
        <v>37</v>
      </c>
      <c r="B5" s="56" t="s">
        <v>39</v>
      </c>
      <c r="C5" s="99">
        <v>46072</v>
      </c>
      <c r="D5" s="88">
        <f>VLOOKUP(A5,Consultant!A4:H9,8,0)</f>
        <v>79800</v>
      </c>
      <c r="E5" s="88">
        <v>99980130963916</v>
      </c>
      <c r="F5" s="86" t="s">
        <v>225</v>
      </c>
      <c r="G5" s="86" t="s">
        <v>122</v>
      </c>
      <c r="H5" s="15"/>
    </row>
    <row r="6" spans="1:9" x14ac:dyDescent="0.35">
      <c r="A6" s="56" t="s">
        <v>98</v>
      </c>
      <c r="B6" s="56" t="s">
        <v>99</v>
      </c>
      <c r="C6" s="99">
        <v>46092</v>
      </c>
      <c r="D6" s="88">
        <f>VLOOKUP(A6,Consultant!A4:H10,8,0)</f>
        <v>19800</v>
      </c>
      <c r="E6" s="88">
        <v>99980130950434</v>
      </c>
      <c r="F6" s="86" t="s">
        <v>225</v>
      </c>
      <c r="G6" s="86" t="s">
        <v>122</v>
      </c>
      <c r="H6" s="15"/>
    </row>
    <row r="7" spans="1:9" x14ac:dyDescent="0.35">
      <c r="A7" s="56" t="s">
        <v>298</v>
      </c>
      <c r="B7" s="56" t="s">
        <v>299</v>
      </c>
      <c r="C7" s="99">
        <v>46174</v>
      </c>
      <c r="D7" s="88">
        <f>VLOOKUP(A7,Consultant!A5:H11,8,0)</f>
        <v>10000</v>
      </c>
      <c r="E7" s="88">
        <v>99980128938326</v>
      </c>
      <c r="F7" s="86" t="s">
        <v>225</v>
      </c>
      <c r="G7" s="86" t="s">
        <v>122</v>
      </c>
      <c r="H7" s="15"/>
    </row>
    <row r="8" spans="1:9" x14ac:dyDescent="0.35">
      <c r="A8" s="56" t="s">
        <v>308</v>
      </c>
      <c r="B8" s="56" t="s">
        <v>309</v>
      </c>
      <c r="C8" s="99">
        <v>46174</v>
      </c>
      <c r="D8" s="88">
        <f>VLOOKUP(A8,Consultant!A3:H7,8,0)</f>
        <v>124800</v>
      </c>
      <c r="E8" s="88">
        <v>20261344343</v>
      </c>
      <c r="F8" s="86" t="s">
        <v>319</v>
      </c>
      <c r="G8" s="86" t="s">
        <v>176</v>
      </c>
      <c r="H8" s="15"/>
    </row>
    <row r="9" spans="1:9" x14ac:dyDescent="0.35">
      <c r="A9" s="56" t="s">
        <v>56</v>
      </c>
      <c r="B9" s="56" t="s">
        <v>57</v>
      </c>
      <c r="C9" s="99">
        <v>46083</v>
      </c>
      <c r="D9" s="88">
        <f>VLOOKUP(A9,'Tech Team'!A1:AA50,27,0)</f>
        <v>40117.750216450004</v>
      </c>
      <c r="E9" s="88">
        <v>3327101004003</v>
      </c>
      <c r="F9" s="86" t="s">
        <v>101</v>
      </c>
      <c r="G9" s="86" t="s">
        <v>102</v>
      </c>
      <c r="H9" s="15"/>
    </row>
    <row r="10" spans="1:9" x14ac:dyDescent="0.35">
      <c r="A10" s="56" t="s">
        <v>58</v>
      </c>
      <c r="B10" s="56" t="s">
        <v>59</v>
      </c>
      <c r="C10" s="99">
        <v>46083</v>
      </c>
      <c r="D10" s="88">
        <f>VLOOKUP(A10,'Tech Team'!A2:AA51,27,0)</f>
        <v>40117.750216450004</v>
      </c>
      <c r="E10" s="88">
        <v>50100595290241</v>
      </c>
      <c r="F10" s="86" t="s">
        <v>103</v>
      </c>
      <c r="G10" s="86" t="s">
        <v>51</v>
      </c>
      <c r="H10" s="15"/>
    </row>
    <row r="11" spans="1:9" x14ac:dyDescent="0.35">
      <c r="A11" s="56" t="s">
        <v>60</v>
      </c>
      <c r="B11" s="56" t="s">
        <v>61</v>
      </c>
      <c r="C11" s="99">
        <v>46083</v>
      </c>
      <c r="D11" s="88">
        <f>VLOOKUP(A11,'Tech Team'!A3:AA52,27,0)</f>
        <v>54757.0002886</v>
      </c>
      <c r="E11" s="88">
        <v>99980130961993</v>
      </c>
      <c r="F11" s="86" t="s">
        <v>225</v>
      </c>
      <c r="G11" s="86" t="s">
        <v>122</v>
      </c>
      <c r="H11" s="15"/>
    </row>
    <row r="12" spans="1:9" x14ac:dyDescent="0.35">
      <c r="A12" s="56" t="s">
        <v>62</v>
      </c>
      <c r="B12" s="56" t="s">
        <v>63</v>
      </c>
      <c r="C12" s="99">
        <v>46083</v>
      </c>
      <c r="D12" s="88">
        <f>VLOOKUP(A12,'Tech Team'!A4:AA53,27,0)</f>
        <v>19486.85066263</v>
      </c>
      <c r="E12" s="88">
        <v>99980130961951</v>
      </c>
      <c r="F12" s="86" t="s">
        <v>225</v>
      </c>
      <c r="G12" s="86" t="s">
        <v>122</v>
      </c>
      <c r="H12" s="15"/>
    </row>
    <row r="13" spans="1:9" x14ac:dyDescent="0.35">
      <c r="A13" s="56" t="s">
        <v>64</v>
      </c>
      <c r="B13" s="56" t="s">
        <v>65</v>
      </c>
      <c r="C13" s="99">
        <v>46083</v>
      </c>
      <c r="D13" s="88">
        <f>VLOOKUP(A13,'Tech Team'!A5:AA54,27,0)</f>
        <v>44997.500240499998</v>
      </c>
      <c r="E13" s="88">
        <v>77770116800885</v>
      </c>
      <c r="F13" s="86" t="s">
        <v>104</v>
      </c>
      <c r="G13" s="86" t="s">
        <v>122</v>
      </c>
      <c r="H13" s="15"/>
    </row>
    <row r="14" spans="1:9" x14ac:dyDescent="0.35">
      <c r="A14" s="56" t="s">
        <v>66</v>
      </c>
      <c r="B14" s="56" t="s">
        <v>67</v>
      </c>
      <c r="C14" s="99">
        <v>46083</v>
      </c>
      <c r="D14" s="88">
        <f>VLOOKUP(A14,'Tech Team'!A6:AA55,27,0)</f>
        <v>40117.750216450004</v>
      </c>
      <c r="E14" s="88">
        <v>99980130963940</v>
      </c>
      <c r="F14" s="86" t="s">
        <v>225</v>
      </c>
      <c r="G14" s="86" t="s">
        <v>122</v>
      </c>
      <c r="H14" s="15"/>
    </row>
    <row r="15" spans="1:9" x14ac:dyDescent="0.35">
      <c r="A15" s="56" t="s">
        <v>68</v>
      </c>
      <c r="B15" s="56" t="s">
        <v>69</v>
      </c>
      <c r="C15" s="99">
        <v>46083</v>
      </c>
      <c r="D15" s="88">
        <f>VLOOKUP(A15,'Tech Team'!A7:AA56,27,0)</f>
        <v>40117.750216450004</v>
      </c>
      <c r="E15" s="88">
        <v>62297418711</v>
      </c>
      <c r="F15" s="86" t="s">
        <v>107</v>
      </c>
      <c r="G15" s="86" t="s">
        <v>106</v>
      </c>
      <c r="H15" s="15"/>
    </row>
    <row r="16" spans="1:9" x14ac:dyDescent="0.35">
      <c r="A16" s="56" t="s">
        <v>70</v>
      </c>
      <c r="B16" s="56" t="s">
        <v>71</v>
      </c>
      <c r="C16" s="99">
        <v>46083</v>
      </c>
      <c r="D16" s="88">
        <f>VLOOKUP(A16,'Tech Team'!A8:AA57,27,0)</f>
        <v>40117.750216450004</v>
      </c>
      <c r="E16" s="88">
        <v>99980130961886</v>
      </c>
      <c r="F16" s="86" t="s">
        <v>225</v>
      </c>
      <c r="G16" s="86" t="s">
        <v>122</v>
      </c>
      <c r="H16" s="15"/>
    </row>
    <row r="17" spans="1:8" x14ac:dyDescent="0.35">
      <c r="A17" s="56" t="s">
        <v>72</v>
      </c>
      <c r="B17" s="56" t="s">
        <v>263</v>
      </c>
      <c r="C17" s="99">
        <v>46083</v>
      </c>
      <c r="D17" s="88">
        <f>VLOOKUP(A17,'Tech Team'!A9:AA58,27,0)</f>
        <v>40117.750216450004</v>
      </c>
      <c r="E17" s="88">
        <v>15550100112421</v>
      </c>
      <c r="F17" s="86" t="s">
        <v>225</v>
      </c>
      <c r="G17" s="86" t="s">
        <v>122</v>
      </c>
      <c r="H17" s="15"/>
    </row>
    <row r="18" spans="1:8" x14ac:dyDescent="0.35">
      <c r="A18" s="56" t="s">
        <v>74</v>
      </c>
      <c r="B18" s="56" t="s">
        <v>75</v>
      </c>
      <c r="C18" s="99">
        <v>46083</v>
      </c>
      <c r="D18" s="88">
        <f>VLOOKUP(A18,'Tech Team'!A10:AA59,27,0)</f>
        <v>44997.500240499998</v>
      </c>
      <c r="E18" s="88">
        <v>99980130961894</v>
      </c>
      <c r="F18" s="86" t="s">
        <v>225</v>
      </c>
      <c r="G18" s="86" t="s">
        <v>122</v>
      </c>
      <c r="H18" s="15"/>
    </row>
    <row r="19" spans="1:8" x14ac:dyDescent="0.35">
      <c r="A19" s="56" t="s">
        <v>78</v>
      </c>
      <c r="B19" s="56" t="s">
        <v>79</v>
      </c>
      <c r="C19" s="99">
        <v>46083</v>
      </c>
      <c r="D19" s="88">
        <f>VLOOKUP(A19,'Tech Team'!A11:AA60,27,0)</f>
        <v>54757.0002886</v>
      </c>
      <c r="E19" s="88">
        <v>99980130961878</v>
      </c>
      <c r="F19" s="86" t="s">
        <v>225</v>
      </c>
      <c r="G19" s="86" t="s">
        <v>122</v>
      </c>
      <c r="H19" s="15"/>
    </row>
    <row r="20" spans="1:8" x14ac:dyDescent="0.35">
      <c r="A20" s="56" t="s">
        <v>80</v>
      </c>
      <c r="B20" s="56" t="s">
        <v>81</v>
      </c>
      <c r="C20" s="99">
        <v>46083</v>
      </c>
      <c r="D20" s="88">
        <f>VLOOKUP(A20,'Tech Team'!A12:AA61,27,0)</f>
        <v>54757.0002886</v>
      </c>
      <c r="E20" s="88">
        <v>615728726</v>
      </c>
      <c r="F20" s="86" t="s">
        <v>113</v>
      </c>
      <c r="G20" s="86" t="s">
        <v>114</v>
      </c>
      <c r="H20" s="15"/>
    </row>
    <row r="21" spans="1:8" x14ac:dyDescent="0.35">
      <c r="A21" s="56" t="s">
        <v>82</v>
      </c>
      <c r="B21" s="56" t="s">
        <v>83</v>
      </c>
      <c r="C21" s="99">
        <v>46083</v>
      </c>
      <c r="D21" s="88">
        <f>VLOOKUP(A21,'Tech Team'!A13:AA62,27,0)</f>
        <v>12639.25043215</v>
      </c>
      <c r="E21" s="88">
        <v>99980130963882</v>
      </c>
      <c r="F21" s="86" t="s">
        <v>225</v>
      </c>
      <c r="G21" s="86" t="s">
        <v>122</v>
      </c>
      <c r="H21" s="15"/>
    </row>
    <row r="22" spans="1:8" x14ac:dyDescent="0.35">
      <c r="A22" s="56" t="s">
        <v>84</v>
      </c>
      <c r="B22" s="56" t="s">
        <v>85</v>
      </c>
      <c r="C22" s="99">
        <v>46083</v>
      </c>
      <c r="D22" s="88">
        <f>VLOOKUP(A22,'Tech Team'!A14:AA63,27,0)</f>
        <v>30358.250168350001</v>
      </c>
      <c r="E22" s="88">
        <v>99980130961902</v>
      </c>
      <c r="F22" s="86" t="s">
        <v>225</v>
      </c>
      <c r="G22" s="86" t="s">
        <v>122</v>
      </c>
      <c r="H22" s="15"/>
    </row>
    <row r="23" spans="1:8" x14ac:dyDescent="0.35">
      <c r="A23" s="56" t="s">
        <v>86</v>
      </c>
      <c r="B23" s="56" t="s">
        <v>87</v>
      </c>
      <c r="C23" s="99">
        <v>46083</v>
      </c>
      <c r="D23" s="88">
        <f>VLOOKUP(A23,'Tech Team'!A15:AA64,27,0)</f>
        <v>30358.250168350001</v>
      </c>
      <c r="E23" s="88">
        <v>99980130961761</v>
      </c>
      <c r="F23" s="86" t="s">
        <v>225</v>
      </c>
      <c r="G23" s="86" t="s">
        <v>122</v>
      </c>
      <c r="H23" s="15"/>
    </row>
    <row r="24" spans="1:8" x14ac:dyDescent="0.35">
      <c r="A24" s="56" t="s">
        <v>88</v>
      </c>
      <c r="B24" s="56" t="s">
        <v>89</v>
      </c>
      <c r="C24" s="99">
        <v>46083</v>
      </c>
      <c r="D24" s="88">
        <f>VLOOKUP(A24,'Tech Team'!A16:AA65,27,0)</f>
        <v>19486.85066263</v>
      </c>
      <c r="E24" s="88">
        <v>37182972098</v>
      </c>
      <c r="F24" s="86" t="s">
        <v>137</v>
      </c>
      <c r="G24" s="86" t="s">
        <v>106</v>
      </c>
      <c r="H24" s="15"/>
    </row>
    <row r="25" spans="1:8" x14ac:dyDescent="0.35">
      <c r="A25" s="56" t="s">
        <v>92</v>
      </c>
      <c r="B25" s="56" t="s">
        <v>93</v>
      </c>
      <c r="C25" s="99">
        <v>46083</v>
      </c>
      <c r="D25" s="88">
        <f>VLOOKUP(A25,'Tech Team'!A17:AA66,27,0)</f>
        <v>52926.129311548393</v>
      </c>
      <c r="E25" s="88">
        <v>15550100112371</v>
      </c>
      <c r="F25" s="86" t="s">
        <v>225</v>
      </c>
      <c r="G25" s="86" t="s">
        <v>122</v>
      </c>
      <c r="H25" s="15"/>
    </row>
    <row r="26" spans="1:8" x14ac:dyDescent="0.35">
      <c r="A26" s="56" t="s">
        <v>94</v>
      </c>
      <c r="B26" s="56" t="s">
        <v>95</v>
      </c>
      <c r="C26" s="99">
        <v>46083</v>
      </c>
      <c r="D26" s="88">
        <f>VLOOKUP(A26,'Tech Team'!A18:AA67,27,0)</f>
        <v>54757.0002886</v>
      </c>
      <c r="E26" s="88">
        <v>50100141200194</v>
      </c>
      <c r="F26" s="86" t="s">
        <v>121</v>
      </c>
      <c r="G26" s="86" t="s">
        <v>51</v>
      </c>
      <c r="H26" s="15"/>
    </row>
    <row r="27" spans="1:8" x14ac:dyDescent="0.35">
      <c r="A27" s="56" t="s">
        <v>140</v>
      </c>
      <c r="B27" s="56" t="s">
        <v>141</v>
      </c>
      <c r="C27" s="99">
        <v>46113</v>
      </c>
      <c r="D27" s="88">
        <f>VLOOKUP(A27,'Tech Team'!A19:AA68,27,0)</f>
        <v>30358.250168350001</v>
      </c>
      <c r="E27" s="88">
        <v>15550100112314</v>
      </c>
      <c r="F27" s="86" t="s">
        <v>225</v>
      </c>
      <c r="G27" s="86" t="s">
        <v>122</v>
      </c>
      <c r="H27" s="15"/>
    </row>
    <row r="28" spans="1:8" x14ac:dyDescent="0.35">
      <c r="A28" s="56" t="s">
        <v>142</v>
      </c>
      <c r="B28" s="56" t="s">
        <v>143</v>
      </c>
      <c r="C28" s="99">
        <v>46113</v>
      </c>
      <c r="D28" s="88">
        <f>VLOOKUP(A28,'Tech Team'!A20:AA69,27,0)</f>
        <v>25478.5008643</v>
      </c>
      <c r="E28" s="88">
        <v>40590710609</v>
      </c>
      <c r="F28" s="86" t="s">
        <v>177</v>
      </c>
      <c r="G28" s="86" t="s">
        <v>106</v>
      </c>
      <c r="H28" s="15"/>
    </row>
    <row r="29" spans="1:8" x14ac:dyDescent="0.35">
      <c r="A29" s="56" t="s">
        <v>144</v>
      </c>
      <c r="B29" s="56" t="s">
        <v>145</v>
      </c>
      <c r="C29" s="99">
        <v>46113</v>
      </c>
      <c r="D29" s="88">
        <f>VLOOKUP(A29,'Tech Team'!A21:AA70,27,0)</f>
        <v>44997.500240499998</v>
      </c>
      <c r="E29" s="88" t="s">
        <v>264</v>
      </c>
      <c r="F29" s="86" t="s">
        <v>178</v>
      </c>
      <c r="G29" s="86" t="s">
        <v>45</v>
      </c>
      <c r="H29" s="15"/>
    </row>
    <row r="30" spans="1:8" x14ac:dyDescent="0.35">
      <c r="A30" s="56" t="s">
        <v>146</v>
      </c>
      <c r="B30" s="56" t="s">
        <v>147</v>
      </c>
      <c r="C30" s="99">
        <v>46114</v>
      </c>
      <c r="D30" s="88">
        <f>VLOOKUP(A30,'Tech Team'!A22:AA71,27,0)</f>
        <v>19486.85066263</v>
      </c>
      <c r="E30" s="88">
        <v>55560103431927</v>
      </c>
      <c r="F30" s="86" t="s">
        <v>180</v>
      </c>
      <c r="G30" s="86" t="s">
        <v>122</v>
      </c>
      <c r="H30" s="15"/>
    </row>
    <row r="31" spans="1:8" x14ac:dyDescent="0.35">
      <c r="A31" s="56" t="s">
        <v>148</v>
      </c>
      <c r="B31" s="56" t="s">
        <v>149</v>
      </c>
      <c r="C31" s="99">
        <v>46113</v>
      </c>
      <c r="D31" s="88">
        <f>VLOOKUP(A31,'Tech Team'!A23:AA72,27,0)</f>
        <v>12689.25043215</v>
      </c>
      <c r="E31" s="88">
        <v>15550100112355</v>
      </c>
      <c r="F31" s="86" t="s">
        <v>225</v>
      </c>
      <c r="G31" s="86" t="s">
        <v>122</v>
      </c>
      <c r="H31" s="15"/>
    </row>
    <row r="32" spans="1:8" x14ac:dyDescent="0.35">
      <c r="A32" s="56" t="s">
        <v>150</v>
      </c>
      <c r="B32" s="56" t="s">
        <v>151</v>
      </c>
      <c r="C32" s="99">
        <v>46113</v>
      </c>
      <c r="D32" s="88">
        <f>VLOOKUP(A32,'Tech Team'!A24:AA73,27,0)</f>
        <v>12689.25043215</v>
      </c>
      <c r="E32" s="88">
        <v>15550100112280</v>
      </c>
      <c r="F32" s="86" t="s">
        <v>225</v>
      </c>
      <c r="G32" s="86" t="s">
        <v>122</v>
      </c>
      <c r="H32" s="15"/>
    </row>
    <row r="33" spans="1:8" x14ac:dyDescent="0.35">
      <c r="A33" s="56" t="s">
        <v>152</v>
      </c>
      <c r="B33" s="56" t="s">
        <v>153</v>
      </c>
      <c r="C33" s="99">
        <v>46113</v>
      </c>
      <c r="D33" s="88">
        <f>VLOOKUP(A33,'Tech Team'!A25:AA74,27,0)</f>
        <v>12689.25043215</v>
      </c>
      <c r="E33" s="88">
        <v>15550100112272</v>
      </c>
      <c r="F33" s="86" t="s">
        <v>225</v>
      </c>
      <c r="G33" s="86" t="s">
        <v>122</v>
      </c>
      <c r="H33" s="15"/>
    </row>
    <row r="34" spans="1:8" x14ac:dyDescent="0.35">
      <c r="A34" s="56" t="s">
        <v>156</v>
      </c>
      <c r="B34" s="56" t="s">
        <v>157</v>
      </c>
      <c r="C34" s="99">
        <v>46113</v>
      </c>
      <c r="D34" s="88">
        <f>VLOOKUP(A34,'Tech Team'!A26:AA75,27,0)</f>
        <v>12689.25043215</v>
      </c>
      <c r="E34" s="88">
        <v>15550100112306</v>
      </c>
      <c r="F34" s="86" t="s">
        <v>225</v>
      </c>
      <c r="G34" s="86" t="s">
        <v>122</v>
      </c>
      <c r="H34" s="15"/>
    </row>
    <row r="35" spans="1:8" x14ac:dyDescent="0.35">
      <c r="A35" s="56" t="s">
        <v>158</v>
      </c>
      <c r="B35" s="56" t="s">
        <v>159</v>
      </c>
      <c r="C35" s="99">
        <v>46113</v>
      </c>
      <c r="D35" s="88">
        <f>VLOOKUP(A35,'Tech Team'!A27:AA76,27,0)</f>
        <v>12689.25043215</v>
      </c>
      <c r="E35" s="88">
        <v>15550100112298</v>
      </c>
      <c r="F35" s="86" t="s">
        <v>225</v>
      </c>
      <c r="G35" s="86" t="s">
        <v>122</v>
      </c>
      <c r="H35" s="15"/>
    </row>
    <row r="36" spans="1:8" x14ac:dyDescent="0.35">
      <c r="A36" s="56" t="s">
        <v>160</v>
      </c>
      <c r="B36" s="56" t="s">
        <v>161</v>
      </c>
      <c r="C36" s="99">
        <v>46113</v>
      </c>
      <c r="D36" s="88">
        <f>VLOOKUP(A36,'Tech Team'!A28:AA77,27,0)</f>
        <v>40117.750216450004</v>
      </c>
      <c r="E36" s="88">
        <v>99980130961787</v>
      </c>
      <c r="F36" s="86" t="s">
        <v>225</v>
      </c>
      <c r="G36" s="86" t="s">
        <v>122</v>
      </c>
      <c r="H36" s="15"/>
    </row>
    <row r="37" spans="1:8" x14ac:dyDescent="0.35">
      <c r="A37" s="56" t="s">
        <v>162</v>
      </c>
      <c r="B37" s="56" t="s">
        <v>163</v>
      </c>
      <c r="C37" s="99">
        <v>46113</v>
      </c>
      <c r="D37" s="88">
        <f>VLOOKUP(A37,'Tech Team'!A29:AA78,27,0)</f>
        <v>40117.750216450004</v>
      </c>
      <c r="E37" s="88">
        <v>37097117593</v>
      </c>
      <c r="F37" s="86" t="s">
        <v>188</v>
      </c>
      <c r="G37" s="86" t="s">
        <v>106</v>
      </c>
      <c r="H37" s="15"/>
    </row>
    <row r="38" spans="1:8" x14ac:dyDescent="0.35">
      <c r="A38" s="56" t="s">
        <v>164</v>
      </c>
      <c r="B38" s="56" t="s">
        <v>165</v>
      </c>
      <c r="C38" s="99">
        <v>46113</v>
      </c>
      <c r="D38" s="88">
        <f>VLOOKUP(A38,'Tech Team'!A30:AA79,27,0)</f>
        <v>25478.5008643</v>
      </c>
      <c r="E38" s="88">
        <v>99980130961779</v>
      </c>
      <c r="F38" s="86" t="s">
        <v>225</v>
      </c>
      <c r="G38" s="86" t="s">
        <v>122</v>
      </c>
      <c r="H38" s="15"/>
    </row>
    <row r="39" spans="1:8" x14ac:dyDescent="0.35">
      <c r="A39" s="56" t="s">
        <v>166</v>
      </c>
      <c r="B39" s="56" t="s">
        <v>167</v>
      </c>
      <c r="C39" s="99">
        <v>46113</v>
      </c>
      <c r="D39" s="88">
        <f>VLOOKUP(A39,'Tech Team'!A31:AA80,27,0)</f>
        <v>12689.25043215</v>
      </c>
      <c r="E39" s="88">
        <v>23520100016377</v>
      </c>
      <c r="F39" s="86" t="s">
        <v>265</v>
      </c>
      <c r="G39" s="86" t="s">
        <v>122</v>
      </c>
      <c r="H39" s="15"/>
    </row>
    <row r="40" spans="1:8" x14ac:dyDescent="0.35">
      <c r="A40" s="56" t="s">
        <v>168</v>
      </c>
      <c r="B40" s="56" t="s">
        <v>169</v>
      </c>
      <c r="C40" s="99">
        <v>46113</v>
      </c>
      <c r="D40" s="88">
        <f>VLOOKUP(A40,'Tech Team'!A32:AA81,27,0)</f>
        <v>12689.25043215</v>
      </c>
      <c r="E40" s="88">
        <v>15550100112322</v>
      </c>
      <c r="F40" s="86" t="s">
        <v>225</v>
      </c>
      <c r="G40" s="86" t="s">
        <v>122</v>
      </c>
      <c r="H40" s="15"/>
    </row>
    <row r="41" spans="1:8" x14ac:dyDescent="0.35">
      <c r="A41" s="56" t="s">
        <v>170</v>
      </c>
      <c r="B41" s="56" t="s">
        <v>171</v>
      </c>
      <c r="C41" s="99">
        <v>46113</v>
      </c>
      <c r="D41" s="88">
        <f>VLOOKUP(A41,'Tech Team'!A33:AA82,27,0)</f>
        <v>19486.85066263</v>
      </c>
      <c r="E41" s="88">
        <v>44610100006654</v>
      </c>
      <c r="F41" s="86" t="s">
        <v>193</v>
      </c>
      <c r="G41" s="86" t="s">
        <v>192</v>
      </c>
      <c r="H41" s="15"/>
    </row>
    <row r="42" spans="1:8" x14ac:dyDescent="0.35">
      <c r="A42" s="56" t="s">
        <v>172</v>
      </c>
      <c r="B42" s="56" t="s">
        <v>173</v>
      </c>
      <c r="C42" s="99">
        <v>46114</v>
      </c>
      <c r="D42" s="88">
        <f>VLOOKUP(A42,'Tech Team'!A34:AA83,27,0)</f>
        <v>20342.800691439999</v>
      </c>
      <c r="E42" s="88">
        <v>15550100112363</v>
      </c>
      <c r="F42" s="86" t="s">
        <v>225</v>
      </c>
      <c r="G42" s="86" t="s">
        <v>122</v>
      </c>
      <c r="H42" s="15"/>
    </row>
    <row r="43" spans="1:8" x14ac:dyDescent="0.35">
      <c r="A43" s="56" t="s">
        <v>175</v>
      </c>
      <c r="B43" s="56" t="s">
        <v>174</v>
      </c>
      <c r="C43" s="99">
        <v>46113</v>
      </c>
      <c r="D43" s="88">
        <f>VLOOKUP(A43,'Tech Team'!A35:AA84,27,0)</f>
        <v>30358.250168350001</v>
      </c>
      <c r="E43" s="88">
        <v>15550100112330</v>
      </c>
      <c r="F43" s="86" t="s">
        <v>225</v>
      </c>
      <c r="G43" s="86" t="s">
        <v>122</v>
      </c>
      <c r="H43" s="15"/>
    </row>
    <row r="44" spans="1:8" x14ac:dyDescent="0.35">
      <c r="A44" s="56" t="s">
        <v>208</v>
      </c>
      <c r="B44" s="56" t="s">
        <v>203</v>
      </c>
      <c r="C44" s="99">
        <v>46113</v>
      </c>
      <c r="D44" s="88">
        <f>VLOOKUP(A44,'Tech Team'!A36:AA85,27,0)</f>
        <v>12689.25043215</v>
      </c>
      <c r="E44" s="88">
        <v>38613963272</v>
      </c>
      <c r="F44" s="86" t="s">
        <v>204</v>
      </c>
      <c r="G44" s="86" t="s">
        <v>106</v>
      </c>
      <c r="H44" s="15"/>
    </row>
    <row r="45" spans="1:8" x14ac:dyDescent="0.35">
      <c r="A45" s="56" t="s">
        <v>209</v>
      </c>
      <c r="B45" s="56" t="s">
        <v>205</v>
      </c>
      <c r="C45" s="99">
        <v>46113</v>
      </c>
      <c r="D45" s="88">
        <f>VLOOKUP(A45,'Tech Team'!A37:AA86,27,0)</f>
        <v>28731.341510331731</v>
      </c>
      <c r="E45" s="88">
        <v>180701000002091</v>
      </c>
      <c r="F45" s="86" t="s">
        <v>206</v>
      </c>
      <c r="G45" s="86" t="s">
        <v>207</v>
      </c>
      <c r="H45" s="15"/>
    </row>
    <row r="46" spans="1:8" x14ac:dyDescent="0.35">
      <c r="A46" s="56" t="s">
        <v>234</v>
      </c>
      <c r="B46" s="56" t="s">
        <v>235</v>
      </c>
      <c r="C46" s="99">
        <v>46146</v>
      </c>
      <c r="D46" s="88">
        <f>VLOOKUP(A46,'Tech Team'!A38:AA87,27,0)</f>
        <v>30358.250168350001</v>
      </c>
      <c r="E46" s="88">
        <v>99980130961803</v>
      </c>
      <c r="F46" s="86" t="s">
        <v>225</v>
      </c>
      <c r="G46" s="86" t="s">
        <v>122</v>
      </c>
      <c r="H46" s="15"/>
    </row>
    <row r="47" spans="1:8" x14ac:dyDescent="0.35">
      <c r="A47" s="56" t="s">
        <v>236</v>
      </c>
      <c r="B47" s="56" t="s">
        <v>237</v>
      </c>
      <c r="C47" s="99">
        <v>46146</v>
      </c>
      <c r="D47" s="88">
        <f>VLOOKUP(A47,'Tech Team'!A39:AA88,27,0)</f>
        <v>12689.25043215</v>
      </c>
      <c r="E47" s="88">
        <v>55560103622913</v>
      </c>
      <c r="F47" s="86" t="s">
        <v>180</v>
      </c>
      <c r="G47" s="86" t="s">
        <v>122</v>
      </c>
      <c r="H47" s="15"/>
    </row>
    <row r="48" spans="1:8" x14ac:dyDescent="0.35">
      <c r="A48" s="56" t="s">
        <v>238</v>
      </c>
      <c r="B48" s="56" t="s">
        <v>239</v>
      </c>
      <c r="C48" s="99">
        <v>46146</v>
      </c>
      <c r="D48" s="88">
        <f>VLOOKUP(A48,'Tech Team'!A40:AA89,27,0)</f>
        <v>19486.85066263</v>
      </c>
      <c r="E48" s="88">
        <v>99980130961811</v>
      </c>
      <c r="F48" s="86" t="s">
        <v>225</v>
      </c>
      <c r="G48" s="86" t="s">
        <v>122</v>
      </c>
      <c r="H48" s="15"/>
    </row>
    <row r="49" spans="1:8" x14ac:dyDescent="0.35">
      <c r="A49" s="56" t="s">
        <v>240</v>
      </c>
      <c r="B49" s="56" t="s">
        <v>241</v>
      </c>
      <c r="C49" s="99">
        <v>46146</v>
      </c>
      <c r="D49" s="88">
        <f>VLOOKUP(A49,'Tech Team'!A41:AA90,27,0)</f>
        <v>25478.5008643</v>
      </c>
      <c r="E49" s="88">
        <v>15550100112413</v>
      </c>
      <c r="F49" s="86" t="s">
        <v>225</v>
      </c>
      <c r="G49" s="86" t="s">
        <v>122</v>
      </c>
      <c r="H49" s="15"/>
    </row>
    <row r="50" spans="1:8" x14ac:dyDescent="0.35">
      <c r="A50" s="56" t="s">
        <v>242</v>
      </c>
      <c r="B50" s="56" t="s">
        <v>243</v>
      </c>
      <c r="C50" s="99">
        <v>46146</v>
      </c>
      <c r="D50" s="88">
        <f>VLOOKUP(A50,'Tech Team'!A42:AA91,27,0)</f>
        <v>40117.750216450004</v>
      </c>
      <c r="E50" s="88">
        <v>62412658053</v>
      </c>
      <c r="F50" s="86" t="s">
        <v>262</v>
      </c>
      <c r="G50" s="86" t="s">
        <v>106</v>
      </c>
      <c r="H50" s="15"/>
    </row>
    <row r="51" spans="1:8" x14ac:dyDescent="0.35">
      <c r="A51" s="56" t="s">
        <v>244</v>
      </c>
      <c r="B51" s="56" t="s">
        <v>245</v>
      </c>
      <c r="C51" s="99">
        <v>46146</v>
      </c>
      <c r="D51" s="88">
        <f>VLOOKUP(A51,'Tech Team'!A43:AA92,27,0)</f>
        <v>12689.25043215</v>
      </c>
      <c r="E51" s="88">
        <v>40592463089</v>
      </c>
      <c r="F51" s="86" t="s">
        <v>261</v>
      </c>
      <c r="G51" s="86" t="s">
        <v>106</v>
      </c>
      <c r="H51" s="15"/>
    </row>
    <row r="52" spans="1:8" x14ac:dyDescent="0.35">
      <c r="A52" s="56" t="s">
        <v>246</v>
      </c>
      <c r="B52" s="56" t="s">
        <v>247</v>
      </c>
      <c r="C52" s="99">
        <v>46146</v>
      </c>
      <c r="D52" s="88">
        <f>VLOOKUP(A52,'Tech Team'!A44:AA93,27,0)</f>
        <v>12689.25043215</v>
      </c>
      <c r="E52" s="105" t="s">
        <v>271</v>
      </c>
      <c r="F52" s="86" t="s">
        <v>259</v>
      </c>
      <c r="G52" s="86" t="s">
        <v>260</v>
      </c>
      <c r="H52" s="15"/>
    </row>
    <row r="53" spans="1:8" x14ac:dyDescent="0.35">
      <c r="A53" s="56" t="s">
        <v>248</v>
      </c>
      <c r="B53" s="56" t="s">
        <v>249</v>
      </c>
      <c r="C53" s="99">
        <v>46146</v>
      </c>
      <c r="D53" s="88">
        <f>VLOOKUP(A53,'Tech Team'!A45:AA94,27,0)</f>
        <v>40117.750216450004</v>
      </c>
      <c r="E53" s="88">
        <v>55560103591175</v>
      </c>
      <c r="F53" s="86" t="s">
        <v>180</v>
      </c>
      <c r="G53" s="86" t="s">
        <v>122</v>
      </c>
      <c r="H53" s="15"/>
    </row>
    <row r="54" spans="1:8" x14ac:dyDescent="0.35">
      <c r="A54" s="56" t="s">
        <v>250</v>
      </c>
      <c r="B54" s="56" t="s">
        <v>251</v>
      </c>
      <c r="C54" s="99">
        <v>46146</v>
      </c>
      <c r="D54" s="88">
        <f>VLOOKUP(A54,'Tech Team'!A46:AA95,27,0)</f>
        <v>30358.250168350001</v>
      </c>
      <c r="E54" s="88">
        <v>99980130963841</v>
      </c>
      <c r="F54" s="86" t="s">
        <v>225</v>
      </c>
      <c r="G54" s="86" t="s">
        <v>122</v>
      </c>
      <c r="H54" s="15"/>
    </row>
    <row r="55" spans="1:8" x14ac:dyDescent="0.35">
      <c r="A55" s="56" t="s">
        <v>252</v>
      </c>
      <c r="B55" s="56" t="s">
        <v>253</v>
      </c>
      <c r="C55" s="99">
        <v>46146</v>
      </c>
      <c r="D55" s="88">
        <f>VLOOKUP(A55,'Tech Team'!A47:AA96,27,0)</f>
        <v>12689.25043215</v>
      </c>
      <c r="E55" s="88">
        <v>15550100112397</v>
      </c>
      <c r="F55" s="86" t="s">
        <v>225</v>
      </c>
      <c r="G55" s="86" t="s">
        <v>122</v>
      </c>
      <c r="H55" s="15"/>
    </row>
    <row r="56" spans="1:8" x14ac:dyDescent="0.35">
      <c r="A56" s="56" t="s">
        <v>208</v>
      </c>
      <c r="B56" s="56" t="s">
        <v>254</v>
      </c>
      <c r="C56" s="99">
        <v>46146</v>
      </c>
      <c r="D56" s="88">
        <f>VLOOKUP(A56,'Tech Team'!A48:AA97,27,0)</f>
        <v>12689.25043215</v>
      </c>
      <c r="E56" s="88">
        <v>225210100082348</v>
      </c>
      <c r="F56" s="86" t="s">
        <v>270</v>
      </c>
      <c r="G56" s="86" t="s">
        <v>43</v>
      </c>
      <c r="H56" s="15"/>
    </row>
    <row r="57" spans="1:8" x14ac:dyDescent="0.35">
      <c r="A57" s="56" t="s">
        <v>255</v>
      </c>
      <c r="B57" s="56" t="s">
        <v>256</v>
      </c>
      <c r="C57" s="99">
        <v>46148</v>
      </c>
      <c r="D57" s="88">
        <f>VLOOKUP(A57,'Tech Team'!A49:AA98,27,0)</f>
        <v>12689.25043215</v>
      </c>
      <c r="E57" s="88">
        <v>55560103492226</v>
      </c>
      <c r="F57" s="86" t="s">
        <v>180</v>
      </c>
      <c r="G57" s="86" t="s">
        <v>122</v>
      </c>
      <c r="H57" s="15"/>
    </row>
    <row r="58" spans="1:8" x14ac:dyDescent="0.35">
      <c r="A58" s="56" t="s">
        <v>272</v>
      </c>
      <c r="B58" s="56" t="s">
        <v>273</v>
      </c>
      <c r="C58" s="99">
        <v>46174</v>
      </c>
      <c r="D58" s="88">
        <f>VLOOKUP(A58,HIT!A2:AA14,27,0)</f>
        <v>18300.421888715638</v>
      </c>
      <c r="E58" s="88">
        <v>23240100021018</v>
      </c>
      <c r="F58" s="86" t="s">
        <v>300</v>
      </c>
      <c r="G58" s="86" t="s">
        <v>122</v>
      </c>
      <c r="H58" s="15"/>
    </row>
    <row r="59" spans="1:8" x14ac:dyDescent="0.35">
      <c r="A59" s="56" t="s">
        <v>274</v>
      </c>
      <c r="B59" s="56" t="s">
        <v>275</v>
      </c>
      <c r="C59" s="99">
        <v>46174</v>
      </c>
      <c r="D59" s="88">
        <f>VLOOKUP(A59,HIT!A3:AA14,27,0)</f>
        <v>14800.3515739297</v>
      </c>
      <c r="E59" s="88">
        <v>23701000029541</v>
      </c>
      <c r="F59" s="86" t="s">
        <v>310</v>
      </c>
      <c r="G59" s="86" t="s">
        <v>122</v>
      </c>
      <c r="H59" s="15"/>
    </row>
    <row r="60" spans="1:8" x14ac:dyDescent="0.35">
      <c r="A60" s="56" t="s">
        <v>276</v>
      </c>
      <c r="B60" s="56" t="s">
        <v>277</v>
      </c>
      <c r="C60" s="99">
        <v>46174</v>
      </c>
      <c r="D60" s="88">
        <f>VLOOKUP(A60,HIT!A4:AA15,27,0)</f>
        <v>17800.421888715638</v>
      </c>
      <c r="E60" s="88">
        <v>17560100050974</v>
      </c>
      <c r="F60" s="86" t="s">
        <v>301</v>
      </c>
      <c r="G60" s="86" t="s">
        <v>122</v>
      </c>
      <c r="H60" s="15"/>
    </row>
    <row r="61" spans="1:8" x14ac:dyDescent="0.35">
      <c r="A61" s="56" t="s">
        <v>278</v>
      </c>
      <c r="B61" s="56" t="s">
        <v>279</v>
      </c>
      <c r="C61" s="99">
        <v>46174</v>
      </c>
      <c r="D61" s="88">
        <f>VLOOKUP(A61,HIT!A5:AA16,27,0)</f>
        <v>14800.3515739297</v>
      </c>
      <c r="E61" s="88">
        <v>24570100002876</v>
      </c>
      <c r="F61" s="86" t="s">
        <v>302</v>
      </c>
      <c r="G61" s="86" t="s">
        <v>122</v>
      </c>
      <c r="H61" s="15"/>
    </row>
    <row r="62" spans="1:8" x14ac:dyDescent="0.35">
      <c r="A62" s="56" t="s">
        <v>280</v>
      </c>
      <c r="B62" s="56" t="s">
        <v>281</v>
      </c>
      <c r="C62" s="99">
        <v>46174</v>
      </c>
      <c r="D62" s="88">
        <f>VLOOKUP(A62,HIT!A6:AA17,27,0)</f>
        <v>12849.6540640692</v>
      </c>
      <c r="E62" s="88">
        <v>924010050412952</v>
      </c>
      <c r="F62" s="86" t="s">
        <v>311</v>
      </c>
      <c r="G62" s="86" t="s">
        <v>43</v>
      </c>
      <c r="H62" s="15"/>
    </row>
    <row r="63" spans="1:8" x14ac:dyDescent="0.35">
      <c r="A63" s="56" t="s">
        <v>282</v>
      </c>
      <c r="B63" s="56" t="s">
        <v>283</v>
      </c>
      <c r="C63" s="99">
        <v>46174</v>
      </c>
      <c r="D63" s="88">
        <f>VLOOKUP(A63,HIT!A7:AA18,27,0)</f>
        <v>11850.28125914376</v>
      </c>
      <c r="E63" s="88">
        <v>25140100010136</v>
      </c>
      <c r="F63" s="86" t="s">
        <v>303</v>
      </c>
      <c r="G63" s="86" t="s">
        <v>122</v>
      </c>
      <c r="H63" s="15"/>
    </row>
    <row r="64" spans="1:8" x14ac:dyDescent="0.35">
      <c r="A64" s="56" t="s">
        <v>284</v>
      </c>
      <c r="B64" s="56" t="s">
        <v>285</v>
      </c>
      <c r="C64" s="99">
        <v>46174</v>
      </c>
      <c r="D64" s="88">
        <f>VLOOKUP(A64,HIT!A8:AA19,27,0)</f>
        <v>12849.6540640692</v>
      </c>
      <c r="E64" s="88">
        <v>23710100006391</v>
      </c>
      <c r="F64" s="86" t="s">
        <v>304</v>
      </c>
      <c r="G64" s="86" t="s">
        <v>122</v>
      </c>
      <c r="H64" s="15"/>
    </row>
    <row r="65" spans="1:8" x14ac:dyDescent="0.35">
      <c r="A65" s="56" t="s">
        <v>286</v>
      </c>
      <c r="B65" s="56" t="s">
        <v>287</v>
      </c>
      <c r="C65" s="99">
        <v>46174</v>
      </c>
      <c r="D65" s="88">
        <f>VLOOKUP(A65,HIT!A9:AA20,27,0)</f>
        <v>27800.0056379989</v>
      </c>
      <c r="E65" s="88">
        <v>24570100005333</v>
      </c>
      <c r="F65" s="86" t="s">
        <v>302</v>
      </c>
      <c r="G65" s="86" t="s">
        <v>122</v>
      </c>
      <c r="H65" s="15"/>
    </row>
    <row r="66" spans="1:8" x14ac:dyDescent="0.35">
      <c r="A66" s="56" t="s">
        <v>288</v>
      </c>
      <c r="B66" s="56" t="s">
        <v>289</v>
      </c>
      <c r="C66" s="99">
        <v>46174</v>
      </c>
      <c r="D66" s="88">
        <f>VLOOKUP(A66,HIT!A10:AA21,27,0)</f>
        <v>24799.935323212962</v>
      </c>
      <c r="E66" s="88">
        <v>99980128937682</v>
      </c>
      <c r="F66" s="86" t="s">
        <v>225</v>
      </c>
      <c r="G66" s="86" t="s">
        <v>122</v>
      </c>
      <c r="H66" s="15"/>
    </row>
    <row r="67" spans="1:8" x14ac:dyDescent="0.35">
      <c r="A67" s="56" t="s">
        <v>290</v>
      </c>
      <c r="B67" s="56" t="s">
        <v>291</v>
      </c>
      <c r="C67" s="99">
        <v>46174</v>
      </c>
      <c r="D67" s="88">
        <f>VLOOKUP(A67,HIT!A11:AA22,27,0)</f>
        <v>22800.213763357271</v>
      </c>
      <c r="E67" s="88">
        <v>99980128338519</v>
      </c>
      <c r="F67" s="86" t="s">
        <v>305</v>
      </c>
      <c r="G67" s="86" t="s">
        <v>122</v>
      </c>
      <c r="H67" s="15"/>
    </row>
    <row r="68" spans="1:8" x14ac:dyDescent="0.35">
      <c r="A68" s="56" t="s">
        <v>292</v>
      </c>
      <c r="B68" s="56" t="s">
        <v>293</v>
      </c>
      <c r="C68" s="99">
        <v>46174</v>
      </c>
      <c r="D68" s="88">
        <f>VLOOKUP(A68,HIT!A12:AA23,27,0)</f>
        <v>44800.07877178429</v>
      </c>
      <c r="E68" s="88">
        <v>24780100008456</v>
      </c>
      <c r="F68" s="86" t="s">
        <v>306</v>
      </c>
      <c r="G68" s="86" t="s">
        <v>122</v>
      </c>
      <c r="H68" s="15"/>
    </row>
    <row r="69" spans="1:8" x14ac:dyDescent="0.35">
      <c r="A69" s="56" t="s">
        <v>294</v>
      </c>
      <c r="B69" s="56" t="s">
        <v>295</v>
      </c>
      <c r="C69" s="99">
        <v>46174</v>
      </c>
      <c r="D69" s="88">
        <f>VLOOKUP(A69,HIT!A13:AA24,27,0)</f>
        <v>9849.5837492832597</v>
      </c>
      <c r="E69" s="88">
        <v>15550100107520</v>
      </c>
      <c r="F69" s="86" t="s">
        <v>225</v>
      </c>
      <c r="G69" s="86" t="s">
        <v>122</v>
      </c>
      <c r="H69" s="15"/>
    </row>
    <row r="70" spans="1:8" x14ac:dyDescent="0.35">
      <c r="A70" s="56" t="s">
        <v>296</v>
      </c>
      <c r="B70" s="56" t="s">
        <v>297</v>
      </c>
      <c r="C70" s="99">
        <v>46174</v>
      </c>
      <c r="D70" s="88">
        <f>VLOOKUP(A70,HIT!A14:AA25,27,0)</f>
        <v>11850.28125914376</v>
      </c>
      <c r="E70" s="88">
        <v>15690100076067</v>
      </c>
      <c r="F70" s="86" t="s">
        <v>307</v>
      </c>
      <c r="G70" s="86" t="s">
        <v>122</v>
      </c>
      <c r="H70" s="15"/>
    </row>
    <row r="72" spans="1:8" x14ac:dyDescent="0.35">
      <c r="B72" s="101" t="s">
        <v>28</v>
      </c>
      <c r="C72" s="102"/>
      <c r="D72" s="103">
        <f>SUM(D2:D71)</f>
        <v>2126272.5237694737</v>
      </c>
    </row>
  </sheetData>
  <autoFilter ref="A1:H57" xr:uid="{96A9653E-67C0-4905-ABFF-14FF9076BD1D}"/>
  <phoneticPr fontId="7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E0F1-FE9B-4C0F-B350-8B3214F65ECA}">
  <dimension ref="A1:H5"/>
  <sheetViews>
    <sheetView workbookViewId="0">
      <selection activeCell="I12" sqref="I12"/>
    </sheetView>
  </sheetViews>
  <sheetFormatPr defaultRowHeight="14.5" x14ac:dyDescent="0.35"/>
  <cols>
    <col min="1" max="1" width="35" bestFit="1" customWidth="1"/>
    <col min="2" max="2" width="10.1796875" bestFit="1" customWidth="1"/>
    <col min="3" max="3" width="5.81640625" bestFit="1" customWidth="1"/>
    <col min="4" max="4" width="9.1796875" bestFit="1" customWidth="1"/>
    <col min="5" max="5" width="19.81640625" bestFit="1" customWidth="1"/>
    <col min="6" max="6" width="12.36328125" bestFit="1" customWidth="1"/>
    <col min="7" max="7" width="10.36328125" bestFit="1" customWidth="1"/>
    <col min="8" max="8" width="12.08984375" bestFit="1" customWidth="1"/>
  </cols>
  <sheetData>
    <row r="1" spans="1:8" x14ac:dyDescent="0.35">
      <c r="A1" s="12" t="s">
        <v>210</v>
      </c>
      <c r="B1" s="28" t="s">
        <v>258</v>
      </c>
      <c r="C1" s="28" t="s">
        <v>227</v>
      </c>
      <c r="D1" s="28" t="s">
        <v>132</v>
      </c>
      <c r="E1" s="12" t="s">
        <v>29</v>
      </c>
      <c r="F1" s="12" t="s">
        <v>30</v>
      </c>
      <c r="G1" s="12" t="s">
        <v>32</v>
      </c>
      <c r="H1" s="12" t="s">
        <v>320</v>
      </c>
    </row>
    <row r="2" spans="1:8" ht="50" customHeight="1" x14ac:dyDescent="0.35">
      <c r="A2" s="48" t="s">
        <v>229</v>
      </c>
      <c r="B2" s="47">
        <v>160000</v>
      </c>
      <c r="C2" s="47">
        <v>0</v>
      </c>
      <c r="D2" s="47">
        <f>B2+C2</f>
        <v>160000</v>
      </c>
      <c r="E2" s="36">
        <v>50200062999445</v>
      </c>
      <c r="F2" s="47" t="s">
        <v>228</v>
      </c>
      <c r="G2" s="47" t="s">
        <v>190</v>
      </c>
      <c r="H2" t="s">
        <v>321</v>
      </c>
    </row>
    <row r="3" spans="1:8" ht="29" x14ac:dyDescent="0.35">
      <c r="A3" s="48" t="s">
        <v>229</v>
      </c>
      <c r="B3" s="47">
        <v>20000</v>
      </c>
      <c r="C3" s="47">
        <v>0</v>
      </c>
      <c r="D3" s="47">
        <f>B3+C3</f>
        <v>20000</v>
      </c>
      <c r="E3" s="36">
        <v>50200062999445</v>
      </c>
      <c r="F3" s="47" t="s">
        <v>228</v>
      </c>
      <c r="G3" s="47" t="s">
        <v>190</v>
      </c>
      <c r="H3" t="s">
        <v>321</v>
      </c>
    </row>
    <row r="5" spans="1:8" x14ac:dyDescent="0.35">
      <c r="D5" s="1">
        <f>SUM(D2:D4)</f>
        <v>180000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20E4-9944-43A1-99D2-A2D85D0C0D6A}">
  <sheetPr filterMode="1"/>
  <dimension ref="A1:H48"/>
  <sheetViews>
    <sheetView workbookViewId="0">
      <pane ySplit="1" topLeftCell="A2" activePane="bottomLeft" state="frozen"/>
      <selection pane="bottomLeft" activeCell="L40" sqref="L40"/>
    </sheetView>
  </sheetViews>
  <sheetFormatPr defaultRowHeight="14.5" x14ac:dyDescent="0.35"/>
  <cols>
    <col min="1" max="1" width="11.1796875" bestFit="1" customWidth="1"/>
    <col min="2" max="2" width="33" customWidth="1"/>
    <col min="3" max="3" width="9.54296875" customWidth="1"/>
    <col min="4" max="4" width="17.81640625" customWidth="1"/>
    <col min="5" max="5" width="19.81640625" bestFit="1" customWidth="1"/>
    <col min="6" max="6" width="12.6328125" customWidth="1"/>
    <col min="7" max="7" width="17.54296875" customWidth="1"/>
    <col min="8" max="8" width="8.08984375" bestFit="1" customWidth="1"/>
  </cols>
  <sheetData>
    <row r="1" spans="1:8" x14ac:dyDescent="0.35">
      <c r="A1" s="12" t="s">
        <v>1</v>
      </c>
      <c r="B1" s="12" t="s">
        <v>0</v>
      </c>
      <c r="C1" s="12" t="s">
        <v>21</v>
      </c>
      <c r="D1" s="12" t="s">
        <v>17</v>
      </c>
      <c r="E1" s="13" t="s">
        <v>29</v>
      </c>
      <c r="F1" s="13" t="s">
        <v>30</v>
      </c>
      <c r="G1" s="13" t="s">
        <v>32</v>
      </c>
      <c r="H1" s="13" t="s">
        <v>55</v>
      </c>
    </row>
    <row r="2" spans="1:8" x14ac:dyDescent="0.35">
      <c r="A2" s="14" t="s">
        <v>36</v>
      </c>
      <c r="B2" s="15" t="s">
        <v>52</v>
      </c>
      <c r="C2" s="46">
        <v>46054</v>
      </c>
      <c r="D2" s="35">
        <f>VLOOKUP(A2,Consultant!A2:H5,8,0)</f>
        <v>79800</v>
      </c>
      <c r="E2" s="35">
        <v>50100677371816</v>
      </c>
      <c r="F2" s="15" t="s">
        <v>50</v>
      </c>
      <c r="G2" s="15" t="s">
        <v>51</v>
      </c>
      <c r="H2" s="15"/>
    </row>
    <row r="3" spans="1:8" hidden="1" x14ac:dyDescent="0.35">
      <c r="A3" s="14" t="s">
        <v>35</v>
      </c>
      <c r="B3" s="14" t="s">
        <v>38</v>
      </c>
      <c r="C3" s="46">
        <v>46054</v>
      </c>
      <c r="D3" s="35">
        <f>VLOOKUP(A3,Consultant!A3:H7,8,0)</f>
        <v>69800</v>
      </c>
      <c r="E3" s="36">
        <v>99980130961985</v>
      </c>
      <c r="F3" s="22" t="s">
        <v>225</v>
      </c>
      <c r="G3" s="17" t="s">
        <v>122</v>
      </c>
      <c r="H3" s="15"/>
    </row>
    <row r="4" spans="1:8" x14ac:dyDescent="0.35">
      <c r="A4" s="18" t="s">
        <v>27</v>
      </c>
      <c r="B4" s="18" t="s">
        <v>26</v>
      </c>
      <c r="C4" s="46">
        <v>46062</v>
      </c>
      <c r="D4" s="35" t="e">
        <f>VLOOKUP(A4,Employees!2:2,29,0)</f>
        <v>#N/A</v>
      </c>
      <c r="E4" s="35">
        <v>41280100007853</v>
      </c>
      <c r="F4" s="15" t="s">
        <v>31</v>
      </c>
      <c r="G4" s="15" t="s">
        <v>33</v>
      </c>
      <c r="H4" s="15"/>
    </row>
    <row r="5" spans="1:8" hidden="1" x14ac:dyDescent="0.35">
      <c r="A5" s="6" t="s">
        <v>60</v>
      </c>
      <c r="B5" s="7" t="s">
        <v>61</v>
      </c>
      <c r="C5" s="8">
        <v>46083</v>
      </c>
      <c r="D5" s="35" t="e">
        <f>VLOOKUP(A5,'Tech Team'!A4:AA38,28,0)</f>
        <v>#REF!</v>
      </c>
      <c r="E5" s="36">
        <v>99980130961993</v>
      </c>
      <c r="F5" s="22" t="s">
        <v>225</v>
      </c>
      <c r="G5" s="17" t="s">
        <v>122</v>
      </c>
      <c r="H5" s="15"/>
    </row>
    <row r="6" spans="1:8" x14ac:dyDescent="0.35">
      <c r="A6" s="6" t="s">
        <v>56</v>
      </c>
      <c r="B6" s="7" t="s">
        <v>57</v>
      </c>
      <c r="C6" s="8">
        <v>46083</v>
      </c>
      <c r="D6" s="35" t="e">
        <f>VLOOKUP(A6,'Tech Team'!A2:AA36,28,0)</f>
        <v>#REF!</v>
      </c>
      <c r="E6" s="35">
        <v>3327101004003</v>
      </c>
      <c r="F6" s="17" t="s">
        <v>101</v>
      </c>
      <c r="G6" s="17" t="s">
        <v>102</v>
      </c>
      <c r="H6" s="15"/>
    </row>
    <row r="7" spans="1:8" x14ac:dyDescent="0.35">
      <c r="A7" s="6" t="s">
        <v>72</v>
      </c>
      <c r="B7" s="7" t="s">
        <v>73</v>
      </c>
      <c r="C7" s="8">
        <v>46083</v>
      </c>
      <c r="D7" s="35" t="e">
        <f>VLOOKUP(A7,'Tech Team'!A10:AA44,28,0)</f>
        <v>#REF!</v>
      </c>
      <c r="E7" s="35">
        <v>159502740717</v>
      </c>
      <c r="F7" s="17" t="s">
        <v>108</v>
      </c>
      <c r="G7" s="17" t="s">
        <v>109</v>
      </c>
      <c r="H7" s="15"/>
    </row>
    <row r="8" spans="1:8" hidden="1" x14ac:dyDescent="0.35">
      <c r="A8" s="6" t="s">
        <v>64</v>
      </c>
      <c r="B8" s="7" t="s">
        <v>65</v>
      </c>
      <c r="C8" s="8">
        <v>46083</v>
      </c>
      <c r="D8" s="35" t="e">
        <f>VLOOKUP(A8,'Tech Team'!A6:AA40,28,0)</f>
        <v>#REF!</v>
      </c>
      <c r="E8" s="35">
        <v>77770116800885</v>
      </c>
      <c r="F8" s="17" t="s">
        <v>104</v>
      </c>
      <c r="G8" s="17" t="s">
        <v>122</v>
      </c>
      <c r="H8" s="15"/>
    </row>
    <row r="9" spans="1:8" hidden="1" x14ac:dyDescent="0.35">
      <c r="A9" s="6" t="s">
        <v>70</v>
      </c>
      <c r="B9" s="7" t="s">
        <v>71</v>
      </c>
      <c r="C9" s="8">
        <v>46083</v>
      </c>
      <c r="D9" s="35" t="e">
        <f>VLOOKUP(A9,'Tech Team'!A9:AA43,28,0)</f>
        <v>#REF!</v>
      </c>
      <c r="E9" s="36">
        <v>99980130961886</v>
      </c>
      <c r="F9" s="22" t="s">
        <v>225</v>
      </c>
      <c r="G9" s="17" t="s">
        <v>122</v>
      </c>
      <c r="H9" s="15"/>
    </row>
    <row r="10" spans="1:8" x14ac:dyDescent="0.35">
      <c r="A10" s="6" t="s">
        <v>68</v>
      </c>
      <c r="B10" s="7" t="s">
        <v>69</v>
      </c>
      <c r="C10" s="8">
        <v>46083</v>
      </c>
      <c r="D10" s="35" t="e">
        <f>VLOOKUP(A10,'Tech Team'!A8:AA42,28,0)</f>
        <v>#REF!</v>
      </c>
      <c r="E10" s="35">
        <v>62297418711</v>
      </c>
      <c r="F10" s="17" t="s">
        <v>107</v>
      </c>
      <c r="G10" s="17" t="s">
        <v>106</v>
      </c>
      <c r="H10" s="15"/>
    </row>
    <row r="11" spans="1:8" hidden="1" x14ac:dyDescent="0.35">
      <c r="A11" s="6" t="s">
        <v>66</v>
      </c>
      <c r="B11" s="7" t="s">
        <v>67</v>
      </c>
      <c r="C11" s="8">
        <v>46083</v>
      </c>
      <c r="D11" s="35" t="e">
        <f>VLOOKUP(A11,'Tech Team'!A7:AA41,28,0)</f>
        <v>#REF!</v>
      </c>
      <c r="E11" s="36">
        <v>99980130963940</v>
      </c>
      <c r="F11" s="22" t="s">
        <v>225</v>
      </c>
      <c r="G11" s="17" t="s">
        <v>122</v>
      </c>
      <c r="H11" s="15"/>
    </row>
    <row r="12" spans="1:8" x14ac:dyDescent="0.35">
      <c r="A12" s="6" t="s">
        <v>58</v>
      </c>
      <c r="B12" s="7" t="s">
        <v>59</v>
      </c>
      <c r="C12" s="8">
        <v>46083</v>
      </c>
      <c r="D12" s="35" t="e">
        <f>VLOOKUP(A12,'Tech Team'!A3:AA37,28,0)</f>
        <v>#REF!</v>
      </c>
      <c r="E12" s="35">
        <v>50100595290241</v>
      </c>
      <c r="F12" s="35" t="s">
        <v>103</v>
      </c>
      <c r="G12" s="35" t="s">
        <v>51</v>
      </c>
      <c r="H12" s="15"/>
    </row>
    <row r="13" spans="1:8" hidden="1" x14ac:dyDescent="0.35">
      <c r="A13" s="6" t="s">
        <v>62</v>
      </c>
      <c r="B13" s="7" t="s">
        <v>63</v>
      </c>
      <c r="C13" s="8">
        <v>46083</v>
      </c>
      <c r="D13" s="35" t="e">
        <f>VLOOKUP(A13,'Tech Team'!A5:AA39,28,0)</f>
        <v>#REF!</v>
      </c>
      <c r="E13" s="36">
        <v>99980130961951</v>
      </c>
      <c r="F13" s="22" t="s">
        <v>225</v>
      </c>
      <c r="G13" s="17" t="s">
        <v>122</v>
      </c>
      <c r="H13" s="15"/>
    </row>
    <row r="14" spans="1:8" x14ac:dyDescent="0.35">
      <c r="A14" s="14" t="s">
        <v>46</v>
      </c>
      <c r="B14" s="14" t="s">
        <v>47</v>
      </c>
      <c r="C14" s="46">
        <v>46066</v>
      </c>
      <c r="D14" s="35" t="e">
        <f>VLOOKUP(A14,Consultant!A4:H8,8,0)</f>
        <v>#N/A</v>
      </c>
      <c r="E14" s="37" t="s">
        <v>48</v>
      </c>
      <c r="F14" s="40" t="s">
        <v>49</v>
      </c>
      <c r="G14" s="40" t="s">
        <v>45</v>
      </c>
      <c r="H14" s="15"/>
    </row>
    <row r="15" spans="1:8" hidden="1" x14ac:dyDescent="0.35">
      <c r="A15" s="6" t="s">
        <v>74</v>
      </c>
      <c r="B15" s="7" t="s">
        <v>75</v>
      </c>
      <c r="C15" s="8">
        <v>46083</v>
      </c>
      <c r="D15" s="35" t="e">
        <f>VLOOKUP(A15,'Tech Team'!A11:AA45,28,0)</f>
        <v>#REF!</v>
      </c>
      <c r="E15" s="36">
        <v>99980130961894</v>
      </c>
      <c r="F15" s="22" t="s">
        <v>225</v>
      </c>
      <c r="G15" s="17" t="s">
        <v>122</v>
      </c>
      <c r="H15" s="15"/>
    </row>
    <row r="16" spans="1:8" hidden="1" x14ac:dyDescent="0.35">
      <c r="A16" s="6" t="s">
        <v>78</v>
      </c>
      <c r="B16" s="7" t="s">
        <v>79</v>
      </c>
      <c r="C16" s="8">
        <v>46083</v>
      </c>
      <c r="D16" s="35" t="e">
        <f>VLOOKUP(A16,'Tech Team'!A12:AA47,28,0)</f>
        <v>#REF!</v>
      </c>
      <c r="E16" s="36">
        <v>99980130961878</v>
      </c>
      <c r="F16" s="22" t="s">
        <v>225</v>
      </c>
      <c r="G16" s="17" t="s">
        <v>122</v>
      </c>
      <c r="H16" s="15"/>
    </row>
    <row r="17" spans="1:8" hidden="1" x14ac:dyDescent="0.35">
      <c r="A17" s="14" t="s">
        <v>37</v>
      </c>
      <c r="B17" s="14" t="s">
        <v>39</v>
      </c>
      <c r="C17" s="46">
        <v>46072</v>
      </c>
      <c r="D17" s="35">
        <f>VLOOKUP(A17,Consultant!A4:H9,8,0)</f>
        <v>79800</v>
      </c>
      <c r="E17" s="35">
        <v>99980130963916</v>
      </c>
      <c r="F17" s="22" t="s">
        <v>225</v>
      </c>
      <c r="G17" s="17" t="s">
        <v>122</v>
      </c>
      <c r="H17" s="15"/>
    </row>
    <row r="18" spans="1:8" x14ac:dyDescent="0.35">
      <c r="A18" s="10" t="s">
        <v>170</v>
      </c>
      <c r="B18" s="11" t="s">
        <v>171</v>
      </c>
      <c r="C18" s="8">
        <v>46113</v>
      </c>
      <c r="D18" s="35" t="e">
        <f>VLOOKUP(A18,'Tech Team'!A34:AA71,28,0)</f>
        <v>#REF!</v>
      </c>
      <c r="E18" s="38">
        <v>44610100006654</v>
      </c>
      <c r="F18" s="41" t="s">
        <v>193</v>
      </c>
      <c r="G18" s="42" t="s">
        <v>192</v>
      </c>
      <c r="H18" s="15"/>
    </row>
    <row r="19" spans="1:8" x14ac:dyDescent="0.35">
      <c r="A19" s="6" t="s">
        <v>80</v>
      </c>
      <c r="B19" s="7" t="s">
        <v>81</v>
      </c>
      <c r="C19" s="8">
        <v>46083</v>
      </c>
      <c r="D19" s="35" t="e">
        <f>VLOOKUP(A19,'Tech Team'!A13:AA48,28,0)</f>
        <v>#REF!</v>
      </c>
      <c r="E19" s="35">
        <v>615728726</v>
      </c>
      <c r="F19" s="35" t="s">
        <v>113</v>
      </c>
      <c r="G19" s="35" t="s">
        <v>114</v>
      </c>
      <c r="H19" s="15"/>
    </row>
    <row r="20" spans="1:8" hidden="1" x14ac:dyDescent="0.35">
      <c r="A20" s="6" t="s">
        <v>82</v>
      </c>
      <c r="B20" s="7" t="s">
        <v>83</v>
      </c>
      <c r="C20" s="8">
        <v>46083</v>
      </c>
      <c r="D20" s="35" t="e">
        <f>VLOOKUP(A20,'Tech Team'!A14:AA49,28,0)</f>
        <v>#REF!</v>
      </c>
      <c r="E20" s="36">
        <v>99980130963882</v>
      </c>
      <c r="F20" s="22" t="s">
        <v>225</v>
      </c>
      <c r="G20" s="17" t="s">
        <v>122</v>
      </c>
      <c r="H20" s="15"/>
    </row>
    <row r="21" spans="1:8" hidden="1" x14ac:dyDescent="0.35">
      <c r="A21" s="6" t="s">
        <v>84</v>
      </c>
      <c r="B21" s="7" t="s">
        <v>85</v>
      </c>
      <c r="C21" s="8">
        <v>46083</v>
      </c>
      <c r="D21" s="35" t="e">
        <f>VLOOKUP(A21,'Tech Team'!A15:AA50,28,0)</f>
        <v>#REF!</v>
      </c>
      <c r="E21" s="36">
        <v>99980130961902</v>
      </c>
      <c r="F21" s="22" t="s">
        <v>225</v>
      </c>
      <c r="G21" s="17" t="s">
        <v>122</v>
      </c>
      <c r="H21" s="15"/>
    </row>
    <row r="22" spans="1:8" hidden="1" x14ac:dyDescent="0.35">
      <c r="A22" s="6" t="s">
        <v>86</v>
      </c>
      <c r="B22" s="7" t="s">
        <v>87</v>
      </c>
      <c r="C22" s="8">
        <v>46083</v>
      </c>
      <c r="D22" s="35" t="e">
        <f>VLOOKUP(A22,'Tech Team'!A16:AA51,28,0)</f>
        <v>#REF!</v>
      </c>
      <c r="E22" s="34">
        <v>99980130961761</v>
      </c>
      <c r="F22" s="22" t="s">
        <v>225</v>
      </c>
      <c r="G22" s="17" t="s">
        <v>122</v>
      </c>
      <c r="H22" s="15"/>
    </row>
    <row r="23" spans="1:8" hidden="1" x14ac:dyDescent="0.35">
      <c r="A23" s="10" t="s">
        <v>160</v>
      </c>
      <c r="B23" s="11" t="s">
        <v>161</v>
      </c>
      <c r="C23" s="8">
        <v>46113</v>
      </c>
      <c r="D23" s="35" t="e">
        <f>VLOOKUP(A23,'Tech Team'!A29:AA66,28,0)</f>
        <v>#REF!</v>
      </c>
      <c r="E23" s="34">
        <v>99980130961787</v>
      </c>
      <c r="F23" s="22" t="s">
        <v>225</v>
      </c>
      <c r="G23" s="17" t="s">
        <v>122</v>
      </c>
      <c r="H23" s="15"/>
    </row>
    <row r="24" spans="1:8" x14ac:dyDescent="0.35">
      <c r="A24" s="6" t="s">
        <v>88</v>
      </c>
      <c r="B24" s="6" t="s">
        <v>89</v>
      </c>
      <c r="C24" s="8">
        <v>46083</v>
      </c>
      <c r="D24" s="35" t="e">
        <f>VLOOKUP(A24,'Tech Team'!A17:AA52,28,0)</f>
        <v>#REF!</v>
      </c>
      <c r="E24" s="35">
        <v>37182972098</v>
      </c>
      <c r="F24" s="35" t="s">
        <v>137</v>
      </c>
      <c r="G24" s="35" t="s">
        <v>106</v>
      </c>
      <c r="H24" s="15"/>
    </row>
    <row r="25" spans="1:8" x14ac:dyDescent="0.35">
      <c r="A25" s="6" t="s">
        <v>92</v>
      </c>
      <c r="B25" s="6" t="s">
        <v>93</v>
      </c>
      <c r="C25" s="8">
        <v>46083</v>
      </c>
      <c r="D25" s="35" t="e">
        <f>VLOOKUP(A25,'Tech Team'!A18:AA54,28,0)</f>
        <v>#REF!</v>
      </c>
      <c r="E25" s="35">
        <v>41536691505</v>
      </c>
      <c r="F25" s="35" t="s">
        <v>120</v>
      </c>
      <c r="G25" s="35" t="s">
        <v>106</v>
      </c>
      <c r="H25" s="15"/>
    </row>
    <row r="26" spans="1:8" x14ac:dyDescent="0.35">
      <c r="A26" s="6" t="s">
        <v>94</v>
      </c>
      <c r="B26" s="6" t="s">
        <v>95</v>
      </c>
      <c r="C26" s="8">
        <v>46083</v>
      </c>
      <c r="D26" s="35" t="e">
        <f>VLOOKUP(A26,'Tech Team'!A19:AA55,28,0)</f>
        <v>#REF!</v>
      </c>
      <c r="E26" s="35">
        <v>50100141200194</v>
      </c>
      <c r="F26" s="35" t="s">
        <v>121</v>
      </c>
      <c r="G26" s="35" t="s">
        <v>51</v>
      </c>
      <c r="H26" s="15"/>
    </row>
    <row r="27" spans="1:8" hidden="1" x14ac:dyDescent="0.35">
      <c r="A27" s="18" t="s">
        <v>96</v>
      </c>
      <c r="B27" s="18" t="s">
        <v>97</v>
      </c>
      <c r="C27" s="16">
        <v>46086</v>
      </c>
      <c r="D27" s="35">
        <f>VLOOKUP(A27,Employees!2:3,29,0)</f>
        <v>0</v>
      </c>
      <c r="E27" s="34">
        <v>99980130961795</v>
      </c>
      <c r="F27" s="22" t="s">
        <v>225</v>
      </c>
      <c r="G27" s="17" t="s">
        <v>122</v>
      </c>
      <c r="H27" s="15"/>
    </row>
    <row r="28" spans="1:8" hidden="1" x14ac:dyDescent="0.35">
      <c r="A28" s="10" t="s">
        <v>98</v>
      </c>
      <c r="B28" s="11" t="s">
        <v>99</v>
      </c>
      <c r="C28" s="16">
        <v>46092</v>
      </c>
      <c r="D28" s="35">
        <f>VLOOKUP(A28,Consultant!A5:H10,8,0)</f>
        <v>19800</v>
      </c>
      <c r="E28" s="34">
        <v>99980130950434</v>
      </c>
      <c r="F28" s="22" t="s">
        <v>225</v>
      </c>
      <c r="G28" s="17" t="s">
        <v>122</v>
      </c>
      <c r="H28" s="15"/>
    </row>
    <row r="29" spans="1:8" hidden="1" x14ac:dyDescent="0.35">
      <c r="A29" s="10" t="s">
        <v>140</v>
      </c>
      <c r="B29" s="11" t="s">
        <v>141</v>
      </c>
      <c r="C29" s="8">
        <v>46113</v>
      </c>
      <c r="D29" s="35" t="e">
        <f>VLOOKUP(A29,'Tech Team'!A20:AA56,28,0)</f>
        <v>#REF!</v>
      </c>
      <c r="E29" s="34">
        <v>15550100112314</v>
      </c>
      <c r="F29" s="22" t="s">
        <v>225</v>
      </c>
      <c r="G29" s="17" t="s">
        <v>122</v>
      </c>
      <c r="H29" s="15"/>
    </row>
    <row r="30" spans="1:8" x14ac:dyDescent="0.35">
      <c r="A30" s="10" t="s">
        <v>142</v>
      </c>
      <c r="B30" s="11" t="s">
        <v>143</v>
      </c>
      <c r="C30" s="8">
        <v>46113</v>
      </c>
      <c r="D30" s="35" t="e">
        <f>VLOOKUP(A30,'Tech Team'!A21:AA57,28,0)</f>
        <v>#REF!</v>
      </c>
      <c r="E30" s="39">
        <v>40590710609</v>
      </c>
      <c r="F30" s="41" t="s">
        <v>177</v>
      </c>
      <c r="G30" s="42" t="s">
        <v>106</v>
      </c>
      <c r="H30" s="15"/>
    </row>
    <row r="31" spans="1:8" hidden="1" x14ac:dyDescent="0.35">
      <c r="A31" s="14" t="s">
        <v>175</v>
      </c>
      <c r="B31" s="9" t="s">
        <v>174</v>
      </c>
      <c r="C31" s="8">
        <v>46113</v>
      </c>
      <c r="D31" s="35" t="e">
        <f>VLOOKUP(A31,'Tech Team'!A36:AA73,28,0)</f>
        <v>#REF!</v>
      </c>
      <c r="E31" s="34">
        <v>15550100112330</v>
      </c>
      <c r="F31" s="22" t="s">
        <v>225</v>
      </c>
      <c r="G31" s="17" t="s">
        <v>122</v>
      </c>
      <c r="H31" s="15"/>
    </row>
    <row r="32" spans="1:8" x14ac:dyDescent="0.35">
      <c r="A32" s="10" t="s">
        <v>144</v>
      </c>
      <c r="B32" s="11" t="s">
        <v>145</v>
      </c>
      <c r="C32" s="8">
        <v>46113</v>
      </c>
      <c r="D32" s="35" t="e">
        <f>VLOOKUP(A32,'Tech Team'!A22:AA58,28,0)</f>
        <v>#REF!</v>
      </c>
      <c r="E32" s="38">
        <v>801663119</v>
      </c>
      <c r="F32" s="41" t="s">
        <v>178</v>
      </c>
      <c r="G32" s="42" t="s">
        <v>45</v>
      </c>
      <c r="H32" s="15"/>
    </row>
    <row r="33" spans="1:8" hidden="1" x14ac:dyDescent="0.35">
      <c r="A33" s="10" t="s">
        <v>146</v>
      </c>
      <c r="B33" s="11" t="s">
        <v>147</v>
      </c>
      <c r="C33" s="8">
        <v>46113</v>
      </c>
      <c r="D33" s="35" t="e">
        <f>VLOOKUP(A33,'Tech Team'!A23:AA59,28,0)</f>
        <v>#REF!</v>
      </c>
      <c r="E33" s="38">
        <v>55560103431927</v>
      </c>
      <c r="F33" s="41" t="s">
        <v>180</v>
      </c>
      <c r="G33" s="41" t="s">
        <v>179</v>
      </c>
      <c r="H33" s="15"/>
    </row>
    <row r="34" spans="1:8" hidden="1" x14ac:dyDescent="0.35">
      <c r="A34" s="10" t="s">
        <v>148</v>
      </c>
      <c r="B34" s="11" t="s">
        <v>149</v>
      </c>
      <c r="C34" s="8">
        <v>46113</v>
      </c>
      <c r="D34" s="35" t="e">
        <f>VLOOKUP(A34,'Tech Team'!A24:AA60,28,0)</f>
        <v>#REF!</v>
      </c>
      <c r="E34" s="34">
        <v>15550100112355</v>
      </c>
      <c r="F34" s="22" t="s">
        <v>225</v>
      </c>
      <c r="G34" s="17" t="s">
        <v>122</v>
      </c>
      <c r="H34" s="15"/>
    </row>
    <row r="35" spans="1:8" hidden="1" x14ac:dyDescent="0.35">
      <c r="A35" s="10" t="s">
        <v>150</v>
      </c>
      <c r="B35" s="11" t="s">
        <v>151</v>
      </c>
      <c r="C35" s="8">
        <v>46113</v>
      </c>
      <c r="D35" s="35" t="e">
        <f>VLOOKUP(A35,'Tech Team'!A25:AA61,28,0)</f>
        <v>#REF!</v>
      </c>
      <c r="E35" s="34">
        <v>15550100112280</v>
      </c>
      <c r="F35" s="22" t="s">
        <v>225</v>
      </c>
      <c r="G35" s="17" t="s">
        <v>122</v>
      </c>
      <c r="H35" s="15"/>
    </row>
    <row r="36" spans="1:8" x14ac:dyDescent="0.35">
      <c r="A36" s="10" t="s">
        <v>152</v>
      </c>
      <c r="B36" s="11" t="s">
        <v>153</v>
      </c>
      <c r="C36" s="8">
        <v>46113</v>
      </c>
      <c r="D36" s="35" t="e">
        <f>VLOOKUP(A36,'Tech Team'!A26:AA62,28,0)</f>
        <v>#REF!</v>
      </c>
      <c r="E36" s="39">
        <v>386701504229</v>
      </c>
      <c r="F36" s="41" t="s">
        <v>182</v>
      </c>
      <c r="G36" s="42" t="s">
        <v>45</v>
      </c>
      <c r="H36" s="15"/>
    </row>
    <row r="37" spans="1:8" hidden="1" x14ac:dyDescent="0.35">
      <c r="A37" s="10" t="s">
        <v>156</v>
      </c>
      <c r="B37" s="20" t="s">
        <v>157</v>
      </c>
      <c r="C37" s="8">
        <v>46113</v>
      </c>
      <c r="D37" s="35" t="e">
        <f>VLOOKUP(A37,'Tech Team'!A27:AA64,28,0)</f>
        <v>#REF!</v>
      </c>
      <c r="E37" s="34">
        <v>15550100112306</v>
      </c>
      <c r="F37" s="22" t="s">
        <v>225</v>
      </c>
      <c r="G37" s="17" t="s">
        <v>122</v>
      </c>
      <c r="H37" s="15"/>
    </row>
    <row r="38" spans="1:8" hidden="1" x14ac:dyDescent="0.35">
      <c r="A38" s="10" t="s">
        <v>158</v>
      </c>
      <c r="B38" s="20" t="s">
        <v>159</v>
      </c>
      <c r="C38" s="8">
        <v>46113</v>
      </c>
      <c r="D38" s="35" t="e">
        <f>VLOOKUP(A38,'Tech Team'!A28:AA65,28,0)</f>
        <v>#REF!</v>
      </c>
      <c r="E38" s="34">
        <v>15550100112298</v>
      </c>
      <c r="F38" s="22" t="s">
        <v>225</v>
      </c>
      <c r="G38" s="17" t="s">
        <v>122</v>
      </c>
      <c r="H38" s="15"/>
    </row>
    <row r="39" spans="1:8" x14ac:dyDescent="0.35">
      <c r="A39" s="10" t="s">
        <v>154</v>
      </c>
      <c r="B39" s="11" t="s">
        <v>155</v>
      </c>
      <c r="C39" s="8">
        <v>46113</v>
      </c>
      <c r="D39" s="35" t="e">
        <f>VLOOKUP(A39,'Tech Team'!A27:AA63,28,0)</f>
        <v>#N/A</v>
      </c>
      <c r="E39" s="39">
        <v>44652833670</v>
      </c>
      <c r="F39" s="42" t="s">
        <v>183</v>
      </c>
      <c r="G39" s="42" t="s">
        <v>106</v>
      </c>
      <c r="H39" s="15"/>
    </row>
    <row r="40" spans="1:8" x14ac:dyDescent="0.35">
      <c r="A40" s="10" t="s">
        <v>162</v>
      </c>
      <c r="B40" s="11" t="s">
        <v>163</v>
      </c>
      <c r="C40" s="8">
        <v>46113</v>
      </c>
      <c r="D40" s="35" t="e">
        <f>VLOOKUP(A40,'Tech Team'!A30:AA67,28,0)</f>
        <v>#REF!</v>
      </c>
      <c r="E40" s="43">
        <v>37097117593</v>
      </c>
      <c r="F40" s="44" t="s">
        <v>188</v>
      </c>
      <c r="G40" s="42" t="s">
        <v>106</v>
      </c>
      <c r="H40" s="15"/>
    </row>
    <row r="41" spans="1:8" hidden="1" x14ac:dyDescent="0.35">
      <c r="A41" s="10" t="s">
        <v>164</v>
      </c>
      <c r="B41" s="11" t="s">
        <v>165</v>
      </c>
      <c r="C41" s="8">
        <v>46113</v>
      </c>
      <c r="D41" s="35" t="e">
        <f>VLOOKUP(A41,'Tech Team'!A31:AA68,28,0)</f>
        <v>#REF!</v>
      </c>
      <c r="E41" s="34">
        <v>99980130961779</v>
      </c>
      <c r="F41" s="22" t="s">
        <v>225</v>
      </c>
      <c r="G41" s="10" t="s">
        <v>122</v>
      </c>
      <c r="H41" s="15"/>
    </row>
    <row r="42" spans="1:8" x14ac:dyDescent="0.35">
      <c r="A42" s="10" t="s">
        <v>166</v>
      </c>
      <c r="B42" s="11" t="s">
        <v>167</v>
      </c>
      <c r="C42" s="8">
        <v>46113</v>
      </c>
      <c r="D42" s="35" t="e">
        <f>VLOOKUP(A42,'Tech Team'!A32:AA69,28,0)</f>
        <v>#REF!</v>
      </c>
      <c r="E42" s="38">
        <v>50100405907963</v>
      </c>
      <c r="F42" s="41" t="s">
        <v>191</v>
      </c>
      <c r="G42" s="44" t="s">
        <v>190</v>
      </c>
      <c r="H42" s="15"/>
    </row>
    <row r="43" spans="1:8" hidden="1" x14ac:dyDescent="0.35">
      <c r="A43" s="10" t="s">
        <v>168</v>
      </c>
      <c r="B43" s="11" t="s">
        <v>169</v>
      </c>
      <c r="C43" s="8">
        <v>46113</v>
      </c>
      <c r="D43" s="35" t="e">
        <f>VLOOKUP(A43,'Tech Team'!A33:AA70,28,0)</f>
        <v>#REF!</v>
      </c>
      <c r="E43" s="34">
        <v>15550100112322</v>
      </c>
      <c r="F43" s="22" t="s">
        <v>225</v>
      </c>
      <c r="G43" s="10" t="s">
        <v>122</v>
      </c>
      <c r="H43" s="15"/>
    </row>
    <row r="44" spans="1:8" hidden="1" x14ac:dyDescent="0.35">
      <c r="A44" s="10" t="s">
        <v>172</v>
      </c>
      <c r="B44" s="11" t="s">
        <v>173</v>
      </c>
      <c r="C44" s="8">
        <v>46113</v>
      </c>
      <c r="D44" s="35" t="e">
        <f>VLOOKUP(A44,'Tech Team'!A35:AA72,28,0)</f>
        <v>#REF!</v>
      </c>
      <c r="E44" s="34">
        <v>15550100112363</v>
      </c>
      <c r="F44" s="22" t="s">
        <v>225</v>
      </c>
      <c r="G44" s="10" t="s">
        <v>122</v>
      </c>
      <c r="H44" s="15"/>
    </row>
    <row r="45" spans="1:8" x14ac:dyDescent="0.35">
      <c r="A45" s="10" t="s">
        <v>208</v>
      </c>
      <c r="B45" s="11" t="s">
        <v>203</v>
      </c>
      <c r="C45" s="8">
        <v>46113</v>
      </c>
      <c r="D45" s="35" t="e">
        <f>VLOOKUP(A45,'Tech Team'!A36:AA73,28,0)</f>
        <v>#REF!</v>
      </c>
      <c r="E45" s="38">
        <v>38613963272</v>
      </c>
      <c r="F45" s="22" t="s">
        <v>204</v>
      </c>
      <c r="G45" s="22" t="s">
        <v>106</v>
      </c>
      <c r="H45" s="15"/>
    </row>
    <row r="46" spans="1:8" ht="29" x14ac:dyDescent="0.35">
      <c r="A46" s="10" t="s">
        <v>209</v>
      </c>
      <c r="B46" s="11" t="s">
        <v>205</v>
      </c>
      <c r="C46" s="8">
        <v>46113</v>
      </c>
      <c r="D46" s="35" t="e">
        <f>VLOOKUP(A46,'Tech Team'!A37:AA74,28,0)</f>
        <v>#REF!</v>
      </c>
      <c r="E46" s="38">
        <v>180701000002091</v>
      </c>
      <c r="F46" s="22" t="s">
        <v>206</v>
      </c>
      <c r="G46" s="22" t="s">
        <v>207</v>
      </c>
      <c r="H46" s="15"/>
    </row>
    <row r="47" spans="1:8" x14ac:dyDescent="0.35">
      <c r="A47" s="5"/>
      <c r="B47" s="5"/>
      <c r="C47" s="2"/>
      <c r="D47" s="3"/>
      <c r="E47" s="3"/>
    </row>
    <row r="48" spans="1:8" x14ac:dyDescent="0.35">
      <c r="B48" s="1" t="s">
        <v>34</v>
      </c>
      <c r="C48" s="1"/>
      <c r="D48" s="53" t="e">
        <f>SUM(D2:D47)</f>
        <v>#N/A</v>
      </c>
    </row>
  </sheetData>
  <autoFilter ref="A1:H46" xr:uid="{A391748B-F213-475C-ADDF-18924556A258}">
    <filterColumn colId="6">
      <filters>
        <filter val="BANK OF BARODA"/>
        <filter val="Canara Bank"/>
        <filter val="HDFC"/>
        <filter val="HDFC Bank"/>
        <filter val="ICICI Bank"/>
        <filter val="Indian Bank"/>
        <filter val="Indian Overseas Bank"/>
        <filter val="INDUSIND BANK"/>
        <filter val="State Bank of India"/>
      </filters>
    </filterColumn>
    <sortState xmlns:xlrd2="http://schemas.microsoft.com/office/spreadsheetml/2017/richdata2" ref="A2:H44">
      <sortCondition ref="A1"/>
    </sortState>
  </autoFilter>
  <phoneticPr fontId="7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7DD9-6648-498D-B8D2-9BA2CD242747}">
  <dimension ref="A1:I15"/>
  <sheetViews>
    <sheetView workbookViewId="0">
      <selection activeCell="M13" sqref="M13"/>
    </sheetView>
  </sheetViews>
  <sheetFormatPr defaultRowHeight="14.5" x14ac:dyDescent="0.35"/>
  <cols>
    <col min="1" max="1" width="4.81640625" customWidth="1"/>
    <col min="2" max="2" width="18.453125" customWidth="1"/>
    <col min="3" max="3" width="8.81640625" customWidth="1"/>
    <col min="4" max="4" width="17" customWidth="1"/>
    <col min="5" max="5" width="10.54296875" customWidth="1"/>
    <col min="6" max="6" width="18.90625" customWidth="1"/>
    <col min="7" max="7" width="13" customWidth="1"/>
    <col min="8" max="8" width="25" customWidth="1"/>
    <col min="9" max="9" width="12.08984375" customWidth="1"/>
  </cols>
  <sheetData>
    <row r="1" spans="1:9" x14ac:dyDescent="0.35">
      <c r="A1" s="28" t="s">
        <v>128</v>
      </c>
      <c r="B1" s="28" t="s">
        <v>129</v>
      </c>
      <c r="C1" s="28" t="s">
        <v>130</v>
      </c>
      <c r="D1" s="28" t="s">
        <v>131</v>
      </c>
      <c r="E1" s="28" t="s">
        <v>132</v>
      </c>
      <c r="F1" s="12" t="s">
        <v>29</v>
      </c>
      <c r="G1" s="12" t="s">
        <v>30</v>
      </c>
      <c r="H1" s="12" t="s">
        <v>210</v>
      </c>
      <c r="I1" s="12" t="s">
        <v>32</v>
      </c>
    </row>
    <row r="2" spans="1:9" x14ac:dyDescent="0.35">
      <c r="A2" s="15">
        <v>1</v>
      </c>
      <c r="B2" s="15" t="s">
        <v>125</v>
      </c>
      <c r="C2" s="27"/>
      <c r="D2" s="15"/>
      <c r="E2" s="40">
        <v>230000</v>
      </c>
      <c r="F2" s="35">
        <v>32862142889</v>
      </c>
      <c r="G2" s="15" t="s">
        <v>222</v>
      </c>
      <c r="H2" s="15" t="s">
        <v>221</v>
      </c>
      <c r="I2" s="15" t="s">
        <v>176</v>
      </c>
    </row>
    <row r="3" spans="1:9" x14ac:dyDescent="0.35">
      <c r="A3" s="15">
        <v>2</v>
      </c>
      <c r="B3" s="15" t="s">
        <v>133</v>
      </c>
      <c r="C3" s="27">
        <v>22</v>
      </c>
      <c r="D3" s="15">
        <v>1200</v>
      </c>
      <c r="E3" s="40">
        <f>C3*D3</f>
        <v>26400</v>
      </c>
      <c r="F3" s="45" t="s">
        <v>218</v>
      </c>
      <c r="G3" s="15" t="s">
        <v>211</v>
      </c>
      <c r="H3" s="15" t="s">
        <v>212</v>
      </c>
      <c r="I3" s="15" t="s">
        <v>45</v>
      </c>
    </row>
    <row r="4" spans="1:9" x14ac:dyDescent="0.35">
      <c r="A4" s="15">
        <v>3</v>
      </c>
      <c r="B4" s="15" t="s">
        <v>134</v>
      </c>
      <c r="C4" s="27">
        <v>22</v>
      </c>
      <c r="D4" s="15">
        <v>1200</v>
      </c>
      <c r="E4" s="40">
        <f t="shared" ref="E4:E8" si="0">C4*D4</f>
        <v>26400</v>
      </c>
      <c r="F4" s="35">
        <v>653101004326</v>
      </c>
      <c r="G4" s="15" t="s">
        <v>213</v>
      </c>
      <c r="H4" s="15" t="s">
        <v>214</v>
      </c>
      <c r="I4" s="15" t="s">
        <v>45</v>
      </c>
    </row>
    <row r="5" spans="1:9" x14ac:dyDescent="0.35">
      <c r="A5" s="15">
        <v>4</v>
      </c>
      <c r="B5" s="15" t="s">
        <v>135</v>
      </c>
      <c r="C5" s="27">
        <v>30</v>
      </c>
      <c r="D5" s="15">
        <v>1000</v>
      </c>
      <c r="E5" s="40">
        <f t="shared" si="0"/>
        <v>30000</v>
      </c>
      <c r="F5" s="35">
        <v>922020060410761</v>
      </c>
      <c r="G5" s="15" t="s">
        <v>219</v>
      </c>
      <c r="H5" s="15" t="s">
        <v>220</v>
      </c>
      <c r="I5" s="15" t="s">
        <v>200</v>
      </c>
    </row>
    <row r="6" spans="1:9" x14ac:dyDescent="0.35">
      <c r="A6" s="15">
        <v>5</v>
      </c>
      <c r="B6" s="15" t="s">
        <v>136</v>
      </c>
      <c r="C6" s="27">
        <v>30</v>
      </c>
      <c r="D6" s="15">
        <v>1000</v>
      </c>
      <c r="E6" s="40">
        <f t="shared" si="0"/>
        <v>30000</v>
      </c>
      <c r="F6" s="40">
        <v>814649188</v>
      </c>
      <c r="G6" s="15" t="s">
        <v>215</v>
      </c>
      <c r="H6" s="15" t="s">
        <v>216</v>
      </c>
      <c r="I6" s="15" t="s">
        <v>217</v>
      </c>
    </row>
    <row r="7" spans="1:9" x14ac:dyDescent="0.35">
      <c r="A7" s="15">
        <v>6</v>
      </c>
      <c r="B7" s="15" t="s">
        <v>196</v>
      </c>
      <c r="C7" s="27">
        <v>13.5</v>
      </c>
      <c r="D7" s="15">
        <v>1000</v>
      </c>
      <c r="E7" s="40">
        <f t="shared" si="0"/>
        <v>13500</v>
      </c>
      <c r="F7" s="35">
        <v>50100115451901</v>
      </c>
      <c r="G7" s="15" t="s">
        <v>226</v>
      </c>
      <c r="H7" s="15" t="s">
        <v>226</v>
      </c>
      <c r="I7" s="15" t="s">
        <v>190</v>
      </c>
    </row>
    <row r="8" spans="1:9" x14ac:dyDescent="0.35">
      <c r="A8" s="15">
        <v>7</v>
      </c>
      <c r="B8" s="15" t="s">
        <v>197</v>
      </c>
      <c r="C8" s="27">
        <v>19</v>
      </c>
      <c r="D8" s="15">
        <v>800</v>
      </c>
      <c r="E8" s="40">
        <f t="shared" si="0"/>
        <v>15200</v>
      </c>
      <c r="F8" s="40">
        <v>45080524946</v>
      </c>
      <c r="G8" s="15" t="s">
        <v>223</v>
      </c>
      <c r="H8" s="15" t="s">
        <v>224</v>
      </c>
      <c r="I8" s="15" t="s">
        <v>176</v>
      </c>
    </row>
    <row r="9" spans="1:9" ht="42.5" customHeight="1" x14ac:dyDescent="0.35">
      <c r="A9" s="15">
        <v>8</v>
      </c>
      <c r="B9" s="15" t="s">
        <v>233</v>
      </c>
      <c r="C9" s="15"/>
      <c r="D9" s="15"/>
      <c r="E9" s="40">
        <v>160000</v>
      </c>
      <c r="F9" s="35">
        <v>50200062999445</v>
      </c>
      <c r="G9" s="40" t="s">
        <v>228</v>
      </c>
      <c r="H9" s="49" t="s">
        <v>232</v>
      </c>
      <c r="I9" s="40" t="s">
        <v>190</v>
      </c>
    </row>
    <row r="10" spans="1:9" ht="29" customHeight="1" x14ac:dyDescent="0.35">
      <c r="A10" s="15">
        <v>9</v>
      </c>
      <c r="B10" s="50" t="s">
        <v>230</v>
      </c>
      <c r="C10" s="15"/>
      <c r="D10" s="15"/>
      <c r="E10" s="40">
        <v>22583.06</v>
      </c>
      <c r="F10" s="35">
        <v>50200026430541</v>
      </c>
      <c r="G10" s="40" t="s">
        <v>231</v>
      </c>
      <c r="H10" s="50" t="s">
        <v>230</v>
      </c>
      <c r="I10" s="40" t="s">
        <v>190</v>
      </c>
    </row>
    <row r="11" spans="1:9" ht="16.5" customHeight="1" x14ac:dyDescent="0.35">
      <c r="B11" s="52"/>
      <c r="E11" s="47"/>
      <c r="F11" s="36"/>
      <c r="G11" s="47"/>
      <c r="I11" s="47"/>
    </row>
    <row r="12" spans="1:9" x14ac:dyDescent="0.35">
      <c r="B12" s="1" t="s">
        <v>28</v>
      </c>
      <c r="E12" s="51">
        <f>SUM(E2:E10)</f>
        <v>554083.06000000006</v>
      </c>
    </row>
    <row r="13" spans="1:9" x14ac:dyDescent="0.35">
      <c r="G13" s="47"/>
    </row>
    <row r="15" spans="1:9" x14ac:dyDescent="0.35">
      <c r="C15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748B-F213-475C-ADDF-18924556A258}">
  <dimension ref="A1:H50"/>
  <sheetViews>
    <sheetView workbookViewId="0">
      <pane ySplit="1" topLeftCell="A23" activePane="bottomLeft" state="frozen"/>
      <selection pane="bottomLeft" activeCell="G30" sqref="G30"/>
    </sheetView>
  </sheetViews>
  <sheetFormatPr defaultRowHeight="14.5" x14ac:dyDescent="0.35"/>
  <cols>
    <col min="1" max="1" width="11.1796875" bestFit="1" customWidth="1"/>
    <col min="2" max="2" width="33" customWidth="1"/>
    <col min="3" max="3" width="9.54296875" hidden="1" customWidth="1"/>
    <col min="4" max="4" width="16.36328125" hidden="1" customWidth="1"/>
    <col min="5" max="5" width="19.81640625" bestFit="1" customWidth="1"/>
    <col min="6" max="6" width="17.54296875" bestFit="1" customWidth="1"/>
    <col min="7" max="7" width="21.6328125" bestFit="1" customWidth="1"/>
    <col min="8" max="8" width="8.08984375" bestFit="1" customWidth="1"/>
  </cols>
  <sheetData>
    <row r="1" spans="1:8" x14ac:dyDescent="0.35">
      <c r="A1" s="12" t="s">
        <v>1</v>
      </c>
      <c r="B1" s="12" t="s">
        <v>0</v>
      </c>
      <c r="C1" s="12" t="s">
        <v>21</v>
      </c>
      <c r="D1" s="12" t="s">
        <v>17</v>
      </c>
      <c r="E1" s="13" t="s">
        <v>29</v>
      </c>
      <c r="F1" s="13" t="s">
        <v>30</v>
      </c>
      <c r="G1" s="13" t="s">
        <v>32</v>
      </c>
      <c r="H1" s="13" t="s">
        <v>55</v>
      </c>
    </row>
    <row r="2" spans="1:8" x14ac:dyDescent="0.35">
      <c r="A2" s="29" t="s">
        <v>76</v>
      </c>
      <c r="B2" s="30" t="s">
        <v>77</v>
      </c>
      <c r="C2" s="31">
        <v>46083</v>
      </c>
      <c r="D2" s="32" t="e">
        <f>VLOOKUP(A2,'Tech Team'!A12:AA46,28,0)</f>
        <v>#N/A</v>
      </c>
      <c r="E2" s="32">
        <v>50100565431077</v>
      </c>
      <c r="F2" s="32" t="s">
        <v>111</v>
      </c>
      <c r="G2" s="32" t="s">
        <v>51</v>
      </c>
      <c r="H2" s="33" t="s">
        <v>202</v>
      </c>
    </row>
    <row r="3" spans="1:8" x14ac:dyDescent="0.35">
      <c r="A3" s="14" t="s">
        <v>36</v>
      </c>
      <c r="B3" s="15" t="s">
        <v>52</v>
      </c>
      <c r="C3" s="16">
        <v>46054</v>
      </c>
      <c r="D3" s="17">
        <f>VLOOKUP(A3,Consultant!A2:H5,8,0)</f>
        <v>79800</v>
      </c>
      <c r="E3" s="17">
        <v>50100677371816</v>
      </c>
      <c r="F3" s="15" t="s">
        <v>50</v>
      </c>
      <c r="G3" s="15" t="s">
        <v>51</v>
      </c>
      <c r="H3" s="15"/>
    </row>
    <row r="4" spans="1:8" x14ac:dyDescent="0.35">
      <c r="A4" s="14" t="s">
        <v>35</v>
      </c>
      <c r="B4" s="14" t="s">
        <v>38</v>
      </c>
      <c r="C4" s="16">
        <v>46054</v>
      </c>
      <c r="D4" s="17">
        <f>VLOOKUP(A4,Consultant!A3:H7,8,0)</f>
        <v>69800</v>
      </c>
      <c r="E4" s="17">
        <v>154710100018477</v>
      </c>
      <c r="F4" s="15" t="s">
        <v>42</v>
      </c>
      <c r="G4" s="15" t="s">
        <v>43</v>
      </c>
      <c r="H4" s="15"/>
    </row>
    <row r="5" spans="1:8" x14ac:dyDescent="0.35">
      <c r="A5" s="18" t="s">
        <v>27</v>
      </c>
      <c r="B5" s="18" t="s">
        <v>26</v>
      </c>
      <c r="C5" s="16">
        <v>46062</v>
      </c>
      <c r="D5" s="17" t="e">
        <f>VLOOKUP(A5,Employees!2:2,29,0)</f>
        <v>#N/A</v>
      </c>
      <c r="E5" s="17">
        <v>41280100007853</v>
      </c>
      <c r="F5" s="15" t="s">
        <v>31</v>
      </c>
      <c r="G5" s="15" t="s">
        <v>33</v>
      </c>
      <c r="H5" s="15"/>
    </row>
    <row r="6" spans="1:8" x14ac:dyDescent="0.35">
      <c r="A6" s="6" t="s">
        <v>60</v>
      </c>
      <c r="B6" s="7" t="s">
        <v>61</v>
      </c>
      <c r="C6" s="8">
        <v>46083</v>
      </c>
      <c r="D6" s="17" t="e">
        <f>VLOOKUP(A6,'Tech Team'!A4:AA38,28,0)</f>
        <v>#REF!</v>
      </c>
      <c r="E6" s="17">
        <v>62428832885</v>
      </c>
      <c r="F6" s="17" t="s">
        <v>138</v>
      </c>
      <c r="G6" s="17" t="s">
        <v>106</v>
      </c>
      <c r="H6" s="15"/>
    </row>
    <row r="7" spans="1:8" x14ac:dyDescent="0.35">
      <c r="A7" s="6" t="s">
        <v>56</v>
      </c>
      <c r="B7" s="7" t="s">
        <v>57</v>
      </c>
      <c r="C7" s="8">
        <v>46083</v>
      </c>
      <c r="D7" s="17" t="e">
        <f>VLOOKUP(A7,'Tech Team'!A2:AA36,28,0)</f>
        <v>#REF!</v>
      </c>
      <c r="E7" s="17">
        <v>3327101004003</v>
      </c>
      <c r="F7" s="17" t="s">
        <v>101</v>
      </c>
      <c r="G7" s="17" t="s">
        <v>102</v>
      </c>
      <c r="H7" s="15"/>
    </row>
    <row r="8" spans="1:8" x14ac:dyDescent="0.35">
      <c r="A8" s="6" t="s">
        <v>72</v>
      </c>
      <c r="B8" s="7" t="s">
        <v>73</v>
      </c>
      <c r="C8" s="8">
        <v>46083</v>
      </c>
      <c r="D8" s="17" t="e">
        <f>VLOOKUP(A8,'Tech Team'!A10:AA44,28,0)</f>
        <v>#REF!</v>
      </c>
      <c r="E8" s="17">
        <v>159502740717</v>
      </c>
      <c r="F8" s="17" t="s">
        <v>108</v>
      </c>
      <c r="G8" s="17" t="s">
        <v>109</v>
      </c>
      <c r="H8" s="15"/>
    </row>
    <row r="9" spans="1:8" x14ac:dyDescent="0.35">
      <c r="A9" s="6" t="s">
        <v>64</v>
      </c>
      <c r="B9" s="7" t="s">
        <v>65</v>
      </c>
      <c r="C9" s="8">
        <v>46083</v>
      </c>
      <c r="D9" s="17" t="e">
        <f>VLOOKUP(A9,'Tech Team'!A6:AA40,28,0)</f>
        <v>#REF!</v>
      </c>
      <c r="E9" s="17">
        <v>77770116800885</v>
      </c>
      <c r="F9" s="17" t="s">
        <v>104</v>
      </c>
      <c r="G9" s="17" t="s">
        <v>122</v>
      </c>
      <c r="H9" s="15"/>
    </row>
    <row r="10" spans="1:8" x14ac:dyDescent="0.35">
      <c r="A10" s="6" t="s">
        <v>70</v>
      </c>
      <c r="B10" s="7" t="s">
        <v>71</v>
      </c>
      <c r="C10" s="8">
        <v>46083</v>
      </c>
      <c r="D10" s="17" t="e">
        <f>VLOOKUP(A10,'Tech Team'!A9:AA43,28,0)</f>
        <v>#REF!</v>
      </c>
      <c r="E10" s="17">
        <v>1446178000009710</v>
      </c>
      <c r="F10" s="17" t="s">
        <v>126</v>
      </c>
      <c r="G10" s="17" t="s">
        <v>127</v>
      </c>
      <c r="H10" s="15"/>
    </row>
    <row r="11" spans="1:8" x14ac:dyDescent="0.35">
      <c r="A11" s="6" t="s">
        <v>68</v>
      </c>
      <c r="B11" s="7" t="s">
        <v>69</v>
      </c>
      <c r="C11" s="8">
        <v>46083</v>
      </c>
      <c r="D11" s="17" t="e">
        <f>VLOOKUP(A11,'Tech Team'!A8:AA42,28,0)</f>
        <v>#REF!</v>
      </c>
      <c r="E11" s="17">
        <v>62297418711</v>
      </c>
      <c r="F11" s="17" t="s">
        <v>107</v>
      </c>
      <c r="G11" s="17" t="s">
        <v>106</v>
      </c>
      <c r="H11" s="15"/>
    </row>
    <row r="12" spans="1:8" x14ac:dyDescent="0.35">
      <c r="A12" s="6" t="s">
        <v>66</v>
      </c>
      <c r="B12" s="7" t="s">
        <v>67</v>
      </c>
      <c r="C12" s="8">
        <v>46083</v>
      </c>
      <c r="D12" s="17" t="e">
        <f>VLOOKUP(A12,'Tech Team'!A7:AA41,28,0)</f>
        <v>#REF!</v>
      </c>
      <c r="E12" s="17">
        <v>41085488775</v>
      </c>
      <c r="F12" s="17" t="s">
        <v>105</v>
      </c>
      <c r="G12" s="17" t="s">
        <v>106</v>
      </c>
      <c r="H12" s="15"/>
    </row>
    <row r="13" spans="1:8" x14ac:dyDescent="0.35">
      <c r="A13" s="6" t="s">
        <v>58</v>
      </c>
      <c r="B13" s="7" t="s">
        <v>59</v>
      </c>
      <c r="C13" s="8">
        <v>46083</v>
      </c>
      <c r="D13" s="17" t="e">
        <f>VLOOKUP(A13,'Tech Team'!A3:AA37,28,0)</f>
        <v>#REF!</v>
      </c>
      <c r="E13" s="17">
        <v>50100595290241</v>
      </c>
      <c r="F13" s="17" t="s">
        <v>103</v>
      </c>
      <c r="G13" s="17" t="s">
        <v>51</v>
      </c>
      <c r="H13" s="15"/>
    </row>
    <row r="14" spans="1:8" x14ac:dyDescent="0.35">
      <c r="A14" s="6" t="s">
        <v>62</v>
      </c>
      <c r="B14" s="7" t="s">
        <v>63</v>
      </c>
      <c r="C14" s="8">
        <v>46083</v>
      </c>
      <c r="D14" s="17" t="e">
        <f>VLOOKUP(A14,'Tech Team'!A5:AA39,28,0)</f>
        <v>#REF!</v>
      </c>
      <c r="E14" s="17">
        <v>62442668281</v>
      </c>
      <c r="F14" s="17" t="s">
        <v>139</v>
      </c>
      <c r="G14" s="17" t="s">
        <v>106</v>
      </c>
      <c r="H14" s="15"/>
    </row>
    <row r="15" spans="1:8" x14ac:dyDescent="0.35">
      <c r="A15" s="14" t="s">
        <v>46</v>
      </c>
      <c r="B15" s="14" t="s">
        <v>47</v>
      </c>
      <c r="C15" s="16">
        <v>46066</v>
      </c>
      <c r="D15" s="17" t="e">
        <f>VLOOKUP(A15,Consultant!A4:H8,8,0)</f>
        <v>#N/A</v>
      </c>
      <c r="E15" s="19" t="s">
        <v>48</v>
      </c>
      <c r="F15" s="15" t="s">
        <v>49</v>
      </c>
      <c r="G15" s="15" t="s">
        <v>45</v>
      </c>
      <c r="H15" s="15"/>
    </row>
    <row r="16" spans="1:8" x14ac:dyDescent="0.35">
      <c r="A16" s="6" t="s">
        <v>74</v>
      </c>
      <c r="B16" s="7" t="s">
        <v>75</v>
      </c>
      <c r="C16" s="8">
        <v>46083</v>
      </c>
      <c r="D16" s="17" t="e">
        <f>VLOOKUP(A16,'Tech Team'!A11:AA45,28,0)</f>
        <v>#REF!</v>
      </c>
      <c r="E16" s="17">
        <v>39569845546</v>
      </c>
      <c r="F16" s="17" t="s">
        <v>110</v>
      </c>
      <c r="G16" s="17" t="s">
        <v>106</v>
      </c>
      <c r="H16" s="15"/>
    </row>
    <row r="17" spans="1:8" x14ac:dyDescent="0.35">
      <c r="A17" s="6" t="s">
        <v>78</v>
      </c>
      <c r="B17" s="7" t="s">
        <v>79</v>
      </c>
      <c r="C17" s="8">
        <v>46083</v>
      </c>
      <c r="D17" s="17" t="e">
        <f>VLOOKUP(A17,'Tech Team'!A12:AA47,28,0)</f>
        <v>#REF!</v>
      </c>
      <c r="E17" s="17">
        <v>41202390653</v>
      </c>
      <c r="F17" s="17" t="s">
        <v>112</v>
      </c>
      <c r="G17" s="17" t="s">
        <v>106</v>
      </c>
      <c r="H17" s="15"/>
    </row>
    <row r="18" spans="1:8" x14ac:dyDescent="0.35">
      <c r="A18" s="14" t="s">
        <v>37</v>
      </c>
      <c r="B18" s="14" t="s">
        <v>39</v>
      </c>
      <c r="C18" s="16">
        <v>46072</v>
      </c>
      <c r="D18" s="17">
        <f>VLOOKUP(A18,Consultant!A4:H9,8,0)</f>
        <v>79800</v>
      </c>
      <c r="E18" s="17">
        <v>770301501355</v>
      </c>
      <c r="F18" s="15" t="s">
        <v>44</v>
      </c>
      <c r="G18" s="15" t="s">
        <v>45</v>
      </c>
      <c r="H18" s="15"/>
    </row>
    <row r="19" spans="1:8" x14ac:dyDescent="0.35">
      <c r="A19" s="10" t="s">
        <v>170</v>
      </c>
      <c r="B19" s="11" t="s">
        <v>171</v>
      </c>
      <c r="C19" s="8">
        <v>46113</v>
      </c>
      <c r="D19" s="17" t="e">
        <f>VLOOKUP(A19,'Tech Team'!A34:AA71,28,0)</f>
        <v>#REF!</v>
      </c>
      <c r="E19" s="23">
        <v>44610100006654</v>
      </c>
      <c r="F19" s="22" t="s">
        <v>193</v>
      </c>
      <c r="G19" s="10" t="s">
        <v>192</v>
      </c>
      <c r="H19" s="15"/>
    </row>
    <row r="20" spans="1:8" x14ac:dyDescent="0.35">
      <c r="A20" s="6" t="s">
        <v>80</v>
      </c>
      <c r="B20" s="7" t="s">
        <v>81</v>
      </c>
      <c r="C20" s="8">
        <v>46083</v>
      </c>
      <c r="D20" s="17" t="e">
        <f>VLOOKUP(A20,'Tech Team'!A13:AA48,28,0)</f>
        <v>#REF!</v>
      </c>
      <c r="E20" s="17">
        <v>615728726</v>
      </c>
      <c r="F20" s="17" t="s">
        <v>113</v>
      </c>
      <c r="G20" s="17" t="s">
        <v>114</v>
      </c>
      <c r="H20" s="15"/>
    </row>
    <row r="21" spans="1:8" x14ac:dyDescent="0.35">
      <c r="A21" s="6" t="s">
        <v>82</v>
      </c>
      <c r="B21" s="7" t="s">
        <v>83</v>
      </c>
      <c r="C21" s="8">
        <v>46083</v>
      </c>
      <c r="D21" s="17" t="e">
        <f>VLOOKUP(A21,'Tech Team'!A14:AA49,28,0)</f>
        <v>#REF!</v>
      </c>
      <c r="E21" s="17">
        <v>9147600708</v>
      </c>
      <c r="F21" s="17" t="s">
        <v>115</v>
      </c>
      <c r="G21" s="17" t="s">
        <v>116</v>
      </c>
      <c r="H21" s="15"/>
    </row>
    <row r="22" spans="1:8" x14ac:dyDescent="0.35">
      <c r="A22" s="6" t="s">
        <v>84</v>
      </c>
      <c r="B22" s="7" t="s">
        <v>85</v>
      </c>
      <c r="C22" s="8">
        <v>46083</v>
      </c>
      <c r="D22" s="17" t="e">
        <f>VLOOKUP(A22,'Tech Team'!A15:AA50,28,0)</f>
        <v>#REF!</v>
      </c>
      <c r="E22" s="17">
        <v>7445588605</v>
      </c>
      <c r="F22" s="17" t="s">
        <v>117</v>
      </c>
      <c r="G22" s="17" t="s">
        <v>116</v>
      </c>
      <c r="H22" s="15"/>
    </row>
    <row r="23" spans="1:8" x14ac:dyDescent="0.35">
      <c r="A23" s="6" t="s">
        <v>86</v>
      </c>
      <c r="B23" s="7" t="s">
        <v>87</v>
      </c>
      <c r="C23" s="8">
        <v>46083</v>
      </c>
      <c r="D23" s="17" t="e">
        <f>VLOOKUP(A23,'Tech Team'!A16:AA51,28,0)</f>
        <v>#REF!</v>
      </c>
      <c r="E23" s="17">
        <v>4495101004331</v>
      </c>
      <c r="F23" s="17" t="s">
        <v>118</v>
      </c>
      <c r="G23" s="17" t="s">
        <v>102</v>
      </c>
      <c r="H23" s="15"/>
    </row>
    <row r="24" spans="1:8" x14ac:dyDescent="0.35">
      <c r="A24" s="10" t="s">
        <v>160</v>
      </c>
      <c r="B24" s="11" t="s">
        <v>161</v>
      </c>
      <c r="C24" s="8">
        <v>46113</v>
      </c>
      <c r="D24" s="17" t="e">
        <f>VLOOKUP(A24,'Tech Team'!A29:AA66,28,0)</f>
        <v>#REF!</v>
      </c>
      <c r="E24" s="24">
        <v>20086309269</v>
      </c>
      <c r="F24" s="22" t="s">
        <v>187</v>
      </c>
      <c r="G24" s="10" t="s">
        <v>106</v>
      </c>
      <c r="H24" s="15"/>
    </row>
    <row r="25" spans="1:8" x14ac:dyDescent="0.35">
      <c r="A25" s="6" t="s">
        <v>88</v>
      </c>
      <c r="B25" s="6" t="s">
        <v>89</v>
      </c>
      <c r="C25" s="8">
        <v>46083</v>
      </c>
      <c r="D25" s="17" t="e">
        <f>VLOOKUP(A25,'Tech Team'!A17:AA52,28,0)</f>
        <v>#REF!</v>
      </c>
      <c r="E25" s="17">
        <v>37182972098</v>
      </c>
      <c r="F25" s="17" t="s">
        <v>137</v>
      </c>
      <c r="G25" s="17" t="s">
        <v>106</v>
      </c>
      <c r="H25" s="15"/>
    </row>
    <row r="26" spans="1:8" x14ac:dyDescent="0.35">
      <c r="A26" s="6" t="s">
        <v>90</v>
      </c>
      <c r="B26" s="6" t="s">
        <v>91</v>
      </c>
      <c r="C26" s="8">
        <v>46083</v>
      </c>
      <c r="D26" s="17" t="e">
        <f>VLOOKUP(A26,'Tech Team'!A18:AA53,28,0)</f>
        <v>#N/A</v>
      </c>
      <c r="E26" s="17">
        <v>39971511897</v>
      </c>
      <c r="F26" s="17" t="s">
        <v>119</v>
      </c>
      <c r="G26" s="17" t="s">
        <v>106</v>
      </c>
      <c r="H26" s="15"/>
    </row>
    <row r="27" spans="1:8" x14ac:dyDescent="0.35">
      <c r="A27" s="6" t="s">
        <v>92</v>
      </c>
      <c r="B27" s="6" t="s">
        <v>93</v>
      </c>
      <c r="C27" s="8">
        <v>46083</v>
      </c>
      <c r="D27" s="17" t="e">
        <f>VLOOKUP(A27,'Tech Team'!A18:AA54,28,0)</f>
        <v>#REF!</v>
      </c>
      <c r="E27" s="17">
        <v>41536691505</v>
      </c>
      <c r="F27" s="17" t="s">
        <v>120</v>
      </c>
      <c r="G27" s="17" t="s">
        <v>106</v>
      </c>
      <c r="H27" s="15"/>
    </row>
    <row r="28" spans="1:8" x14ac:dyDescent="0.35">
      <c r="A28" s="6" t="s">
        <v>94</v>
      </c>
      <c r="B28" s="6" t="s">
        <v>95</v>
      </c>
      <c r="C28" s="8">
        <v>46083</v>
      </c>
      <c r="D28" s="17" t="e">
        <f>VLOOKUP(A28,'Tech Team'!A19:AA55,28,0)</f>
        <v>#REF!</v>
      </c>
      <c r="E28" s="17">
        <v>50100141200194</v>
      </c>
      <c r="F28" s="17" t="s">
        <v>121</v>
      </c>
      <c r="G28" s="17" t="s">
        <v>51</v>
      </c>
      <c r="H28" s="15"/>
    </row>
    <row r="29" spans="1:8" x14ac:dyDescent="0.35">
      <c r="A29" s="18" t="s">
        <v>96</v>
      </c>
      <c r="B29" s="18" t="s">
        <v>97</v>
      </c>
      <c r="C29" s="16">
        <v>46086</v>
      </c>
      <c r="D29" s="17">
        <f>VLOOKUP(A29,Employees!2:3,29,0)</f>
        <v>0</v>
      </c>
      <c r="E29" s="25" t="s">
        <v>198</v>
      </c>
      <c r="F29" s="26" t="s">
        <v>195</v>
      </c>
      <c r="G29" s="14" t="s">
        <v>51</v>
      </c>
      <c r="H29" s="15"/>
    </row>
    <row r="30" spans="1:8" x14ac:dyDescent="0.35">
      <c r="A30" s="10" t="s">
        <v>98</v>
      </c>
      <c r="B30" s="11" t="s">
        <v>99</v>
      </c>
      <c r="C30" s="16">
        <v>46092</v>
      </c>
      <c r="D30" s="17">
        <f>VLOOKUP(A30,Consultant!A5:H10,8,0)</f>
        <v>19800</v>
      </c>
      <c r="E30" s="17">
        <v>50100743220366</v>
      </c>
      <c r="F30" s="17" t="s">
        <v>124</v>
      </c>
      <c r="G30" s="17" t="s">
        <v>51</v>
      </c>
      <c r="H30" s="15"/>
    </row>
    <row r="31" spans="1:8" x14ac:dyDescent="0.35">
      <c r="A31" s="10" t="s">
        <v>140</v>
      </c>
      <c r="B31" s="11" t="s">
        <v>141</v>
      </c>
      <c r="C31" s="8">
        <v>46113</v>
      </c>
      <c r="D31" s="17" t="e">
        <f>VLOOKUP(A31,'Tech Team'!A20:AA56,28,0)</f>
        <v>#REF!</v>
      </c>
      <c r="E31" s="17">
        <v>920010070801185</v>
      </c>
      <c r="F31" s="15" t="s">
        <v>199</v>
      </c>
      <c r="G31" s="10" t="s">
        <v>200</v>
      </c>
      <c r="H31" s="15"/>
    </row>
    <row r="32" spans="1:8" x14ac:dyDescent="0.35">
      <c r="A32" s="10" t="s">
        <v>142</v>
      </c>
      <c r="B32" s="11" t="s">
        <v>143</v>
      </c>
      <c r="C32" s="8">
        <v>46113</v>
      </c>
      <c r="D32" s="17" t="e">
        <f>VLOOKUP(A32,'Tech Team'!A21:AA57,28,0)</f>
        <v>#REF!</v>
      </c>
      <c r="E32" s="21">
        <v>40590710609</v>
      </c>
      <c r="F32" s="22" t="s">
        <v>177</v>
      </c>
      <c r="G32" s="22" t="s">
        <v>176</v>
      </c>
      <c r="H32" s="15"/>
    </row>
    <row r="33" spans="1:8" x14ac:dyDescent="0.35">
      <c r="A33" s="14" t="s">
        <v>175</v>
      </c>
      <c r="B33" s="9" t="s">
        <v>174</v>
      </c>
      <c r="C33" s="8">
        <v>46113</v>
      </c>
      <c r="D33" s="17" t="e">
        <f>VLOOKUP(A33,'Tech Team'!A36:AA73,28,0)</f>
        <v>#REF!</v>
      </c>
      <c r="E33" s="23">
        <v>111101513423</v>
      </c>
      <c r="F33" s="10" t="s">
        <v>201</v>
      </c>
      <c r="G33" s="17" t="s">
        <v>45</v>
      </c>
      <c r="H33" s="15"/>
    </row>
    <row r="34" spans="1:8" x14ac:dyDescent="0.35">
      <c r="A34" s="10" t="s">
        <v>144</v>
      </c>
      <c r="B34" s="11" t="s">
        <v>145</v>
      </c>
      <c r="C34" s="8">
        <v>46113</v>
      </c>
      <c r="D34" s="17" t="e">
        <f>VLOOKUP(A34,'Tech Team'!A22:AA58,28,0)</f>
        <v>#REF!</v>
      </c>
      <c r="E34" s="23">
        <v>801663119</v>
      </c>
      <c r="F34" s="22" t="s">
        <v>178</v>
      </c>
      <c r="G34" s="10" t="s">
        <v>45</v>
      </c>
      <c r="H34" s="15"/>
    </row>
    <row r="35" spans="1:8" x14ac:dyDescent="0.35">
      <c r="A35" s="10" t="s">
        <v>146</v>
      </c>
      <c r="B35" s="11" t="s">
        <v>147</v>
      </c>
      <c r="C35" s="8">
        <v>46113</v>
      </c>
      <c r="D35" s="17" t="e">
        <f>VLOOKUP(A35,'Tech Team'!A23:AA59,28,0)</f>
        <v>#REF!</v>
      </c>
      <c r="E35" s="23">
        <v>55560103431927</v>
      </c>
      <c r="F35" s="22" t="s">
        <v>180</v>
      </c>
      <c r="G35" s="22" t="s">
        <v>179</v>
      </c>
      <c r="H35" s="15"/>
    </row>
    <row r="36" spans="1:8" x14ac:dyDescent="0.35">
      <c r="A36" s="10" t="s">
        <v>148</v>
      </c>
      <c r="B36" s="11" t="s">
        <v>149</v>
      </c>
      <c r="C36" s="8">
        <v>46113</v>
      </c>
      <c r="D36" s="17" t="e">
        <f>VLOOKUP(A36,'Tech Team'!A24:AA60,28,0)</f>
        <v>#REF!</v>
      </c>
      <c r="E36" s="21">
        <v>55560103536675</v>
      </c>
      <c r="F36" s="10" t="s">
        <v>194</v>
      </c>
      <c r="G36" s="22" t="s">
        <v>179</v>
      </c>
      <c r="H36" s="15"/>
    </row>
    <row r="37" spans="1:8" x14ac:dyDescent="0.35">
      <c r="A37" s="10" t="s">
        <v>150</v>
      </c>
      <c r="B37" s="11" t="s">
        <v>151</v>
      </c>
      <c r="C37" s="8">
        <v>46113</v>
      </c>
      <c r="D37" s="17" t="e">
        <f>VLOOKUP(A37,'Tech Team'!A25:AA61,28,0)</f>
        <v>#REF!</v>
      </c>
      <c r="E37" s="21">
        <v>110240929810</v>
      </c>
      <c r="F37" s="22" t="s">
        <v>181</v>
      </c>
      <c r="G37" s="10" t="s">
        <v>102</v>
      </c>
      <c r="H37" s="15"/>
    </row>
    <row r="38" spans="1:8" x14ac:dyDescent="0.35">
      <c r="A38" s="10" t="s">
        <v>152</v>
      </c>
      <c r="B38" s="11" t="s">
        <v>153</v>
      </c>
      <c r="C38" s="8">
        <v>46113</v>
      </c>
      <c r="D38" s="17" t="e">
        <f>VLOOKUP(A38,'Tech Team'!A26:AA62,28,0)</f>
        <v>#REF!</v>
      </c>
      <c r="E38" s="21">
        <v>386701504229</v>
      </c>
      <c r="F38" s="22" t="s">
        <v>182</v>
      </c>
      <c r="G38" s="10" t="s">
        <v>45</v>
      </c>
      <c r="H38" s="15"/>
    </row>
    <row r="39" spans="1:8" x14ac:dyDescent="0.35">
      <c r="A39" s="10" t="s">
        <v>156</v>
      </c>
      <c r="B39" s="20" t="s">
        <v>157</v>
      </c>
      <c r="C39" s="8">
        <v>46113</v>
      </c>
      <c r="D39" s="17" t="e">
        <f>VLOOKUP(A39,'Tech Team'!A27:AA64,28,0)</f>
        <v>#REF!</v>
      </c>
      <c r="E39" s="23">
        <v>520101254028703</v>
      </c>
      <c r="F39" s="22" t="s">
        <v>185</v>
      </c>
      <c r="G39" s="10" t="s">
        <v>184</v>
      </c>
      <c r="H39" s="15"/>
    </row>
    <row r="40" spans="1:8" x14ac:dyDescent="0.35">
      <c r="A40" s="10" t="s">
        <v>158</v>
      </c>
      <c r="B40" s="20" t="s">
        <v>159</v>
      </c>
      <c r="C40" s="8">
        <v>46113</v>
      </c>
      <c r="D40" s="17" t="e">
        <f>VLOOKUP(A40,'Tech Team'!A28:AA65,28,0)</f>
        <v>#REF!</v>
      </c>
      <c r="E40" s="23">
        <v>263812010000686</v>
      </c>
      <c r="F40" s="22" t="s">
        <v>185</v>
      </c>
      <c r="G40" s="22" t="s">
        <v>186</v>
      </c>
      <c r="H40" s="15"/>
    </row>
    <row r="41" spans="1:8" x14ac:dyDescent="0.35">
      <c r="A41" s="10" t="s">
        <v>154</v>
      </c>
      <c r="B41" s="11" t="s">
        <v>155</v>
      </c>
      <c r="C41" s="8">
        <v>46113</v>
      </c>
      <c r="D41" s="17" t="e">
        <f>VLOOKUP(A41,'Tech Team'!A27:AA63,28,0)</f>
        <v>#N/A</v>
      </c>
      <c r="E41" s="21">
        <v>44652833670</v>
      </c>
      <c r="F41" s="10" t="s">
        <v>183</v>
      </c>
      <c r="G41" s="10" t="s">
        <v>106</v>
      </c>
      <c r="H41" s="15"/>
    </row>
    <row r="42" spans="1:8" x14ac:dyDescent="0.35">
      <c r="A42" s="10" t="s">
        <v>162</v>
      </c>
      <c r="B42" s="11" t="s">
        <v>163</v>
      </c>
      <c r="C42" s="8">
        <v>46113</v>
      </c>
      <c r="D42" s="17" t="e">
        <f>VLOOKUP(A42,'Tech Team'!A30:AA67,28,0)</f>
        <v>#REF!</v>
      </c>
      <c r="E42" s="24">
        <v>37097117593</v>
      </c>
      <c r="F42" s="11" t="s">
        <v>188</v>
      </c>
      <c r="G42" s="10" t="s">
        <v>106</v>
      </c>
      <c r="H42" s="15"/>
    </row>
    <row r="43" spans="1:8" x14ac:dyDescent="0.35">
      <c r="A43" s="10" t="s">
        <v>164</v>
      </c>
      <c r="B43" s="11" t="s">
        <v>165</v>
      </c>
      <c r="C43" s="8">
        <v>46113</v>
      </c>
      <c r="D43" s="17" t="e">
        <f>VLOOKUP(A43,'Tech Team'!A31:AA68,28,0)</f>
        <v>#REF!</v>
      </c>
      <c r="E43" s="24">
        <v>62478238609</v>
      </c>
      <c r="F43" s="11" t="s">
        <v>189</v>
      </c>
      <c r="G43" s="10" t="s">
        <v>106</v>
      </c>
      <c r="H43" s="15"/>
    </row>
    <row r="44" spans="1:8" x14ac:dyDescent="0.35">
      <c r="A44" s="10" t="s">
        <v>166</v>
      </c>
      <c r="B44" s="11" t="s">
        <v>167</v>
      </c>
      <c r="C44" s="8">
        <v>46113</v>
      </c>
      <c r="D44" s="17" t="e">
        <f>VLOOKUP(A44,'Tech Team'!A32:AA69,28,0)</f>
        <v>#REF!</v>
      </c>
      <c r="E44" s="23">
        <v>50100405907963</v>
      </c>
      <c r="F44" s="22" t="s">
        <v>191</v>
      </c>
      <c r="G44" s="11" t="s">
        <v>190</v>
      </c>
      <c r="H44" s="15"/>
    </row>
    <row r="45" spans="1:8" x14ac:dyDescent="0.35">
      <c r="A45" s="10" t="s">
        <v>168</v>
      </c>
      <c r="B45" s="11" t="s">
        <v>169</v>
      </c>
      <c r="C45" s="8">
        <v>46113</v>
      </c>
      <c r="D45" s="17" t="e">
        <f>VLOOKUP(A45,'Tech Team'!A33:AA70,28,0)</f>
        <v>#REF!</v>
      </c>
      <c r="E45" s="23">
        <v>55560103507254</v>
      </c>
      <c r="F45" s="22" t="s">
        <v>180</v>
      </c>
      <c r="G45" s="22" t="s">
        <v>179</v>
      </c>
      <c r="H45" s="15"/>
    </row>
    <row r="46" spans="1:8" x14ac:dyDescent="0.35">
      <c r="A46" s="10" t="s">
        <v>172</v>
      </c>
      <c r="B46" s="11" t="s">
        <v>173</v>
      </c>
      <c r="C46" s="8">
        <v>46113</v>
      </c>
      <c r="D46" s="17" t="e">
        <f>VLOOKUP(A46,'Tech Team'!A35:AA72,28,0)</f>
        <v>#REF!</v>
      </c>
      <c r="E46" s="23">
        <v>55560103427925</v>
      </c>
      <c r="F46" s="22" t="s">
        <v>180</v>
      </c>
      <c r="G46" s="22" t="s">
        <v>122</v>
      </c>
      <c r="H46" s="15"/>
    </row>
    <row r="47" spans="1:8" x14ac:dyDescent="0.35">
      <c r="A47" s="10" t="s">
        <v>208</v>
      </c>
      <c r="B47" s="11" t="s">
        <v>203</v>
      </c>
      <c r="C47" s="8">
        <v>46113</v>
      </c>
      <c r="D47" s="17" t="e">
        <f>VLOOKUP(A47,'Tech Team'!A36:AA73,28,0)</f>
        <v>#REF!</v>
      </c>
      <c r="E47" s="23">
        <v>38613963272</v>
      </c>
      <c r="F47" s="22" t="s">
        <v>204</v>
      </c>
      <c r="G47" s="22" t="s">
        <v>106</v>
      </c>
      <c r="H47" s="15"/>
    </row>
    <row r="48" spans="1:8" x14ac:dyDescent="0.35">
      <c r="A48" s="10" t="s">
        <v>209</v>
      </c>
      <c r="B48" s="11" t="s">
        <v>205</v>
      </c>
      <c r="C48" s="8">
        <v>46113</v>
      </c>
      <c r="D48" s="17" t="e">
        <f>VLOOKUP(A48,'Tech Team'!A37:AA74,28,0)</f>
        <v>#REF!</v>
      </c>
      <c r="E48" s="23">
        <v>180701000002091</v>
      </c>
      <c r="F48" s="22" t="s">
        <v>206</v>
      </c>
      <c r="G48" s="22" t="s">
        <v>207</v>
      </c>
      <c r="H48" s="15"/>
    </row>
    <row r="49" spans="1:5" x14ac:dyDescent="0.35">
      <c r="A49" s="5"/>
      <c r="B49" s="5"/>
      <c r="C49" s="2"/>
      <c r="D49" s="3"/>
      <c r="E49" s="3"/>
    </row>
    <row r="50" spans="1:5" x14ac:dyDescent="0.35">
      <c r="B50" s="1" t="s">
        <v>34</v>
      </c>
      <c r="C50" s="1"/>
      <c r="D50" s="4" t="e">
        <f>SUM(D3:D49)</f>
        <v>#N/A</v>
      </c>
    </row>
  </sheetData>
  <autoFilter ref="A1:H1" xr:uid="{A391748B-F213-475C-ADDF-18924556A258}">
    <sortState xmlns:xlrd2="http://schemas.microsoft.com/office/spreadsheetml/2017/richdata2" ref="A2:H46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Employees</vt:lpstr>
      <vt:lpstr>Consultant</vt:lpstr>
      <vt:lpstr>Tech Team</vt:lpstr>
      <vt:lpstr>HIT</vt:lpstr>
      <vt:lpstr>LOP</vt:lpstr>
      <vt:lpstr>Trainers</vt:lpstr>
      <vt:lpstr>Salaries</vt:lpstr>
      <vt:lpstr>Rental Payment</vt:lpstr>
      <vt:lpstr>Salaries_30042026</vt:lpstr>
      <vt:lpstr>Payments_30042026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Axiora</cp:lastModifiedBy>
  <dcterms:created xsi:type="dcterms:W3CDTF">2026-02-24T06:22:30Z</dcterms:created>
  <dcterms:modified xsi:type="dcterms:W3CDTF">2026-07-27T13:00:14Z</dcterms:modified>
</cp:coreProperties>
</file>