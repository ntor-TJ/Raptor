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July\"/>
    </mc:Choice>
  </mc:AlternateContent>
  <xr:revisionPtr revIDLastSave="0" documentId="13_ncr:1_{2CFDCC88-B8D2-4E1A-B058-0AFC079806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Sheet1!$A$1:$AI$1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" i="1" l="1"/>
  <c r="AI58" i="1" l="1"/>
  <c r="AI62" i="1" l="1"/>
  <c r="AI54" i="1"/>
  <c r="AI59" i="1"/>
  <c r="AI52" i="1"/>
  <c r="AI57" i="1"/>
  <c r="AI64" i="1"/>
  <c r="AI56" i="1"/>
  <c r="AI63" i="1"/>
  <c r="AI55" i="1"/>
  <c r="AI61" i="1"/>
  <c r="AI53" i="1"/>
  <c r="AI60" i="1"/>
  <c r="H53" i="1"/>
  <c r="H54" i="1"/>
  <c r="H55" i="1"/>
  <c r="H56" i="1"/>
  <c r="H57" i="1"/>
  <c r="H58" i="1"/>
  <c r="H59" i="1"/>
  <c r="H60" i="1"/>
  <c r="H61" i="1"/>
  <c r="H62" i="1"/>
  <c r="H63" i="1"/>
  <c r="H64" i="1"/>
  <c r="H52" i="1"/>
  <c r="G53" i="1"/>
  <c r="G54" i="1"/>
  <c r="G55" i="1"/>
  <c r="G56" i="1"/>
  <c r="G57" i="1"/>
  <c r="G58" i="1"/>
  <c r="G59" i="1"/>
  <c r="G60" i="1"/>
  <c r="G61" i="1"/>
  <c r="G62" i="1"/>
  <c r="G63" i="1"/>
  <c r="G64" i="1"/>
  <c r="G52" i="1"/>
  <c r="AI10" i="1" l="1"/>
  <c r="AI19" i="1"/>
  <c r="AI51" i="1"/>
  <c r="AI3" i="1"/>
  <c r="AI4" i="1"/>
  <c r="AI5" i="1"/>
  <c r="AI6" i="1"/>
  <c r="AI7" i="1"/>
  <c r="AI8" i="1"/>
  <c r="AI9" i="1"/>
  <c r="AI11" i="1"/>
  <c r="AI12" i="1"/>
  <c r="AI13" i="1"/>
  <c r="AI14" i="1"/>
  <c r="AI15" i="1"/>
  <c r="AI16" i="1"/>
  <c r="AI17" i="1"/>
  <c r="AI18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D39" i="1" l="1"/>
  <c r="D40" i="1"/>
  <c r="D41" i="1"/>
  <c r="D42" i="1"/>
  <c r="D43" i="1"/>
  <c r="D44" i="1"/>
  <c r="D45" i="1"/>
  <c r="D46" i="1"/>
  <c r="D47" i="1"/>
  <c r="D48" i="1"/>
  <c r="D38" i="1"/>
  <c r="D19" i="1"/>
  <c r="D10" i="1"/>
</calcChain>
</file>

<file path=xl/sharedStrings.xml><?xml version="1.0" encoding="utf-8"?>
<sst xmlns="http://schemas.openxmlformats.org/spreadsheetml/2006/main" count="712" uniqueCount="289">
  <si>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</si>
  <si>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</si>
  <si>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</si>
  <si>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</si>
  <si>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</si>
  <si>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</si>
  <si>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</si>
  <si>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</si>
  <si>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</si>
  <si>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</si>
  <si>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</si>
  <si>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</si>
  <si>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</si>
  <si>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</si>
  <si>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</si>
  <si>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</si>
  <si>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</si>
  <si>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UAN No</t>
  </si>
  <si>
    <t>PF No</t>
  </si>
  <si>
    <t>HRA</t>
  </si>
  <si>
    <t>Special Al</t>
  </si>
  <si>
    <t>Other Al</t>
  </si>
  <si>
    <t>Gross Ea</t>
  </si>
  <si>
    <t>PT</t>
  </si>
  <si>
    <t>Ded</t>
  </si>
  <si>
    <t>EPF</t>
  </si>
  <si>
    <t>AGS26038</t>
  </si>
  <si>
    <t>Ainala Saiesha</t>
  </si>
  <si>
    <t>AGS26011</t>
  </si>
  <si>
    <t>Siddula Hemasai</t>
  </si>
  <si>
    <t>AGS26018</t>
  </si>
  <si>
    <t>Settybathini Sathish</t>
  </si>
  <si>
    <t>AGS26010</t>
  </si>
  <si>
    <t>Vemula Varshith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</si>
  <si>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</si>
  <si>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</si>
  <si>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</si>
  <si>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</si>
  <si>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</si>
  <si>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</si>
  <si>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</si>
  <si>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</si>
  <si>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</si>
  <si>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</si>
  <si>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</si>
  <si>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</si>
  <si>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AGS26023</t>
  </si>
  <si>
    <t>Bobbarala Varshini</t>
  </si>
  <si>
    <t>AGS26026</t>
  </si>
  <si>
    <t>Surampudi Roop Sai</t>
  </si>
  <si>
    <t>AGS26029</t>
  </si>
  <si>
    <t>Mula Sai Preetham Goud</t>
  </si>
  <si>
    <t>AGS26030</t>
  </si>
  <si>
    <t>Sruthin Kumar Basa</t>
  </si>
  <si>
    <t>AGS26034</t>
  </si>
  <si>
    <t>Sripada Shivakumar</t>
  </si>
  <si>
    <t>AGS26035</t>
  </si>
  <si>
    <t>Varakantham Surender Reddy</t>
  </si>
  <si>
    <t>Senior Business Analyst</t>
  </si>
  <si>
    <t>Software Engineer – II</t>
  </si>
  <si>
    <t>Principal Software Engineer / Lead Engineer</t>
  </si>
  <si>
    <t>Senior Software Engineer</t>
  </si>
  <si>
    <t>Software Engineer – I</t>
  </si>
  <si>
    <t>Business Analyst</t>
  </si>
  <si>
    <t>Development</t>
  </si>
  <si>
    <t>Hyderabad</t>
  </si>
  <si>
    <t>05 Mar 2026</t>
  </si>
  <si>
    <t>02 Mar 2026</t>
  </si>
  <si>
    <t>02 Apr 2026</t>
  </si>
  <si>
    <t>Abasic</t>
  </si>
  <si>
    <t>AHRA</t>
  </si>
  <si>
    <t>ASA</t>
  </si>
  <si>
    <t>Spec Allo</t>
  </si>
  <si>
    <t>AGE</t>
  </si>
  <si>
    <t>ErPF</t>
  </si>
  <si>
    <t>Grat</t>
  </si>
  <si>
    <t>Ben</t>
  </si>
  <si>
    <t>CTC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</si>
  <si>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</si>
  <si>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</si>
  <si>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</si>
  <si>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</si>
  <si>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</si>
  <si>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</si>
  <si>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</si>
  <si>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</si>
  <si>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</si>
  <si>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</si>
  <si>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</si>
  <si>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</si>
  <si>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</si>
  <si>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</si>
  <si>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</si>
  <si>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</si>
  <si>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</si>
  <si>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</si>
  <si>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</si>
  <si>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</si>
  <si>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</si>
  <si>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</si>
  <si>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</si>
  <si>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</si>
  <si>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</si>
  <si>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</si>
  <si>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</si>
  <si>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</si>
  <si>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</si>
  <si>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</si>
  <si>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</si>
  <si>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</si>
  <si>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AGS26044</t>
  </si>
  <si>
    <t>Naveen Pulikonda</t>
  </si>
  <si>
    <t>01 Apr 2026</t>
  </si>
  <si>
    <t>SBIN0011984</t>
  </si>
  <si>
    <t>ICIC0000008</t>
  </si>
  <si>
    <t>FDRL0005556</t>
  </si>
  <si>
    <t>BARB0SIDDIP</t>
  </si>
  <si>
    <t>Software Engineer</t>
  </si>
  <si>
    <t>Associate Software Engineer</t>
  </si>
  <si>
    <t>Graduate Trainee Engineer</t>
  </si>
  <si>
    <t xml:space="preserve">Software Engineer </t>
  </si>
  <si>
    <t>ICIC0001111</t>
  </si>
  <si>
    <t>AGS26028</t>
  </si>
  <si>
    <t>Mohammed Abdul Moid</t>
  </si>
  <si>
    <t>Admin Executive</t>
  </si>
  <si>
    <t>AGS26019</t>
  </si>
  <si>
    <t>AGS26032</t>
  </si>
  <si>
    <t>AGS26061</t>
  </si>
  <si>
    <t>AGS26062</t>
  </si>
  <si>
    <t>AGS26063</t>
  </si>
  <si>
    <t>AGS26065</t>
  </si>
  <si>
    <t>AGS26066</t>
  </si>
  <si>
    <t>AGS26067</t>
  </si>
  <si>
    <t>AGS26068</t>
  </si>
  <si>
    <t>AGS26069</t>
  </si>
  <si>
    <t>AGS26070</t>
  </si>
  <si>
    <t>AGS26072</t>
  </si>
  <si>
    <t>AGS26073</t>
  </si>
  <si>
    <t>AGS26074</t>
  </si>
  <si>
    <t>AGS26075</t>
  </si>
  <si>
    <t>AGS26076</t>
  </si>
  <si>
    <t>Nelapatla Srinivas</t>
  </si>
  <si>
    <t>Vempadapu Uday Sai Tarun</t>
  </si>
  <si>
    <t>Indla Kiran Kumar</t>
  </si>
  <si>
    <t>K Tharun Kumar Reddy</t>
  </si>
  <si>
    <t>Bondada Jayanth</t>
  </si>
  <si>
    <t>Boddupalli Krishna Prasad</t>
  </si>
  <si>
    <t>Mohammad Sulthan</t>
  </si>
  <si>
    <t>Md Imran Khan</t>
  </si>
  <si>
    <t>Narmeta Srujanreddy</t>
  </si>
  <si>
    <t>Neetapalli Sreekanth Reddy</t>
  </si>
  <si>
    <t xml:space="preserve">Melath Ashwin </t>
  </si>
  <si>
    <t>Mohd Sameer</t>
  </si>
  <si>
    <t>Boya Indrasena Naidu</t>
  </si>
  <si>
    <t>Manikonda Nagasurya Koundinya</t>
  </si>
  <si>
    <t xml:space="preserve">KONDAPALLY AKHIL </t>
  </si>
  <si>
    <t>Shaik Arif</t>
  </si>
  <si>
    <t>FDRL0001555</t>
  </si>
  <si>
    <t>FDRL0007777</t>
  </si>
  <si>
    <t>FDRL0002352</t>
  </si>
  <si>
    <t>3327101004003</t>
  </si>
  <si>
    <t>CNRB0003327</t>
  </si>
  <si>
    <t>50100141200194</t>
  </si>
  <si>
    <t>HDFC0004480</t>
  </si>
  <si>
    <t>40590710609</t>
  </si>
  <si>
    <t>000801663119</t>
  </si>
  <si>
    <t>44610100006654</t>
  </si>
  <si>
    <t>62412658053</t>
  </si>
  <si>
    <t>SBIN0020947</t>
  </si>
  <si>
    <t>40592463089</t>
  </si>
  <si>
    <t>SBIN0020248</t>
  </si>
  <si>
    <t>1814100100000327</t>
  </si>
  <si>
    <t>PUNB0181410</t>
  </si>
  <si>
    <t>55560103591175</t>
  </si>
  <si>
    <t>FDRL 0005556</t>
  </si>
  <si>
    <t>225210100082348</t>
  </si>
  <si>
    <t>55560103492226</t>
  </si>
  <si>
    <t>SBIN0010328</t>
  </si>
  <si>
    <t>Principal Software Engineer
 /Lead Engineer</t>
  </si>
  <si>
    <t>IOBA0001807</t>
  </si>
  <si>
    <t xml:space="preserve">   -   </t>
  </si>
  <si>
    <t>04 May 2026</t>
  </si>
  <si>
    <t>06 May 2026</t>
  </si>
  <si>
    <t>IDIB000P121</t>
  </si>
  <si>
    <t>SBIN0008054</t>
  </si>
  <si>
    <t>SBIN0008833</t>
  </si>
  <si>
    <t>AGS26077</t>
  </si>
  <si>
    <t>Batta Jyotsna</t>
  </si>
  <si>
    <t>AGS26078</t>
  </si>
  <si>
    <t>Kankanala Sravani</t>
  </si>
  <si>
    <t>AGS26079</t>
  </si>
  <si>
    <t>Vadicharla Sandeep Kumar</t>
  </si>
  <si>
    <t>AGS26080</t>
  </si>
  <si>
    <t>Thota Varsha</t>
  </si>
  <si>
    <t>AGS26081</t>
  </si>
  <si>
    <t>Shaik Faiza</t>
  </si>
  <si>
    <t>AGS26082</t>
  </si>
  <si>
    <t>Shaik Shaheen</t>
  </si>
  <si>
    <t>AGS26083</t>
  </si>
  <si>
    <t>Guduru Subhanbee</t>
  </si>
  <si>
    <t>AGS26084</t>
  </si>
  <si>
    <t>Yapakayala Sampath</t>
  </si>
  <si>
    <t>AGS26085</t>
  </si>
  <si>
    <t>Shaik Akram</t>
  </si>
  <si>
    <t>AGS26086</t>
  </si>
  <si>
    <t>Mesu Lion Kumar</t>
  </si>
  <si>
    <t>AGS26087</t>
  </si>
  <si>
    <t>Bashaboina Srilatha</t>
  </si>
  <si>
    <t>AGS26089</t>
  </si>
  <si>
    <t>Pothuraju Haritha</t>
  </si>
  <si>
    <t>AGS26090</t>
  </si>
  <si>
    <t>Tirupathi Anusha</t>
  </si>
  <si>
    <t>01 Jun 2026</t>
  </si>
  <si>
    <t>Senior Sales Executive</t>
  </si>
  <si>
    <t>HR - Talent Acquisition</t>
  </si>
  <si>
    <t>Sr HR - Talent Acquisition</t>
  </si>
  <si>
    <t>Sales Executive</t>
  </si>
  <si>
    <t>HR - Team Lead</t>
  </si>
  <si>
    <t>Content Creator</t>
  </si>
  <si>
    <t>Manager</t>
  </si>
  <si>
    <t>HR Recruiter – Talent Acquisition</t>
  </si>
  <si>
    <t>June 2026</t>
  </si>
  <si>
    <t>Operations</t>
  </si>
  <si>
    <t>Marketing</t>
  </si>
  <si>
    <t>UBIN0822523</t>
  </si>
  <si>
    <t>July 2026</t>
  </si>
  <si>
    <t>July 2027</t>
  </si>
  <si>
    <t>July 2028</t>
  </si>
  <si>
    <t>July 2029</t>
  </si>
  <si>
    <t>July 2030</t>
  </si>
  <si>
    <t>July 2031</t>
  </si>
  <si>
    <t>July 2032</t>
  </si>
  <si>
    <t>July 2033</t>
  </si>
  <si>
    <t>July 2034</t>
  </si>
  <si>
    <t>July 2035</t>
  </si>
  <si>
    <t>July 2036</t>
  </si>
  <si>
    <t>July 2037</t>
  </si>
  <si>
    <t>July 2038</t>
  </si>
  <si>
    <t>July 2039</t>
  </si>
  <si>
    <t>July 2040</t>
  </si>
  <si>
    <t>July 2041</t>
  </si>
  <si>
    <t>July 2042</t>
  </si>
  <si>
    <t>July 2043</t>
  </si>
  <si>
    <t>July 2044</t>
  </si>
  <si>
    <t>July 2045</t>
  </si>
  <si>
    <t>July 2046</t>
  </si>
  <si>
    <t>July 2047</t>
  </si>
  <si>
    <t>July 2048</t>
  </si>
  <si>
    <t>July 2049</t>
  </si>
  <si>
    <t>July 2050</t>
  </si>
  <si>
    <t>July 2051</t>
  </si>
  <si>
    <t>July 2052</t>
  </si>
  <si>
    <t>July 2053</t>
  </si>
  <si>
    <t>July 2054</t>
  </si>
  <si>
    <t>July 2055</t>
  </si>
  <si>
    <t>July 2056</t>
  </si>
  <si>
    <t>July 2057</t>
  </si>
  <si>
    <t>July 2058</t>
  </si>
  <si>
    <t>July 2059</t>
  </si>
  <si>
    <t>July 2060</t>
  </si>
  <si>
    <t>July 2061</t>
  </si>
  <si>
    <t>July 2062</t>
  </si>
  <si>
    <t>July 2063</t>
  </si>
  <si>
    <t>July 2064</t>
  </si>
  <si>
    <t>July 2065</t>
  </si>
  <si>
    <t>July 2066</t>
  </si>
  <si>
    <t>July 2067</t>
  </si>
  <si>
    <t>July 2068</t>
  </si>
  <si>
    <t>July 2069</t>
  </si>
  <si>
    <t>July 2070</t>
  </si>
  <si>
    <t>July 2071</t>
  </si>
  <si>
    <t>July 2072</t>
  </si>
  <si>
    <t>July 2073</t>
  </si>
  <si>
    <t>July 2074</t>
  </si>
  <si>
    <t>July 2075</t>
  </si>
  <si>
    <t>July 2076</t>
  </si>
  <si>
    <t>July 2077</t>
  </si>
  <si>
    <t>July 2078</t>
  </si>
  <si>
    <t>July 2079</t>
  </si>
  <si>
    <t>July 2080</t>
  </si>
  <si>
    <t>July 2081</t>
  </si>
  <si>
    <t>July 2082</t>
  </si>
  <si>
    <t>July 2083</t>
  </si>
  <si>
    <t>July 2084</t>
  </si>
  <si>
    <t>July 2085</t>
  </si>
  <si>
    <t>July 2086</t>
  </si>
  <si>
    <t>July 2087</t>
  </si>
  <si>
    <t>July 2088</t>
  </si>
  <si>
    <t>1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</si>
</sst>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dd\ mmm\ 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0" xfId="0" quotePrefix="1" applyNumberFormat="1" applyFont="1"/>
    <xf numFmtId="0" fontId="5" fillId="2" borderId="0" xfId="0" applyFont="1" applyFill="1" applyAlignment="1">
      <alignment horizontal="left" vertical="top"/>
    </xf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49" fontId="0" fillId="0" borderId="0" xfId="0" quotePrefix="1" applyNumberFormat="1"/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wrapText="1"/>
    </xf>
    <xf numFmtId="2" fontId="0" fillId="0" borderId="1" xfId="0" applyNumberFormat="1" applyBorder="1"/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8" fillId="0" borderId="2" xfId="0" applyFont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5B6BAECD-ED78-404B-A73A-7636375C0F6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xiora\Downloads\Employee%20Master.xlsx" TargetMode="External"/><Relationship Id="rId1" Type="http://schemas.openxmlformats.org/officeDocument/2006/relationships/externalLinkPath" Target="file:///C:\Users\Axiora\Downloads\Employee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dmin\Payroll\2026\June\June_Payroll_Data.xlsx" TargetMode="External"/><Relationship Id="rId1" Type="http://schemas.openxmlformats.org/officeDocument/2006/relationships/externalLinkPath" Target="/Admin/Payroll/2026/June/June_Payro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pt"/>
      <sheetName val="Internal Employee"/>
      <sheetName val="Tech Employee"/>
      <sheetName val="Sheet3"/>
      <sheetName val="Offer Letter"/>
      <sheetName val="Trainer"/>
      <sheetName val="Internship"/>
      <sheetName val="Left Employee"/>
    </sheetNames>
    <sheetDataSet>
      <sheetData sheetId="0"/>
      <sheetData sheetId="1"/>
      <sheetData sheetId="2">
        <row r="2">
          <cell r="B2" t="str">
            <v>AGS26011</v>
          </cell>
          <cell r="C2" t="str">
            <v>Siddula Hemasai</v>
          </cell>
          <cell r="D2" t="str">
            <v>hemasai.s@axioraglobalsolutions.com</v>
          </cell>
          <cell r="E2"/>
          <cell r="F2" t="str">
            <v>DevOps</v>
          </cell>
          <cell r="G2" t="str">
            <v>Software Engineer – II</v>
          </cell>
          <cell r="H2">
            <v>46083</v>
          </cell>
          <cell r="I2">
            <v>800000</v>
          </cell>
          <cell r="J2">
            <v>800000</v>
          </cell>
          <cell r="K2" t="str">
            <v>Yes</v>
          </cell>
          <cell r="L2" t="str">
            <v xml:space="preserve">During training 45K Salary </v>
          </cell>
          <cell r="M2" t="str">
            <v>Bsc</v>
          </cell>
          <cell r="N2">
            <v>5</v>
          </cell>
          <cell r="O2">
            <v>36300</v>
          </cell>
          <cell r="P2"/>
          <cell r="Q2">
            <v>46175</v>
          </cell>
          <cell r="R2"/>
          <cell r="S2">
            <v>8790463245</v>
          </cell>
          <cell r="T2" t="str">
            <v>Siddula Giri Babu</v>
          </cell>
          <cell r="U2" t="str">
            <v>Unmarried</v>
          </cell>
          <cell r="V2" t="str">
            <v>hemasai0563@gmail.com</v>
          </cell>
          <cell r="W2" t="str">
            <v>AB-ve</v>
          </cell>
          <cell r="X2" t="str">
            <v>M</v>
          </cell>
          <cell r="Y2" t="str">
            <v>Hno 1-36/1/10/H Plot no 87, vidya nagar colony , Chandanagar,Hyderabad 500050.</v>
          </cell>
          <cell r="Z2" t="str">
            <v>Telangana</v>
          </cell>
          <cell r="AA2"/>
          <cell r="AB2"/>
          <cell r="AC2"/>
          <cell r="AD2"/>
          <cell r="AE2"/>
          <cell r="AF2" t="str">
            <v>Canara Bank</v>
          </cell>
          <cell r="AG2" t="str">
            <v>3327101004003</v>
          </cell>
          <cell r="AH2" t="str">
            <v>CNRB0003327</v>
          </cell>
          <cell r="AI2"/>
          <cell r="AJ2"/>
          <cell r="AK2" t="str">
            <v>JOXPS1498A</v>
          </cell>
          <cell r="AL2" t="str">
            <v>2346 8352 6394</v>
          </cell>
          <cell r="AM2">
            <v>101825984981</v>
          </cell>
        </row>
        <row r="3">
          <cell r="B3" t="str">
            <v>AGS26018</v>
          </cell>
          <cell r="C3" t="str">
            <v>Settybathini Sathish</v>
          </cell>
          <cell r="D3" t="str">
            <v>sathish.s@axioraglobalsolutions.com</v>
          </cell>
          <cell r="E3"/>
          <cell r="F3" t="str">
            <v>Data Analytics</v>
          </cell>
          <cell r="G3" t="str">
            <v>Software Engineer – II</v>
          </cell>
          <cell r="H3">
            <v>46083</v>
          </cell>
          <cell r="I3">
            <v>800000</v>
          </cell>
          <cell r="J3">
            <v>800000</v>
          </cell>
          <cell r="K3" t="str">
            <v>Yes</v>
          </cell>
          <cell r="L3" t="str">
            <v xml:space="preserve">During training 45K Salary </v>
          </cell>
          <cell r="M3" t="str">
            <v>Btech ECE</v>
          </cell>
          <cell r="N3">
            <v>3.5</v>
          </cell>
          <cell r="O3">
            <v>35977</v>
          </cell>
          <cell r="P3"/>
          <cell r="Q3">
            <v>46175</v>
          </cell>
          <cell r="R3"/>
          <cell r="S3">
            <v>9121368094</v>
          </cell>
          <cell r="T3" t="str">
            <v>Settybathini Sree Ramulu</v>
          </cell>
          <cell r="U3" t="str">
            <v>Unmarried</v>
          </cell>
          <cell r="V3" t="str">
            <v>sathishgoud375@gmail.com</v>
          </cell>
          <cell r="W3" t="str">
            <v>O-ve</v>
          </cell>
          <cell r="X3" t="str">
            <v>M</v>
          </cell>
          <cell r="Y3" t="str">
            <v>Hno 4-71, Govindapalli,Sirvella(mandal),Nandyala(dist) 518563</v>
          </cell>
          <cell r="Z3" t="str">
            <v>Andhra Pradesh</v>
          </cell>
          <cell r="AA3"/>
          <cell r="AB3"/>
          <cell r="AC3"/>
          <cell r="AD3"/>
          <cell r="AE3"/>
          <cell r="AF3" t="str">
            <v>HDFC Bank</v>
          </cell>
          <cell r="AG3" t="str">
            <v>50100595290241</v>
          </cell>
          <cell r="AH3" t="str">
            <v>HDFC0000075</v>
          </cell>
          <cell r="AI3">
            <v>15550100112470</v>
          </cell>
          <cell r="AJ3" t="str">
            <v>FDRL0001555</v>
          </cell>
          <cell r="AK3" t="str">
            <v>LQBPS9884C</v>
          </cell>
          <cell r="AL3" t="str">
            <v>4303 0833 4152</v>
          </cell>
          <cell r="AM3">
            <v>101736013234</v>
          </cell>
        </row>
        <row r="4">
          <cell r="B4" t="str">
            <v>AGS26010</v>
          </cell>
          <cell r="C4" t="str">
            <v>Vemula Varshith</v>
          </cell>
          <cell r="D4" t="str">
            <v>varshithkumar.v@axioraglobalsolutions.com</v>
          </cell>
          <cell r="E4"/>
          <cell r="F4" t="str">
            <v>DevOps</v>
          </cell>
          <cell r="G4" t="str">
            <v>Principal Software Engineer / Lead Engineer</v>
          </cell>
          <cell r="H4">
            <v>46083</v>
          </cell>
          <cell r="I4">
            <v>1200000</v>
          </cell>
          <cell r="J4">
            <v>1200000</v>
          </cell>
          <cell r="K4" t="str">
            <v>Yes</v>
          </cell>
          <cell r="L4" t="str">
            <v xml:space="preserve">During training 60K Salary </v>
          </cell>
          <cell r="M4" t="str">
            <v>Btech Mechanical</v>
          </cell>
          <cell r="N4" t="str">
            <v>Fresher</v>
          </cell>
          <cell r="O4">
            <v>34622</v>
          </cell>
          <cell r="P4"/>
          <cell r="Q4">
            <v>46175</v>
          </cell>
          <cell r="R4"/>
          <cell r="S4">
            <v>9704241195</v>
          </cell>
          <cell r="T4" t="str">
            <v>Ravishankar Kumar</v>
          </cell>
          <cell r="U4" t="str">
            <v>Unmarried</v>
          </cell>
          <cell r="V4" t="str">
            <v>varshithkrish.au@gmail.com</v>
          </cell>
          <cell r="W4" t="str">
            <v>O+ve</v>
          </cell>
          <cell r="X4" t="str">
            <v>M</v>
          </cell>
          <cell r="Y4" t="str">
            <v>T2-185 Centenary Colony, Ramagiri(M), Peddapalli(D), 505212</v>
          </cell>
          <cell r="Z4" t="str">
            <v>Andhra Pradesh</v>
          </cell>
          <cell r="AA4"/>
          <cell r="AB4"/>
          <cell r="AC4"/>
          <cell r="AD4"/>
          <cell r="AE4"/>
          <cell r="AF4" t="str">
            <v>State Bank of India</v>
          </cell>
          <cell r="AG4" t="str">
            <v>62428832885</v>
          </cell>
          <cell r="AH4" t="str">
            <v>SBIN0020959</v>
          </cell>
          <cell r="AI4">
            <v>99980130961993</v>
          </cell>
          <cell r="AJ4" t="str">
            <v>FDRL0001555</v>
          </cell>
          <cell r="AK4"/>
          <cell r="AL4"/>
          <cell r="AM4">
            <v>102317713984</v>
          </cell>
        </row>
        <row r="5">
          <cell r="B5" t="str">
            <v>AGS26019</v>
          </cell>
          <cell r="C5" t="str">
            <v>Nelapatla Srinivas</v>
          </cell>
          <cell r="D5" t="str">
            <v>srinivas.nelapatla@axioraglobalsolutions.com</v>
          </cell>
          <cell r="E5"/>
          <cell r="F5" t="str">
            <v>DevOps</v>
          </cell>
          <cell r="G5" t="str">
            <v>Associate Software Engineer</v>
          </cell>
          <cell r="H5">
            <v>46083</v>
          </cell>
          <cell r="I5">
            <v>400000</v>
          </cell>
          <cell r="J5">
            <v>400000</v>
          </cell>
          <cell r="K5" t="str">
            <v>Yes</v>
          </cell>
          <cell r="L5" t="str">
            <v xml:space="preserve">During training 23K Salary </v>
          </cell>
          <cell r="M5" t="str">
            <v>Btech EEE</v>
          </cell>
          <cell r="N5" t="str">
            <v>Fresher</v>
          </cell>
          <cell r="O5">
            <v>36202</v>
          </cell>
          <cell r="P5"/>
          <cell r="Q5">
            <v>46175</v>
          </cell>
          <cell r="R5"/>
          <cell r="S5">
            <v>8919896777</v>
          </cell>
          <cell r="T5" t="str">
            <v>Nelapatla Sunil</v>
          </cell>
          <cell r="U5" t="str">
            <v>Unmarried</v>
          </cell>
          <cell r="V5" t="str">
            <v>nelapatlasrinivas777@gmail.com</v>
          </cell>
          <cell r="W5" t="str">
            <v>B+ve</v>
          </cell>
          <cell r="X5" t="str">
            <v>M</v>
          </cell>
          <cell r="Y5" t="str">
            <v>2-1-316 Chandranna Kunta Suryapet 508213</v>
          </cell>
          <cell r="Z5" t="str">
            <v>Telangana</v>
          </cell>
          <cell r="AA5"/>
          <cell r="AB5"/>
          <cell r="AC5"/>
          <cell r="AD5"/>
          <cell r="AE5"/>
          <cell r="AF5" t="str">
            <v>State Bank of India</v>
          </cell>
          <cell r="AG5" t="str">
            <v>62442668281</v>
          </cell>
          <cell r="AH5" t="str">
            <v>SBIN0020176</v>
          </cell>
          <cell r="AI5">
            <v>99980130961951</v>
          </cell>
          <cell r="AJ5" t="str">
            <v>FDRL0001555</v>
          </cell>
          <cell r="AK5" t="str">
            <v>OUHPS5003J</v>
          </cell>
          <cell r="AL5" t="str">
            <v>4515 4230 9099</v>
          </cell>
          <cell r="AM5">
            <v>102317571939</v>
          </cell>
        </row>
        <row r="6">
          <cell r="B6" t="str">
            <v>AGS26014</v>
          </cell>
          <cell r="C6" t="str">
            <v>Vulli Pavan</v>
          </cell>
          <cell r="D6" t="str">
            <v>pavan.vulli@axioraglobalsolutions.com</v>
          </cell>
          <cell r="E6"/>
          <cell r="F6" t="str">
            <v>Data Analytics</v>
          </cell>
          <cell r="G6" t="str">
            <v>Senior Software Engineer</v>
          </cell>
          <cell r="H6">
            <v>46083</v>
          </cell>
          <cell r="I6">
            <v>1000000</v>
          </cell>
          <cell r="J6">
            <v>1000000</v>
          </cell>
          <cell r="K6" t="str">
            <v>Yes</v>
          </cell>
          <cell r="L6" t="str">
            <v xml:space="preserve">During training 50K Salary </v>
          </cell>
          <cell r="M6" t="str">
            <v>Btech Mechanical</v>
          </cell>
          <cell r="N6">
            <v>2</v>
          </cell>
          <cell r="O6">
            <v>37104</v>
          </cell>
          <cell r="P6"/>
          <cell r="Q6">
            <v>46175</v>
          </cell>
          <cell r="R6"/>
          <cell r="S6">
            <v>9381003870</v>
          </cell>
          <cell r="T6" t="str">
            <v>Vuli Srinivas</v>
          </cell>
          <cell r="U6" t="str">
            <v>Unmarried</v>
          </cell>
          <cell r="V6" t="str">
            <v>vullipavan859@gmail.com</v>
          </cell>
          <cell r="W6" t="str">
            <v>O+ve</v>
          </cell>
          <cell r="X6" t="str">
            <v>M</v>
          </cell>
          <cell r="Y6" t="str">
            <v xml:space="preserve"> 3-18, Peddanagaram, near govt school , narshimulapeta(mandal), Mahabubabad(district), pincode: 506324</v>
          </cell>
          <cell r="Z6" t="str">
            <v>Telangana</v>
          </cell>
          <cell r="AA6"/>
          <cell r="AB6"/>
          <cell r="AC6"/>
          <cell r="AD6"/>
          <cell r="AE6"/>
          <cell r="AF6" t="str">
            <v>Federal Bank</v>
          </cell>
          <cell r="AG6" t="str">
            <v>77770116800885</v>
          </cell>
          <cell r="AH6" t="str">
            <v>FDRL0007777</v>
          </cell>
          <cell r="AI6">
            <v>77770116800885</v>
          </cell>
          <cell r="AJ6" t="str">
            <v>FDRL0007777</v>
          </cell>
          <cell r="AK6" t="str">
            <v>BRYPV8420K</v>
          </cell>
          <cell r="AL6" t="str">
            <v>9537 4320 0632</v>
          </cell>
          <cell r="AM6">
            <v>102317510879</v>
          </cell>
        </row>
        <row r="7">
          <cell r="B7" t="str">
            <v>AGS26017</v>
          </cell>
          <cell r="C7" t="str">
            <v>Vavilla Saikumar</v>
          </cell>
          <cell r="D7" t="str">
            <v>saikumar.vavilla@axioraglobalsolutions.com</v>
          </cell>
          <cell r="E7"/>
          <cell r="F7" t="str">
            <v>Data Analytics</v>
          </cell>
          <cell r="G7" t="str">
            <v>Software Engineer – II</v>
          </cell>
          <cell r="H7">
            <v>46083</v>
          </cell>
          <cell r="I7">
            <v>800000</v>
          </cell>
          <cell r="J7">
            <v>800000</v>
          </cell>
          <cell r="K7" t="str">
            <v>Yes</v>
          </cell>
          <cell r="L7" t="str">
            <v xml:space="preserve">During training 45K Salary </v>
          </cell>
          <cell r="M7" t="str">
            <v xml:space="preserve">Bsc </v>
          </cell>
          <cell r="N7" t="str">
            <v>Fresher</v>
          </cell>
          <cell r="O7">
            <v>35277</v>
          </cell>
          <cell r="P7"/>
          <cell r="Q7">
            <v>46175</v>
          </cell>
          <cell r="R7"/>
          <cell r="S7">
            <v>6305896810</v>
          </cell>
          <cell r="T7" t="str">
            <v>Chenchaiah</v>
          </cell>
          <cell r="U7" t="str">
            <v>Unmarried</v>
          </cell>
          <cell r="V7" t="str">
            <v>saipowerbideveloper@gmail.com</v>
          </cell>
          <cell r="W7" t="str">
            <v>O+ve</v>
          </cell>
          <cell r="X7" t="str">
            <v>M</v>
          </cell>
          <cell r="Y7" t="str">
            <v>00, thatichetla palem, Cr palem, Juvvaladinne, Nellore, Andhra Pradesh -524152.</v>
          </cell>
          <cell r="Z7" t="str">
            <v>Andhra Pradesh</v>
          </cell>
          <cell r="AA7"/>
          <cell r="AB7"/>
          <cell r="AC7"/>
          <cell r="AD7"/>
          <cell r="AE7"/>
          <cell r="AF7" t="str">
            <v>State Bank of India</v>
          </cell>
          <cell r="AG7" t="str">
            <v>41085488775</v>
          </cell>
          <cell r="AH7" t="str">
            <v>SBIN0016293</v>
          </cell>
          <cell r="AI7">
            <v>99980130963940</v>
          </cell>
          <cell r="AJ7" t="str">
            <v>FDRL0001555</v>
          </cell>
          <cell r="AK7" t="str">
            <v>BTFPV2358R</v>
          </cell>
          <cell r="AL7" t="str">
            <v>5622 5558 9639</v>
          </cell>
          <cell r="AM7">
            <v>101994170916</v>
          </cell>
        </row>
        <row r="8">
          <cell r="B8" t="str">
            <v>AGS26016</v>
          </cell>
          <cell r="C8" t="str">
            <v>Manisha Ashroba Virkar</v>
          </cell>
          <cell r="D8" t="str">
            <v>manisha.av@axioraglobalsolutions.com</v>
          </cell>
          <cell r="E8"/>
          <cell r="F8" t="str">
            <v>Data Analytics</v>
          </cell>
          <cell r="G8" t="str">
            <v>Software Engineer – II</v>
          </cell>
          <cell r="H8">
            <v>46083</v>
          </cell>
          <cell r="I8">
            <v>800000</v>
          </cell>
          <cell r="J8">
            <v>800000</v>
          </cell>
          <cell r="K8" t="str">
            <v>Yes</v>
          </cell>
          <cell r="L8" t="str">
            <v xml:space="preserve">During training 45K Salary </v>
          </cell>
          <cell r="M8" t="str">
            <v>Btech CSE</v>
          </cell>
          <cell r="N8" t="str">
            <v>Fresher</v>
          </cell>
          <cell r="O8">
            <v>34514</v>
          </cell>
          <cell r="P8"/>
          <cell r="Q8">
            <v>46175</v>
          </cell>
          <cell r="R8"/>
          <cell r="S8">
            <v>7276320429</v>
          </cell>
          <cell r="T8" t="str">
            <v>Ashroba Ramji  Virkar</v>
          </cell>
          <cell r="U8" t="str">
            <v>Unmarried</v>
          </cell>
          <cell r="V8" t="str">
            <v>maneshaverkar29@gmail.com</v>
          </cell>
          <cell r="W8" t="str">
            <v>B+ve</v>
          </cell>
          <cell r="X8" t="str">
            <v>F</v>
          </cell>
          <cell r="Y8" t="str">
            <v>Hanuman Nagar pathri                                                                                                                                                                                                                                        Ta.pathri Dist .Parbhani  Maharashtra Pin code-431506</v>
          </cell>
          <cell r="Z8" t="str">
            <v>Maharashtra</v>
          </cell>
          <cell r="AA8"/>
          <cell r="AB8"/>
          <cell r="AC8"/>
          <cell r="AD8"/>
          <cell r="AE8"/>
          <cell r="AF8" t="str">
            <v>State Bank of India</v>
          </cell>
          <cell r="AG8" t="str">
            <v>62297418711</v>
          </cell>
          <cell r="AH8" t="str">
            <v>SBIN0003801</v>
          </cell>
          <cell r="AI8" t="str">
            <v>Use same details</v>
          </cell>
          <cell r="AJ8"/>
          <cell r="AK8" t="str">
            <v>BJUPV4959F</v>
          </cell>
          <cell r="AL8" t="str">
            <v>4779 2902 8281</v>
          </cell>
          <cell r="AM8">
            <v>102317526464</v>
          </cell>
        </row>
        <row r="9">
          <cell r="B9" t="str">
            <v>AGS26015</v>
          </cell>
          <cell r="C9" t="str">
            <v>Karne Narsimha Reddy</v>
          </cell>
          <cell r="D9" t="str">
            <v xml:space="preserve">narsimhareddy.k@axioraglobalsolutions.com </v>
          </cell>
          <cell r="E9"/>
          <cell r="F9" t="str">
            <v>QA</v>
          </cell>
          <cell r="G9" t="str">
            <v>Software Engineer – II</v>
          </cell>
          <cell r="H9">
            <v>46083</v>
          </cell>
          <cell r="I9">
            <v>800000</v>
          </cell>
          <cell r="J9">
            <v>800000</v>
          </cell>
          <cell r="K9" t="str">
            <v>Yes</v>
          </cell>
          <cell r="L9" t="str">
            <v xml:space="preserve">During training 45K Salary </v>
          </cell>
          <cell r="M9" t="str">
            <v>B.Tech Mechanical</v>
          </cell>
          <cell r="N9">
            <v>8</v>
          </cell>
          <cell r="O9">
            <v>33097</v>
          </cell>
          <cell r="P9"/>
          <cell r="Q9">
            <v>46175</v>
          </cell>
          <cell r="R9"/>
          <cell r="S9" t="str">
            <v>9398072491/9963264063</v>
          </cell>
          <cell r="T9" t="str">
            <v>Saidi Reddy</v>
          </cell>
          <cell r="U9" t="str">
            <v>Married</v>
          </cell>
          <cell r="V9" t="str">
            <v>narsimhareddy688@gmail.com</v>
          </cell>
          <cell r="W9" t="str">
            <v>A+</v>
          </cell>
          <cell r="X9" t="str">
            <v>M</v>
          </cell>
          <cell r="Y9" t="str">
            <v>3-127-90/25/A, Manikanta Nagar : Road No - 3; street no-15, Boduppal; Hyderabad-500092</v>
          </cell>
          <cell r="Z9" t="str">
            <v>Telangana</v>
          </cell>
          <cell r="AA9"/>
          <cell r="AB9"/>
          <cell r="AC9"/>
          <cell r="AD9"/>
          <cell r="AE9"/>
          <cell r="AF9" t="str">
            <v>Karur Vysya Bank</v>
          </cell>
          <cell r="AG9" t="str">
            <v>1446178000009714</v>
          </cell>
          <cell r="AH9" t="str">
            <v>KVBL0001446</v>
          </cell>
          <cell r="AI9">
            <v>99980130961886</v>
          </cell>
          <cell r="AJ9" t="str">
            <v>FDRL0001555</v>
          </cell>
          <cell r="AK9" t="str">
            <v>EOBPK3168A</v>
          </cell>
          <cell r="AL9" t="str">
            <v>5975 2249 1420</v>
          </cell>
          <cell r="AM9">
            <v>101366210512</v>
          </cell>
        </row>
        <row r="10">
          <cell r="B10" t="str">
            <v>AGS26013</v>
          </cell>
          <cell r="C10" t="str">
            <v>Kalepu Vijay Kumar</v>
          </cell>
          <cell r="D10" t="str">
            <v>vijay.kalepu@axioraglobalsolutions.com</v>
          </cell>
          <cell r="E10"/>
          <cell r="F10" t="str">
            <v>Data Analytics</v>
          </cell>
          <cell r="G10" t="str">
            <v>Software Engineer – II</v>
          </cell>
          <cell r="H10">
            <v>46083</v>
          </cell>
          <cell r="I10">
            <v>800000</v>
          </cell>
          <cell r="J10">
            <v>800000</v>
          </cell>
          <cell r="K10" t="str">
            <v>Yes</v>
          </cell>
          <cell r="L10" t="str">
            <v xml:space="preserve">During training 45K Salary </v>
          </cell>
          <cell r="M10" t="str">
            <v xml:space="preserve">Bcom </v>
          </cell>
          <cell r="N10">
            <v>10</v>
          </cell>
          <cell r="O10">
            <v>31585</v>
          </cell>
          <cell r="P10"/>
          <cell r="Q10">
            <v>46175</v>
          </cell>
          <cell r="R10"/>
          <cell r="S10">
            <v>9030304626</v>
          </cell>
          <cell r="T10" t="str">
            <v>K. Srinivas Rao</v>
          </cell>
          <cell r="U10" t="str">
            <v>Married</v>
          </cell>
          <cell r="V10" t="str">
            <v>itsmee.kvk@gmail.com</v>
          </cell>
          <cell r="W10" t="str">
            <v>O+ve</v>
          </cell>
          <cell r="X10" t="str">
            <v>M</v>
          </cell>
          <cell r="Y10" t="str">
            <v>Hno 6-285/1, P.no 55, Sri laxmi nrusimha nilayam, Road no 3,Bank Colony, Qutbullapur, Suchitra, Medchal-Malkajgiri.</v>
          </cell>
          <cell r="Z10" t="str">
            <v>Telangana</v>
          </cell>
          <cell r="AA10"/>
          <cell r="AB10"/>
          <cell r="AC10"/>
          <cell r="AD10"/>
          <cell r="AE10"/>
          <cell r="AF10" t="str">
            <v>INDUSIND BANK</v>
          </cell>
          <cell r="AG10" t="str">
            <v>159502740717</v>
          </cell>
          <cell r="AH10" t="str">
            <v>INDB0000329</v>
          </cell>
          <cell r="AI10">
            <v>15550100112421</v>
          </cell>
          <cell r="AJ10" t="str">
            <v>FDRL0001555</v>
          </cell>
          <cell r="AK10" t="str">
            <v>CUDPK9024M</v>
          </cell>
          <cell r="AL10" t="str">
            <v>3328 9778 0883</v>
          </cell>
          <cell r="AM10">
            <v>100650918969</v>
          </cell>
        </row>
        <row r="11">
          <cell r="B11" t="str">
            <v>AGS26021</v>
          </cell>
          <cell r="C11" t="str">
            <v>Kontham Sushma</v>
          </cell>
          <cell r="D11" t="str">
            <v>sushma.kontham@axioraglobalsolutions.com</v>
          </cell>
          <cell r="E11"/>
          <cell r="F11" t="str">
            <v>Data Analytics</v>
          </cell>
          <cell r="G11" t="str">
            <v>Senior Software Engineer</v>
          </cell>
          <cell r="H11">
            <v>46083</v>
          </cell>
          <cell r="I11">
            <v>1000000</v>
          </cell>
          <cell r="J11">
            <v>1000000</v>
          </cell>
          <cell r="K11" t="str">
            <v>Yes</v>
          </cell>
          <cell r="L11" t="str">
            <v xml:space="preserve">During training 50K Salary </v>
          </cell>
          <cell r="M11" t="str">
            <v>MBA</v>
          </cell>
          <cell r="N11" t="str">
            <v>Fresher</v>
          </cell>
          <cell r="O11">
            <v>37162</v>
          </cell>
          <cell r="P11"/>
          <cell r="Q11">
            <v>46175</v>
          </cell>
          <cell r="R11"/>
          <cell r="S11">
            <v>9652121035</v>
          </cell>
          <cell r="T11" t="str">
            <v xml:space="preserve">Kontham Yadi Reddy </v>
          </cell>
          <cell r="U11" t="str">
            <v>Unmarried</v>
          </cell>
          <cell r="V11" t="str">
            <v>sushmareddy1350@gmail.com</v>
          </cell>
          <cell r="W11" t="str">
            <v>B+ve</v>
          </cell>
          <cell r="X11" t="str">
            <v>F</v>
          </cell>
          <cell r="Y11" t="str">
            <v>18-2-519, Jangampet, Falaknuma, Hyderabad, Telangana 500053</v>
          </cell>
          <cell r="Z11" t="str">
            <v>Telangana</v>
          </cell>
          <cell r="AA11"/>
          <cell r="AB11"/>
          <cell r="AC11"/>
          <cell r="AD11"/>
          <cell r="AE11"/>
          <cell r="AF11" t="str">
            <v>State Bank of India</v>
          </cell>
          <cell r="AG11" t="str">
            <v>39569845546</v>
          </cell>
          <cell r="AH11" t="str">
            <v>SBIN0008024</v>
          </cell>
          <cell r="AI11">
            <v>99980130961894</v>
          </cell>
          <cell r="AJ11" t="str">
            <v>FDRL0001555</v>
          </cell>
          <cell r="AK11" t="str">
            <v>LYZPS0499F</v>
          </cell>
          <cell r="AL11" t="str">
            <v>6924 8652 8766</v>
          </cell>
          <cell r="AM11">
            <v>102317547528</v>
          </cell>
        </row>
        <row r="12">
          <cell r="C12" t="str">
            <v>Akkma Sai Teja</v>
          </cell>
          <cell r="D12" t="str">
            <v>saiteja.akkma@axioraglobalsolutions.com</v>
          </cell>
          <cell r="E12"/>
          <cell r="F12" t="str">
            <v>Data Analytics</v>
          </cell>
          <cell r="G12" t="str">
            <v>Senior Software Engineer</v>
          </cell>
          <cell r="H12">
            <v>46083</v>
          </cell>
          <cell r="I12">
            <v>1000000</v>
          </cell>
          <cell r="J12">
            <v>1000000</v>
          </cell>
          <cell r="K12" t="str">
            <v>Yes</v>
          </cell>
          <cell r="L12" t="str">
            <v xml:space="preserve">During training 50K Salary </v>
          </cell>
          <cell r="M12" t="str">
            <v>MBA</v>
          </cell>
          <cell r="N12">
            <v>5</v>
          </cell>
          <cell r="O12">
            <v>36668</v>
          </cell>
          <cell r="P12"/>
          <cell r="Q12">
            <v>46175</v>
          </cell>
          <cell r="R12"/>
          <cell r="S12">
            <v>9032105913</v>
          </cell>
          <cell r="T12" t="str">
            <v>A Sunil Kumar</v>
          </cell>
          <cell r="U12" t="str">
            <v>Unmarried</v>
          </cell>
          <cell r="V12" t="str">
            <v>saiteja.akka0303@gmail.com</v>
          </cell>
          <cell r="W12" t="str">
            <v>B+ve</v>
          </cell>
          <cell r="X12" t="str">
            <v>M</v>
          </cell>
          <cell r="Y12" t="str">
            <v>23-5-1138/1 Gowlipura, Murad mahal, Charminar, Hyderabad 500065</v>
          </cell>
          <cell r="Z12" t="str">
            <v>Telangana</v>
          </cell>
          <cell r="AA12"/>
          <cell r="AB12"/>
          <cell r="AC12"/>
          <cell r="AD12"/>
          <cell r="AE12"/>
          <cell r="AF12" t="str">
            <v>HDFC Bank</v>
          </cell>
          <cell r="AG12" t="str">
            <v>50100565431077</v>
          </cell>
          <cell r="AH12" t="str">
            <v>HDFC0005175</v>
          </cell>
          <cell r="AI12" t="str">
            <v>Exit</v>
          </cell>
          <cell r="AJ12" t="str">
            <v>Exit</v>
          </cell>
          <cell r="AK12" t="str">
            <v>BPLP8220C</v>
          </cell>
          <cell r="AL12" t="str">
            <v>9141 7229 7867</v>
          </cell>
          <cell r="AM12">
            <v>101619945850</v>
          </cell>
        </row>
        <row r="13">
          <cell r="B13" t="str">
            <v>AGS26023</v>
          </cell>
          <cell r="C13" t="str">
            <v>Bobbarala Varshini</v>
          </cell>
          <cell r="D13" t="str">
            <v>varshini.bobbarala@axioraglobalsolutions.com</v>
          </cell>
          <cell r="E13"/>
          <cell r="F13" t="str">
            <v>Data Science</v>
          </cell>
          <cell r="G13" t="str">
            <v>Principal Software Engineer / Lead Engineer</v>
          </cell>
          <cell r="H13">
            <v>46083</v>
          </cell>
          <cell r="I13">
            <v>1200000</v>
          </cell>
          <cell r="J13">
            <v>1200000</v>
          </cell>
          <cell r="K13" t="str">
            <v>Yes</v>
          </cell>
          <cell r="L13" t="str">
            <v xml:space="preserve">During training 60K Salary </v>
          </cell>
          <cell r="M13" t="str">
            <v>Btech EEE</v>
          </cell>
          <cell r="N13" t="str">
            <v>Fresher</v>
          </cell>
          <cell r="O13">
            <v>38143</v>
          </cell>
          <cell r="P13"/>
          <cell r="Q13">
            <v>46175</v>
          </cell>
          <cell r="R13"/>
          <cell r="S13">
            <v>7674924668</v>
          </cell>
          <cell r="T13" t="str">
            <v>Bobbarala Raju</v>
          </cell>
          <cell r="U13" t="str">
            <v>Unmarried</v>
          </cell>
          <cell r="V13" t="str">
            <v>varshinibobbarala22@gmail.com</v>
          </cell>
          <cell r="W13" t="str">
            <v>O+ve</v>
          </cell>
          <cell r="X13" t="str">
            <v>F</v>
          </cell>
          <cell r="Y13" t="str">
            <v>3-28 thoram vari veedhi, Razole, Andhra Pradesh 533242</v>
          </cell>
          <cell r="Z13" t="str">
            <v>Andhra Pradesh</v>
          </cell>
          <cell r="AA13"/>
          <cell r="AB13"/>
          <cell r="AC13"/>
          <cell r="AD13"/>
          <cell r="AE13"/>
          <cell r="AF13" t="str">
            <v>State Bank of India</v>
          </cell>
          <cell r="AG13" t="str">
            <v>41202390653</v>
          </cell>
          <cell r="AH13" t="str">
            <v>SBIN0000910</v>
          </cell>
          <cell r="AI13">
            <v>99980130961878</v>
          </cell>
          <cell r="AJ13" t="str">
            <v>FDRL0001555</v>
          </cell>
          <cell r="AK13" t="str">
            <v>DEAPV5574M</v>
          </cell>
          <cell r="AL13" t="str">
            <v>7043 0549 4802</v>
          </cell>
          <cell r="AM13">
            <v>102317765401</v>
          </cell>
        </row>
        <row r="14">
          <cell r="B14" t="str">
            <v>AGS26026</v>
          </cell>
          <cell r="C14" t="str">
            <v>Surampudi Roop Sai</v>
          </cell>
          <cell r="D14" t="str">
            <v>roopsai.s@axioraglobalsolutions.com</v>
          </cell>
          <cell r="E14"/>
          <cell r="F14" t="str">
            <v>Java</v>
          </cell>
          <cell r="G14" t="str">
            <v>Principal Software Engineer / Lead Engineer</v>
          </cell>
          <cell r="H14">
            <v>46083</v>
          </cell>
          <cell r="I14">
            <v>1200000</v>
          </cell>
          <cell r="J14">
            <v>1200000</v>
          </cell>
          <cell r="K14" t="str">
            <v>Yes</v>
          </cell>
          <cell r="L14" t="str">
            <v xml:space="preserve">During training 60K Salary </v>
          </cell>
          <cell r="M14" t="str">
            <v xml:space="preserve">Btech ECE </v>
          </cell>
          <cell r="N14">
            <v>2</v>
          </cell>
          <cell r="O14">
            <v>35024</v>
          </cell>
          <cell r="P14"/>
          <cell r="Q14">
            <v>46175</v>
          </cell>
          <cell r="R14"/>
          <cell r="S14">
            <v>9573689646</v>
          </cell>
          <cell r="T14" t="str">
            <v>Surampudi Kameswara Rao</v>
          </cell>
          <cell r="U14" t="str">
            <v>Unmarried</v>
          </cell>
          <cell r="V14" t="str">
            <v>roopsai@outlook.in</v>
          </cell>
          <cell r="W14" t="str">
            <v>B+ve</v>
          </cell>
          <cell r="X14" t="str">
            <v>M</v>
          </cell>
          <cell r="Y14" t="str">
            <v>77-1-1/8 Fno 204, Bathula enclave, Beside Jagruthi Pathology labs Gandhipuram - 3 Rajamundry 533101</v>
          </cell>
          <cell r="Z14" t="str">
            <v>Andhra Pradesh</v>
          </cell>
          <cell r="AA14"/>
          <cell r="AB14"/>
          <cell r="AC14"/>
          <cell r="AD14"/>
          <cell r="AE14"/>
          <cell r="AF14" t="str">
            <v>Indian Bank</v>
          </cell>
          <cell r="AG14" t="str">
            <v>615728726</v>
          </cell>
          <cell r="AH14" t="str">
            <v>IDIB000P121</v>
          </cell>
          <cell r="AI14"/>
          <cell r="AJ14"/>
          <cell r="AK14" t="str">
            <v>OKKPS9480L</v>
          </cell>
          <cell r="AL14" t="str">
            <v>6809 3685 7287</v>
          </cell>
          <cell r="AM14">
            <v>102270657335</v>
          </cell>
        </row>
        <row r="15">
          <cell r="B15" t="str">
            <v>AGS26028</v>
          </cell>
          <cell r="C15" t="str">
            <v>Mohammed Abdul Moid</v>
          </cell>
          <cell r="D15" t="str">
            <v>abdul.moid@axioraglobalsolutions.com</v>
          </cell>
          <cell r="E15"/>
          <cell r="F15" t="str">
            <v>DevOps</v>
          </cell>
          <cell r="G15" t="str">
            <v>Graduate Trainee Engineer</v>
          </cell>
          <cell r="H15">
            <v>46083</v>
          </cell>
          <cell r="I15">
            <v>300000</v>
          </cell>
          <cell r="J15">
            <v>300000</v>
          </cell>
          <cell r="K15" t="str">
            <v>Yes</v>
          </cell>
          <cell r="L15" t="str">
            <v xml:space="preserve">During training 15K Salary </v>
          </cell>
          <cell r="M15" t="str">
            <v>BE Computer Science</v>
          </cell>
          <cell r="N15" t="str">
            <v>Fresher</v>
          </cell>
          <cell r="O15">
            <v>36299</v>
          </cell>
          <cell r="P15"/>
          <cell r="Q15">
            <v>46175</v>
          </cell>
          <cell r="R15"/>
          <cell r="S15">
            <v>9393819727</v>
          </cell>
          <cell r="T15" t="str">
            <v>Mohammed Hamed Ali</v>
          </cell>
          <cell r="U15" t="str">
            <v>Unmarried</v>
          </cell>
          <cell r="V15" t="str">
            <v>amoid5517@gmail.com</v>
          </cell>
          <cell r="W15" t="str">
            <v>O+ve</v>
          </cell>
          <cell r="X15" t="str">
            <v>M</v>
          </cell>
          <cell r="Y15" t="str">
            <v>16-2-743/1/7 ameen colony opp D Block colony, Saidabad</v>
          </cell>
          <cell r="Z15" t="str">
            <v>Telangana</v>
          </cell>
          <cell r="AA15"/>
          <cell r="AB15"/>
          <cell r="AC15"/>
          <cell r="AD15"/>
          <cell r="AE15"/>
          <cell r="AF15" t="str">
            <v xml:space="preserve">Kotak </v>
          </cell>
          <cell r="AG15" t="str">
            <v>9147600708</v>
          </cell>
          <cell r="AH15" t="str">
            <v>KKBK0007474</v>
          </cell>
          <cell r="AI15">
            <v>99980130963882</v>
          </cell>
          <cell r="AJ15" t="str">
            <v>FDRL0001555</v>
          </cell>
          <cell r="AK15" t="str">
            <v>GJRPM1179Q</v>
          </cell>
          <cell r="AL15" t="str">
            <v>5288 5904 9521</v>
          </cell>
          <cell r="AM15">
            <v>102317792928</v>
          </cell>
        </row>
        <row r="16">
          <cell r="B16" t="str">
            <v>AGS26029</v>
          </cell>
          <cell r="C16" t="str">
            <v>Mula Sai Preetham Goud</v>
          </cell>
          <cell r="D16" t="str">
            <v>saipreetham.m@axioraglobalsolutions.com</v>
          </cell>
          <cell r="E16"/>
          <cell r="F16" t="str">
            <v>Data Analytics</v>
          </cell>
          <cell r="G16" t="str">
            <v>Software Engineer – I</v>
          </cell>
          <cell r="H16">
            <v>46083</v>
          </cell>
          <cell r="I16">
            <v>600000</v>
          </cell>
          <cell r="J16">
            <v>600000</v>
          </cell>
          <cell r="K16" t="str">
            <v>Yes</v>
          </cell>
          <cell r="L16" t="str">
            <v xml:space="preserve">During training 35K Salary </v>
          </cell>
          <cell r="M16" t="str">
            <v>Btech Computer Science</v>
          </cell>
          <cell r="N16" t="str">
            <v>Fresher</v>
          </cell>
          <cell r="O16">
            <v>37359</v>
          </cell>
          <cell r="P16"/>
          <cell r="Q16">
            <v>46175</v>
          </cell>
          <cell r="R16"/>
          <cell r="S16">
            <v>7995646919</v>
          </cell>
          <cell r="T16" t="str">
            <v>M.Kiran Goud</v>
          </cell>
          <cell r="U16" t="str">
            <v>Unmarried</v>
          </cell>
          <cell r="V16" t="str">
            <v>saipreetham2313@gmail.com</v>
          </cell>
          <cell r="W16" t="str">
            <v>O+ve</v>
          </cell>
          <cell r="X16" t="str">
            <v>M</v>
          </cell>
          <cell r="Y16" t="str">
            <v>11-14-370,RTC Colony, Rno 7,Krishnaveni School lane, LB Nagar,Hyderabad 500074</v>
          </cell>
          <cell r="Z16" t="str">
            <v>Telangana</v>
          </cell>
          <cell r="AA16"/>
          <cell r="AB16"/>
          <cell r="AC16"/>
          <cell r="AD16"/>
          <cell r="AE16"/>
          <cell r="AF16" t="str">
            <v xml:space="preserve">Kotak </v>
          </cell>
          <cell r="AG16" t="str">
            <v>7445588605</v>
          </cell>
          <cell r="AH16" t="str">
            <v>KKBK0007462</v>
          </cell>
          <cell r="AI16">
            <v>99980130961902</v>
          </cell>
          <cell r="AJ16" t="str">
            <v>FDRL0001555</v>
          </cell>
          <cell r="AK16" t="str">
            <v>GQEPM2958H</v>
          </cell>
          <cell r="AL16" t="str">
            <v>9025 9908 8914</v>
          </cell>
          <cell r="AM16">
            <v>102317543305</v>
          </cell>
        </row>
        <row r="17">
          <cell r="B17" t="str">
            <v>AGS26030</v>
          </cell>
          <cell r="C17" t="str">
            <v>Sruthin Kumar Basa</v>
          </cell>
          <cell r="D17" t="str">
            <v>sruthin.basa@axioraglobalsolutions.com</v>
          </cell>
          <cell r="E17"/>
          <cell r="F17" t="str">
            <v>QA</v>
          </cell>
          <cell r="G17" t="str">
            <v>Software Engineer – I</v>
          </cell>
          <cell r="H17">
            <v>46083</v>
          </cell>
          <cell r="I17">
            <v>600000</v>
          </cell>
          <cell r="J17">
            <v>600000</v>
          </cell>
          <cell r="K17" t="str">
            <v>Yes</v>
          </cell>
          <cell r="L17" t="str">
            <v xml:space="preserve">During training 35K Salary </v>
          </cell>
          <cell r="M17" t="str">
            <v xml:space="preserve">Masters in civil Engineering </v>
          </cell>
          <cell r="N17"/>
          <cell r="O17">
            <v>35302</v>
          </cell>
          <cell r="P17"/>
          <cell r="Q17">
            <v>46175</v>
          </cell>
          <cell r="R17"/>
          <cell r="S17">
            <v>9573991544</v>
          </cell>
          <cell r="T17" t="str">
            <v>Basa Srinivas</v>
          </cell>
          <cell r="U17" t="str">
            <v>Married</v>
          </cell>
          <cell r="V17" t="str">
            <v>sruthinkumar0257@gmail.com</v>
          </cell>
          <cell r="W17" t="str">
            <v>AB+</v>
          </cell>
          <cell r="X17" t="str">
            <v>M</v>
          </cell>
          <cell r="Y17" t="str">
            <v>4-83/19 Thimmapur,Ibrahimpatnam 5053450</v>
          </cell>
          <cell r="Z17" t="str">
            <v>Telangana</v>
          </cell>
          <cell r="AA17"/>
          <cell r="AB17"/>
          <cell r="AC17"/>
          <cell r="AD17"/>
          <cell r="AE17"/>
          <cell r="AF17" t="str">
            <v>Canara Bank</v>
          </cell>
          <cell r="AG17" t="str">
            <v>4495101004331</v>
          </cell>
          <cell r="AH17" t="str">
            <v>CNRB0004495</v>
          </cell>
          <cell r="AI17">
            <v>99980130961761</v>
          </cell>
          <cell r="AJ17" t="str">
            <v>FDRL0001555</v>
          </cell>
          <cell r="AK17" t="str">
            <v>CGUPB2478K</v>
          </cell>
          <cell r="AL17" t="str">
            <v>3332 4306 0752</v>
          </cell>
          <cell r="AM17">
            <v>102317508713</v>
          </cell>
        </row>
        <row r="18">
          <cell r="B18" t="str">
            <v>AGS26032</v>
          </cell>
          <cell r="C18" t="str">
            <v>Vempadapu Uday Sai Tarun</v>
          </cell>
          <cell r="D18" t="str">
            <v>udaysai.v@axioraglobalsolutions.com</v>
          </cell>
          <cell r="E18"/>
          <cell r="F18" t="str">
            <v>QA</v>
          </cell>
          <cell r="G18" t="str">
            <v>Associate Software Engineer</v>
          </cell>
          <cell r="H18">
            <v>46083</v>
          </cell>
          <cell r="I18">
            <v>400000</v>
          </cell>
          <cell r="J18">
            <v>400000</v>
          </cell>
          <cell r="K18" t="str">
            <v>Yes</v>
          </cell>
          <cell r="L18" t="str">
            <v xml:space="preserve">During training 23K Salary </v>
          </cell>
          <cell r="M18" t="str">
            <v xml:space="preserve">Btech Mechanical </v>
          </cell>
          <cell r="N18" t="str">
            <v>Fresher</v>
          </cell>
          <cell r="O18">
            <v>37006</v>
          </cell>
          <cell r="P18"/>
          <cell r="Q18">
            <v>46175</v>
          </cell>
          <cell r="R18"/>
          <cell r="S18">
            <v>7013113314</v>
          </cell>
          <cell r="T18" t="str">
            <v>Vempadapu Simhachalam</v>
          </cell>
          <cell r="U18" t="str">
            <v>Unmarried</v>
          </cell>
          <cell r="V18" t="str">
            <v>vuday413@gmail.com</v>
          </cell>
          <cell r="W18" t="str">
            <v>O+ve</v>
          </cell>
          <cell r="X18" t="str">
            <v>M</v>
          </cell>
          <cell r="Y18" t="str">
            <v xml:space="preserve">7-3, Kondayyavalasa Aganampudi Visakhapatnam Andhra Pradesh 530046. </v>
          </cell>
          <cell r="Z18" t="str">
            <v xml:space="preserve">Andhra Pradesh </v>
          </cell>
          <cell r="AA18"/>
          <cell r="AB18"/>
          <cell r="AC18"/>
          <cell r="AD18"/>
          <cell r="AE18"/>
          <cell r="AF18" t="str">
            <v>State Bank of India</v>
          </cell>
          <cell r="AG18" t="str">
            <v>37182972098</v>
          </cell>
          <cell r="AH18" t="str">
            <v>SBIN0008054</v>
          </cell>
          <cell r="AI18"/>
          <cell r="AJ18"/>
          <cell r="AK18" t="str">
            <v>ALNPU7581J</v>
          </cell>
          <cell r="AL18" t="str">
            <v>7417 0021 8421</v>
          </cell>
          <cell r="AM18">
            <v>102213700679</v>
          </cell>
        </row>
        <row r="19">
          <cell r="B19" t="str">
            <v>AGS26033</v>
          </cell>
          <cell r="C19" t="str">
            <v>Kethavath Sai Raj</v>
          </cell>
          <cell r="D19" t="str">
            <v>sairaj.kethavath@axioraglobalsolutions.com</v>
          </cell>
          <cell r="E19"/>
          <cell r="F19" t="str">
            <v>Data Science</v>
          </cell>
          <cell r="G19" t="str">
            <v>Software Engineer – I</v>
          </cell>
          <cell r="H19">
            <v>46083</v>
          </cell>
          <cell r="I19">
            <v>600000</v>
          </cell>
          <cell r="J19">
            <v>600000</v>
          </cell>
          <cell r="K19" t="str">
            <v>Yes</v>
          </cell>
          <cell r="L19" t="str">
            <v xml:space="preserve">During training 35K Salary </v>
          </cell>
          <cell r="M19" t="str">
            <v>Btech ECE</v>
          </cell>
          <cell r="N19" t="str">
            <v>Fresher</v>
          </cell>
          <cell r="O19" t="str">
            <v>16-0-2002</v>
          </cell>
          <cell r="P19"/>
          <cell r="Q19">
            <v>46175</v>
          </cell>
          <cell r="R19"/>
          <cell r="S19">
            <v>6303566192</v>
          </cell>
          <cell r="T19" t="str">
            <v>Kethavath Jayaram</v>
          </cell>
          <cell r="U19" t="str">
            <v>Unmarried</v>
          </cell>
          <cell r="V19" t="str">
            <v>kethavathsairaj2002@gmail.com</v>
          </cell>
          <cell r="W19" t="str">
            <v>O+ve</v>
          </cell>
          <cell r="X19" t="str">
            <v>M</v>
          </cell>
          <cell r="Y19" t="str">
            <v>Plot no 57 vishveshwarayya engineers colony, BN Reddy nagar, Hyderabad.</v>
          </cell>
          <cell r="Z19" t="str">
            <v>Telangana</v>
          </cell>
          <cell r="AA19"/>
          <cell r="AB19"/>
          <cell r="AC19"/>
          <cell r="AD19"/>
          <cell r="AE19"/>
          <cell r="AF19" t="str">
            <v>State Bank of India</v>
          </cell>
          <cell r="AG19" t="str">
            <v>39971511897</v>
          </cell>
          <cell r="AH19" t="str">
            <v>SBIN0021227</v>
          </cell>
          <cell r="AI19" t="str">
            <v>Exit</v>
          </cell>
          <cell r="AJ19" t="str">
            <v>Exit</v>
          </cell>
          <cell r="AK19" t="str">
            <v>FBVPR1078E</v>
          </cell>
          <cell r="AL19" t="str">
            <v xml:space="preserve">6923 9956 7743 </v>
          </cell>
          <cell r="AM19">
            <v>102317683544</v>
          </cell>
        </row>
        <row r="20">
          <cell r="B20" t="str">
            <v>AGS26034</v>
          </cell>
          <cell r="C20" t="str">
            <v>Sripada Shivakumar</v>
          </cell>
          <cell r="D20" t="str">
            <v>shivakumar.sr@axioraglobalsolutions.com</v>
          </cell>
          <cell r="E20"/>
          <cell r="F20" t="str">
            <v>Data Science</v>
          </cell>
          <cell r="G20" t="str">
            <v>Principal Software Engineer / Lead Engineer</v>
          </cell>
          <cell r="H20">
            <v>46083</v>
          </cell>
          <cell r="I20">
            <v>1200000</v>
          </cell>
          <cell r="J20">
            <v>1200000</v>
          </cell>
          <cell r="K20" t="str">
            <v>Yes</v>
          </cell>
          <cell r="L20" t="str">
            <v xml:space="preserve">During training 60K Salary </v>
          </cell>
          <cell r="M20" t="str">
            <v>Btech</v>
          </cell>
          <cell r="N20">
            <v>5</v>
          </cell>
          <cell r="O20">
            <v>35477</v>
          </cell>
          <cell r="P20"/>
          <cell r="Q20">
            <v>46175</v>
          </cell>
          <cell r="R20"/>
          <cell r="S20">
            <v>9666086127</v>
          </cell>
          <cell r="T20" t="str">
            <v>Sripada Nandakumar</v>
          </cell>
          <cell r="U20" t="str">
            <v>Unmarried</v>
          </cell>
          <cell r="V20" t="str">
            <v>ssripada16@gmail.com</v>
          </cell>
          <cell r="W20"/>
          <cell r="X20" t="str">
            <v>M</v>
          </cell>
          <cell r="Y20" t="str">
            <v>Hno 3-45 near primary school, Kattangoor Kattangur, Nalgonda, Telangana 508205</v>
          </cell>
          <cell r="Z20" t="str">
            <v>Telangana</v>
          </cell>
          <cell r="AA20"/>
          <cell r="AB20"/>
          <cell r="AC20"/>
          <cell r="AD20"/>
          <cell r="AE20"/>
          <cell r="AF20" t="str">
            <v>State Bank of India</v>
          </cell>
          <cell r="AG20" t="str">
            <v>41536691505</v>
          </cell>
          <cell r="AH20" t="str">
            <v>SBIN0008807</v>
          </cell>
          <cell r="AI20">
            <v>15550100112371</v>
          </cell>
          <cell r="AJ20" t="str">
            <v>FDRL0001555</v>
          </cell>
          <cell r="AK20" t="str">
            <v>OKWPS4504K</v>
          </cell>
          <cell r="AL20" t="str">
            <v>7095 4068 7929</v>
          </cell>
          <cell r="AM20">
            <v>102000268989</v>
          </cell>
        </row>
        <row r="21">
          <cell r="B21" t="str">
            <v>AGS26035</v>
          </cell>
          <cell r="C21" t="str">
            <v>Varakantham Surender Reddy</v>
          </cell>
          <cell r="D21" t="str">
            <v>surender.v@axioraglobalsolutions.com</v>
          </cell>
          <cell r="E21"/>
          <cell r="F21" t="str">
            <v>Data Analytics</v>
          </cell>
          <cell r="G21" t="str">
            <v>Principal Software Engineer / Lead Engineer</v>
          </cell>
          <cell r="H21">
            <v>46083</v>
          </cell>
          <cell r="I21">
            <v>1200000</v>
          </cell>
          <cell r="J21">
            <v>1200000</v>
          </cell>
          <cell r="K21" t="str">
            <v>Yes</v>
          </cell>
          <cell r="L21" t="str">
            <v xml:space="preserve">During training 60K Salary </v>
          </cell>
          <cell r="M21" t="str">
            <v>Bsc</v>
          </cell>
          <cell r="N21">
            <v>4</v>
          </cell>
          <cell r="O21">
            <v>34931</v>
          </cell>
          <cell r="P21"/>
          <cell r="Q21">
            <v>46175</v>
          </cell>
          <cell r="R21"/>
          <cell r="S21">
            <v>9381615982</v>
          </cell>
          <cell r="T21" t="str">
            <v>Varakantham Sathi Reddy</v>
          </cell>
          <cell r="U21" t="str">
            <v>Married</v>
          </cell>
          <cell r="V21" t="str">
            <v>surender.varakantham@gmail.com</v>
          </cell>
          <cell r="W21" t="str">
            <v>A+</v>
          </cell>
          <cell r="X21" t="str">
            <v>M</v>
          </cell>
          <cell r="Y21" t="str">
            <v>Hno 4-60/5/136, Thumkunta, Shameerpet, Secunderabad 500078.</v>
          </cell>
          <cell r="Z21" t="str">
            <v>Telangana</v>
          </cell>
          <cell r="AA21"/>
          <cell r="AB21"/>
          <cell r="AC21"/>
          <cell r="AD21"/>
          <cell r="AE21"/>
          <cell r="AF21" t="str">
            <v>HDFC Bank</v>
          </cell>
          <cell r="AG21" t="str">
            <v>50100141200194</v>
          </cell>
          <cell r="AH21" t="str">
            <v>HDFC0004480</v>
          </cell>
          <cell r="AI21" t="str">
            <v xml:space="preserve">Form sent </v>
          </cell>
          <cell r="AJ21"/>
          <cell r="AK21" t="str">
            <v>CEPPR0935C</v>
          </cell>
          <cell r="AL21" t="str">
            <v>4939 8044 9284</v>
          </cell>
          <cell r="AM21">
            <v>100640473426</v>
          </cell>
        </row>
        <row r="22">
          <cell r="B22" t="str">
            <v>AGS26041</v>
          </cell>
          <cell r="C22" t="str">
            <v>Sudhagani Sai Charan</v>
          </cell>
          <cell r="D22" t="str">
            <v>saicharan.s@axioraglobalsolutions.com</v>
          </cell>
          <cell r="E22"/>
          <cell r="F22" t="str">
            <v>Data Analytics</v>
          </cell>
          <cell r="G22" t="str">
            <v>Software Engineer – I</v>
          </cell>
          <cell r="H22">
            <v>46113</v>
          </cell>
          <cell r="I22">
            <v>600000</v>
          </cell>
          <cell r="J22">
            <v>600000</v>
          </cell>
          <cell r="K22" t="str">
            <v>Yes</v>
          </cell>
          <cell r="L22" t="str">
            <v xml:space="preserve">During training 35K Salary </v>
          </cell>
          <cell r="M22" t="str">
            <v>MBA</v>
          </cell>
          <cell r="N22">
            <v>4</v>
          </cell>
          <cell r="O22">
            <v>35395</v>
          </cell>
          <cell r="P22"/>
          <cell r="Q22">
            <v>46204</v>
          </cell>
          <cell r="R22"/>
          <cell r="S22">
            <v>8125259656</v>
          </cell>
          <cell r="T22" t="str">
            <v>Sudhagani Srinivas</v>
          </cell>
          <cell r="U22" t="str">
            <v>Unmarried</v>
          </cell>
          <cell r="V22" t="str">
            <v>sudhaganisaicharan7@gmail.com</v>
          </cell>
          <cell r="W22" t="str">
            <v>O+ve</v>
          </cell>
          <cell r="X22" t="str">
            <v>M</v>
          </cell>
          <cell r="Y22" t="str">
            <v>4-54-29 Maqdum nagar, Jagathgiri Gutta, Hyderabad-500037</v>
          </cell>
          <cell r="Z22" t="str">
            <v>Telangana</v>
          </cell>
          <cell r="AA22"/>
          <cell r="AB22"/>
          <cell r="AC22"/>
          <cell r="AD22"/>
          <cell r="AE22"/>
          <cell r="AF22" t="str">
            <v>Axis Bank</v>
          </cell>
          <cell r="AG22" t="str">
            <v>920010070801185</v>
          </cell>
          <cell r="AH22" t="str">
            <v>UTIB0000008</v>
          </cell>
          <cell r="AI22">
            <v>15550100112314</v>
          </cell>
          <cell r="AJ22" t="str">
            <v>FDRL0001555</v>
          </cell>
          <cell r="AK22" t="str">
            <v>DALPG1085H</v>
          </cell>
          <cell r="AL22" t="str">
            <v>4925 0547 4851</v>
          </cell>
          <cell r="AM22">
            <v>101496699678</v>
          </cell>
        </row>
        <row r="23">
          <cell r="B23" t="str">
            <v>AGS26043</v>
          </cell>
          <cell r="C23" t="str">
            <v>Chebrolu Yashaswini</v>
          </cell>
          <cell r="D23" t="str">
            <v>yashaswini.ch@axioraglobalsolutions.com</v>
          </cell>
          <cell r="E23"/>
          <cell r="F23" t="str">
            <v>Data Analytics</v>
          </cell>
          <cell r="G23" t="str">
            <v>Software Engineer</v>
          </cell>
          <cell r="H23">
            <v>46113</v>
          </cell>
          <cell r="I23">
            <v>500000</v>
          </cell>
          <cell r="J23">
            <v>500000</v>
          </cell>
          <cell r="K23" t="str">
            <v>Yes</v>
          </cell>
          <cell r="L23" t="str">
            <v xml:space="preserve">During training 30K Salary </v>
          </cell>
          <cell r="M23" t="str">
            <v>BA</v>
          </cell>
          <cell r="N23" t="str">
            <v>Fresher</v>
          </cell>
          <cell r="O23">
            <v>36093</v>
          </cell>
          <cell r="P23"/>
          <cell r="Q23">
            <v>46204</v>
          </cell>
          <cell r="R23"/>
          <cell r="S23">
            <v>7013590091</v>
          </cell>
          <cell r="T23" t="str">
            <v>Ch Laxminarayana</v>
          </cell>
          <cell r="U23" t="str">
            <v>Unmarried</v>
          </cell>
          <cell r="V23" t="str">
            <v>chebroluyashaswini5@gmail.com</v>
          </cell>
          <cell r="W23"/>
          <cell r="X23" t="str">
            <v>F</v>
          </cell>
          <cell r="Y23" t="str">
            <v>Dwaraka Tirumala Colony plot no 18/ North hastinapuram extension 2 sagar ring road ,Lb Nagar Hyderabad 500078</v>
          </cell>
          <cell r="Z23" t="str">
            <v>Telangana</v>
          </cell>
          <cell r="AA23"/>
          <cell r="AB23"/>
          <cell r="AC23"/>
          <cell r="AD23"/>
          <cell r="AE23"/>
          <cell r="AF23" t="str">
            <v>SBI</v>
          </cell>
          <cell r="AG23" t="str">
            <v>40590710609</v>
          </cell>
          <cell r="AH23" t="str">
            <v>SBIN0011984</v>
          </cell>
          <cell r="AI23" t="str">
            <v xml:space="preserve">Form sent </v>
          </cell>
          <cell r="AJ23"/>
          <cell r="AK23" t="str">
            <v>BJIPY6079B</v>
          </cell>
          <cell r="AL23" t="str">
            <v>4430 0575 9171</v>
          </cell>
          <cell r="AM23">
            <v>101812070660</v>
          </cell>
        </row>
        <row r="24">
          <cell r="B24" t="str">
            <v>AGS26045</v>
          </cell>
          <cell r="C24" t="str">
            <v xml:space="preserve">Chebrolu Monika </v>
          </cell>
          <cell r="D24" t="str">
            <v>monika.ch@axioraglobalsolutions.com</v>
          </cell>
          <cell r="E24"/>
          <cell r="F24" t="str">
            <v>Python</v>
          </cell>
          <cell r="G24" t="str">
            <v>Senior Software Engineer</v>
          </cell>
          <cell r="H24">
            <v>46113</v>
          </cell>
          <cell r="I24">
            <v>1000000</v>
          </cell>
          <cell r="J24">
            <v>1000000</v>
          </cell>
          <cell r="K24" t="str">
            <v>Yes</v>
          </cell>
          <cell r="L24" t="str">
            <v xml:space="preserve">During training 50K Salary </v>
          </cell>
          <cell r="M24" t="str">
            <v>Mtech</v>
          </cell>
          <cell r="N24">
            <v>5</v>
          </cell>
          <cell r="O24">
            <v>34719</v>
          </cell>
          <cell r="P24"/>
          <cell r="Q24">
            <v>46204</v>
          </cell>
          <cell r="R24"/>
          <cell r="S24">
            <v>8309331825</v>
          </cell>
          <cell r="T24" t="str">
            <v>Laxminarayana Chebrolu</v>
          </cell>
          <cell r="U24" t="str">
            <v>Married</v>
          </cell>
          <cell r="V24" t="str">
            <v>monikachebrolu1@gmail.com</v>
          </cell>
          <cell r="W24" t="str">
            <v>B+ve</v>
          </cell>
          <cell r="X24" t="str">
            <v>F</v>
          </cell>
          <cell r="Y24" t="str">
            <v>Plot no 8 first floor asiana green , ahinsa khand 2 , Indirapuram, Ghaziabad, 201014</v>
          </cell>
          <cell r="Z24" t="str">
            <v>Delhi</v>
          </cell>
          <cell r="AA24"/>
          <cell r="AB24"/>
          <cell r="AC24"/>
          <cell r="AD24"/>
          <cell r="AE24"/>
          <cell r="AF24" t="str">
            <v>ICICI Bank</v>
          </cell>
          <cell r="AG24" t="str">
            <v>000801663119</v>
          </cell>
          <cell r="AH24" t="str">
            <v>ICIC0000008</v>
          </cell>
          <cell r="AI24" t="str">
            <v xml:space="preserve">Form sent </v>
          </cell>
          <cell r="AJ24"/>
          <cell r="AK24" t="str">
            <v>JHHPM5887G</v>
          </cell>
          <cell r="AL24" t="str">
            <v xml:space="preserve">  6250 1362 8046</v>
          </cell>
          <cell r="AM24">
            <v>101577152605</v>
          </cell>
        </row>
        <row r="25">
          <cell r="B25" t="str">
            <v>AGS26047</v>
          </cell>
          <cell r="C25" t="str">
            <v>Upadhyayula Naga Lakshmi Deepthi</v>
          </cell>
          <cell r="D25" t="str">
            <v>deepthi.u@axioraglobalsolutions.com</v>
          </cell>
          <cell r="E25"/>
          <cell r="F25" t="str">
            <v>Python</v>
          </cell>
          <cell r="G25" t="str">
            <v>Associate Software Engineer</v>
          </cell>
          <cell r="H25">
            <v>46114</v>
          </cell>
          <cell r="I25">
            <v>400000</v>
          </cell>
          <cell r="J25">
            <v>400000</v>
          </cell>
          <cell r="K25" t="str">
            <v>Yes</v>
          </cell>
          <cell r="L25" t="str">
            <v xml:space="preserve">During training 23K Salary </v>
          </cell>
          <cell r="M25" t="str">
            <v>Btech CSE</v>
          </cell>
          <cell r="N25" t="str">
            <v>Fresher</v>
          </cell>
          <cell r="O25">
            <v>36020</v>
          </cell>
          <cell r="P25"/>
          <cell r="Q25">
            <v>46205</v>
          </cell>
          <cell r="R25"/>
          <cell r="S25">
            <v>8106422237</v>
          </cell>
          <cell r="T25" t="str">
            <v>Upadhyayula surya venkata satya narayana murthy</v>
          </cell>
          <cell r="U25" t="str">
            <v>Married</v>
          </cell>
          <cell r="V25" t="str">
            <v>deepthiupadhyayula@gmail.com</v>
          </cell>
          <cell r="W25" t="str">
            <v>B+ve</v>
          </cell>
          <cell r="X25" t="str">
            <v>F</v>
          </cell>
          <cell r="Y25" t="str">
            <v>panchasheela colony, Lane-1, roadnumber-5,rangareddynagar,telangana 500037</v>
          </cell>
          <cell r="Z25" t="str">
            <v>Telangana</v>
          </cell>
          <cell r="AA25"/>
          <cell r="AB25"/>
          <cell r="AC25"/>
          <cell r="AD25"/>
          <cell r="AE25"/>
          <cell r="AF25" t="str">
            <v>Federal bank</v>
          </cell>
          <cell r="AG25" t="str">
            <v>55560103431927</v>
          </cell>
          <cell r="AH25" t="str">
            <v>FDRL0005556</v>
          </cell>
          <cell r="AI25">
            <v>55560103431927</v>
          </cell>
          <cell r="AJ25" t="str">
            <v>FDRL0001555</v>
          </cell>
          <cell r="AK25" t="str">
            <v>AFUPU3568G</v>
          </cell>
          <cell r="AL25" t="str">
            <v>8528 9258 4026</v>
          </cell>
          <cell r="AM25">
            <v>102241197755</v>
          </cell>
        </row>
        <row r="26">
          <cell r="B26" t="str">
            <v>AGS26048</v>
          </cell>
          <cell r="C26" t="str">
            <v>Rapolu Rekha</v>
          </cell>
          <cell r="D26" t="str">
            <v>rekha.r@axioraglobalsolutions.com</v>
          </cell>
          <cell r="E26"/>
          <cell r="F26" t="str">
            <v>Java</v>
          </cell>
          <cell r="G26" t="str">
            <v>Graduate Trainee Engineer</v>
          </cell>
          <cell r="H26">
            <v>46113</v>
          </cell>
          <cell r="I26">
            <v>300000</v>
          </cell>
          <cell r="J26">
            <v>300000</v>
          </cell>
          <cell r="K26" t="str">
            <v>Yes</v>
          </cell>
          <cell r="L26" t="str">
            <v xml:space="preserve">During training 15K Salary </v>
          </cell>
          <cell r="M26" t="str">
            <v>Btech - ECE</v>
          </cell>
          <cell r="N26" t="str">
            <v>Fresher</v>
          </cell>
          <cell r="O26">
            <v>37625</v>
          </cell>
          <cell r="P26"/>
          <cell r="Q26">
            <v>46204</v>
          </cell>
          <cell r="R26"/>
          <cell r="S26">
            <v>9059836082</v>
          </cell>
          <cell r="T26" t="str">
            <v>Narsimha</v>
          </cell>
          <cell r="U26" t="str">
            <v>Unmarried</v>
          </cell>
          <cell r="V26" t="str">
            <v>rekharapolu905@gmail.com</v>
          </cell>
          <cell r="W26" t="str">
            <v>A+ve</v>
          </cell>
          <cell r="X26" t="str">
            <v>F</v>
          </cell>
          <cell r="Y26" t="str">
            <v>H.No.3-2/1, vinayaka nagar, cherlapally, Nalgonda, Telangana 508001</v>
          </cell>
          <cell r="Z26" t="str">
            <v>Telangana</v>
          </cell>
          <cell r="AA26"/>
          <cell r="AB26"/>
          <cell r="AC26"/>
          <cell r="AD26"/>
          <cell r="AE26"/>
          <cell r="AF26" t="str">
            <v>Federal bank</v>
          </cell>
          <cell r="AG26" t="str">
            <v>55560103536675</v>
          </cell>
          <cell r="AH26" t="str">
            <v>FDRL0005556</v>
          </cell>
          <cell r="AI26">
            <v>15550100112355</v>
          </cell>
          <cell r="AJ26" t="str">
            <v>FDRL0001555</v>
          </cell>
          <cell r="AK26" t="str">
            <v>FTIPR2278P</v>
          </cell>
          <cell r="AL26" t="str">
            <v>5881 3267 4215</v>
          </cell>
          <cell r="AM26">
            <v>102260670501</v>
          </cell>
        </row>
        <row r="27">
          <cell r="B27" t="str">
            <v>AGS26049</v>
          </cell>
          <cell r="C27" t="str">
            <v>Ragiru Nikhitha</v>
          </cell>
          <cell r="D27" t="str">
            <v>nikhitha.r@axioraglobalsolutions.com</v>
          </cell>
          <cell r="E27"/>
          <cell r="F27" t="str">
            <v>QA</v>
          </cell>
          <cell r="G27" t="str">
            <v>Graduate Trainee Engineer</v>
          </cell>
          <cell r="H27">
            <v>46113</v>
          </cell>
          <cell r="I27">
            <v>300000</v>
          </cell>
          <cell r="J27">
            <v>300000</v>
          </cell>
          <cell r="K27" t="str">
            <v>Yes</v>
          </cell>
          <cell r="L27" t="str">
            <v xml:space="preserve">During training 15K Salary </v>
          </cell>
          <cell r="M27" t="str">
            <v>M.Sc (Maths with Computer Science )</v>
          </cell>
          <cell r="N27" t="str">
            <v>Fresher</v>
          </cell>
          <cell r="O27">
            <v>36584</v>
          </cell>
          <cell r="P27"/>
          <cell r="Q27">
            <v>46204</v>
          </cell>
          <cell r="R27"/>
          <cell r="S27">
            <v>7730977900</v>
          </cell>
          <cell r="T27" t="str">
            <v>R. Satyanarayana</v>
          </cell>
          <cell r="U27" t="str">
            <v>Unmarried</v>
          </cell>
          <cell r="V27" t="str">
            <v>nikhitha.ragiru123@gmail.com</v>
          </cell>
          <cell r="W27" t="str">
            <v>B+ve</v>
          </cell>
          <cell r="X27" t="str">
            <v>F</v>
          </cell>
          <cell r="Y27" t="str">
            <v>6-31, Choutuppal Mandal, VTC: Tangadpalle, PO: Tangedapally, Yadadri Dist, Telangana. 
PIN Code: 508252.</v>
          </cell>
          <cell r="Z27" t="str">
            <v>Telangana</v>
          </cell>
          <cell r="AA27"/>
          <cell r="AB27"/>
          <cell r="AC27"/>
          <cell r="AD27"/>
          <cell r="AE27"/>
          <cell r="AF27" t="str">
            <v>Canara Bank</v>
          </cell>
          <cell r="AG27" t="str">
            <v>110240929810</v>
          </cell>
          <cell r="AH27" t="str">
            <v>CNRB0007792</v>
          </cell>
          <cell r="AI27">
            <v>15550100112280</v>
          </cell>
          <cell r="AJ27" t="str">
            <v>FDRL0001555</v>
          </cell>
          <cell r="AK27" t="str">
            <v>CQXPN6655F</v>
          </cell>
          <cell r="AL27" t="str">
            <v>3238 2337 2906</v>
          </cell>
          <cell r="AM27">
            <v>102241771762</v>
          </cell>
        </row>
        <row r="28">
          <cell r="B28" t="str">
            <v>AGS26051</v>
          </cell>
          <cell r="C28" t="str">
            <v>Mundlamuri Mrudula</v>
          </cell>
          <cell r="D28" t="str">
            <v>mrudula.m@axioraglobalsolutions.com</v>
          </cell>
          <cell r="E28"/>
          <cell r="F28" t="str">
            <v>Data Analytics</v>
          </cell>
          <cell r="G28" t="str">
            <v>Graduate Trainee Engineer</v>
          </cell>
          <cell r="H28">
            <v>46113</v>
          </cell>
          <cell r="I28">
            <v>350000</v>
          </cell>
          <cell r="J28">
            <v>350000</v>
          </cell>
          <cell r="K28" t="str">
            <v>Yes</v>
          </cell>
          <cell r="L28" t="str">
            <v xml:space="preserve">During training 15K Salary </v>
          </cell>
          <cell r="M28" t="str">
            <v>B.Tech</v>
          </cell>
          <cell r="N28" t="str">
            <v>3 years</v>
          </cell>
          <cell r="O28">
            <v>36321</v>
          </cell>
          <cell r="P28"/>
          <cell r="Q28">
            <v>46204</v>
          </cell>
          <cell r="R28"/>
          <cell r="S28" t="str">
            <v>6302262887 , 7093146844</v>
          </cell>
          <cell r="T28" t="str">
            <v>M.srinivasulu</v>
          </cell>
          <cell r="U28" t="str">
            <v>Unmarried</v>
          </cell>
          <cell r="V28" t="str">
            <v>Mundlamurimrudula@gmail.com</v>
          </cell>
          <cell r="W28" t="str">
            <v>O-ve</v>
          </cell>
          <cell r="X28" t="str">
            <v>F</v>
          </cell>
          <cell r="Y28" t="str">
            <v>Mundalmuri vari palem ,ponalur (mandal), cherukur (post )Prakasam (dist )</v>
          </cell>
          <cell r="Z28" t="str">
            <v>Andhra Pradesh</v>
          </cell>
          <cell r="AA28"/>
          <cell r="AB28"/>
          <cell r="AC28"/>
          <cell r="AD28"/>
          <cell r="AE28"/>
          <cell r="AF28" t="str">
            <v>ICICI Bank</v>
          </cell>
          <cell r="AG28" t="str">
            <v>386701504229</v>
          </cell>
          <cell r="AH28" t="str">
            <v>ICIC0003867</v>
          </cell>
          <cell r="AI28">
            <v>15550100112272</v>
          </cell>
          <cell r="AJ28" t="str">
            <v>FDRL0001555</v>
          </cell>
          <cell r="AK28" t="str">
            <v>HRJPM5451A</v>
          </cell>
          <cell r="AL28" t="str">
            <v>2501 4867 8283</v>
          </cell>
          <cell r="AM28">
            <v>101865114927</v>
          </cell>
        </row>
        <row r="29">
          <cell r="B29" t="str">
            <v>AGS26055</v>
          </cell>
          <cell r="C29" t="str">
            <v xml:space="preserve">Cholleti Sai Kumar </v>
          </cell>
          <cell r="D29" t="str">
            <v>saikumar.c@axioraglobalsolutions.com</v>
          </cell>
          <cell r="E29"/>
          <cell r="F29" t="str">
            <v>Data Analytics</v>
          </cell>
          <cell r="G29" t="str">
            <v>Graduate Trainee Engineer</v>
          </cell>
          <cell r="H29">
            <v>46113</v>
          </cell>
          <cell r="I29">
            <v>300000</v>
          </cell>
          <cell r="J29">
            <v>300000</v>
          </cell>
          <cell r="K29" t="str">
            <v>Yes</v>
          </cell>
          <cell r="L29" t="str">
            <v xml:space="preserve">During training 15K Salary </v>
          </cell>
          <cell r="M29" t="str">
            <v>Btech ECE</v>
          </cell>
          <cell r="N29" t="str">
            <v>Fresher</v>
          </cell>
          <cell r="O29">
            <v>35757</v>
          </cell>
          <cell r="P29"/>
          <cell r="Q29">
            <v>46204</v>
          </cell>
          <cell r="R29"/>
          <cell r="S29">
            <v>7569158076</v>
          </cell>
          <cell r="T29" t="str">
            <v>Cholleti Ravi Kumar</v>
          </cell>
          <cell r="U29" t="str">
            <v>Single</v>
          </cell>
          <cell r="V29" t="str">
            <v>chumasaikumar365@gmail.com</v>
          </cell>
          <cell r="W29" t="str">
            <v>B+ve</v>
          </cell>
          <cell r="X29" t="str">
            <v>M</v>
          </cell>
          <cell r="Y29" t="str">
            <v>Hno 5-5, Shivaji nagar, Chityala mandal,Nalgonda Telangana 508114.</v>
          </cell>
          <cell r="Z29" t="str">
            <v>Telangana</v>
          </cell>
          <cell r="AA29"/>
          <cell r="AB29"/>
          <cell r="AC29"/>
          <cell r="AD29"/>
          <cell r="AE29"/>
          <cell r="AF29" t="str">
            <v>State Bank of India</v>
          </cell>
          <cell r="AG29" t="str">
            <v>44652833670</v>
          </cell>
          <cell r="AH29" t="str">
            <v>SBIN0021487</v>
          </cell>
          <cell r="AI29" t="str">
            <v>Use Existing bank details</v>
          </cell>
          <cell r="AJ29"/>
          <cell r="AK29" t="str">
            <v>QEHPS6314Q</v>
          </cell>
          <cell r="AL29" t="str">
            <v>3073 4808 6645</v>
          </cell>
          <cell r="AM29"/>
        </row>
        <row r="30">
          <cell r="B30" t="str">
            <v>AGS26053</v>
          </cell>
          <cell r="C30" t="str">
            <v>Palavelli Praveen Reddy</v>
          </cell>
          <cell r="D30" t="str">
            <v>praveenreddy.p@axioraglobalsolutions.com</v>
          </cell>
          <cell r="E30"/>
          <cell r="F30" t="str">
            <v>DevOps</v>
          </cell>
          <cell r="G30" t="str">
            <v>Associate Software Engineer</v>
          </cell>
          <cell r="H30">
            <v>46113</v>
          </cell>
          <cell r="I30">
            <v>400000</v>
          </cell>
          <cell r="J30">
            <v>400000</v>
          </cell>
          <cell r="K30" t="str">
            <v>Yes</v>
          </cell>
          <cell r="L30" t="str">
            <v xml:space="preserve">During training 15K Salary </v>
          </cell>
          <cell r="M30" t="str">
            <v>Btech-CSE</v>
          </cell>
          <cell r="N30" t="str">
            <v>Fresher</v>
          </cell>
          <cell r="O30">
            <v>37084</v>
          </cell>
          <cell r="P30"/>
          <cell r="Q30">
            <v>46204</v>
          </cell>
          <cell r="R30"/>
          <cell r="S30">
            <v>9381056716</v>
          </cell>
          <cell r="T30" t="str">
            <v>Palavelli Narasareddy</v>
          </cell>
          <cell r="U30" t="str">
            <v>Unmarried</v>
          </cell>
          <cell r="V30" t="str">
            <v>praveenreddy9121@gmail.com</v>
          </cell>
          <cell r="W30" t="str">
            <v>O+ ve</v>
          </cell>
          <cell r="X30" t="str">
            <v>M</v>
          </cell>
          <cell r="Y30" t="str">
            <v>3-105A Nennurupadu village ,kondapi mandalam,Prakasam district 523270</v>
          </cell>
          <cell r="Z30" t="str">
            <v>Andhra Pradesh</v>
          </cell>
          <cell r="AA30"/>
          <cell r="AB30"/>
          <cell r="AC30"/>
          <cell r="AD30"/>
          <cell r="AE30"/>
          <cell r="AF30" t="str">
            <v>Union Bank of India</v>
          </cell>
          <cell r="AG30" t="str">
            <v>520101254028703</v>
          </cell>
          <cell r="AH30" t="str">
            <v>UBIN0826383</v>
          </cell>
          <cell r="AI30">
            <v>15550100112306</v>
          </cell>
          <cell r="AJ30" t="str">
            <v>FDRL0001555</v>
          </cell>
          <cell r="AK30" t="str">
            <v>GLUPR1475P</v>
          </cell>
          <cell r="AL30" t="str">
            <v>2526 5871 4919</v>
          </cell>
          <cell r="AM30">
            <v>101923719120</v>
          </cell>
        </row>
        <row r="31">
          <cell r="B31" t="str">
            <v>AGS26054</v>
          </cell>
          <cell r="C31" t="str">
            <v>Yaramothu Himaja</v>
          </cell>
          <cell r="D31" t="str">
            <v>himaja.y@axioraglobalsolutions.com</v>
          </cell>
          <cell r="E31"/>
          <cell r="F31" t="str">
            <v>DevOps</v>
          </cell>
          <cell r="G31" t="str">
            <v>Associate Software Engineer</v>
          </cell>
          <cell r="H31">
            <v>46113</v>
          </cell>
          <cell r="I31">
            <v>400000</v>
          </cell>
          <cell r="J31">
            <v>400000</v>
          </cell>
          <cell r="K31" t="str">
            <v>Yes</v>
          </cell>
          <cell r="L31" t="str">
            <v xml:space="preserve">During training 15K Salary </v>
          </cell>
          <cell r="M31" t="str">
            <v>Btech CSE</v>
          </cell>
          <cell r="N31" t="str">
            <v>Fresher</v>
          </cell>
          <cell r="O31">
            <v>37349</v>
          </cell>
          <cell r="P31"/>
          <cell r="Q31">
            <v>46204</v>
          </cell>
          <cell r="R31"/>
          <cell r="S31">
            <v>8088698760</v>
          </cell>
          <cell r="T31" t="str">
            <v>Yaramothu Srinivasa Rao</v>
          </cell>
          <cell r="U31" t="str">
            <v>Unmarried</v>
          </cell>
          <cell r="V31" t="str">
            <v>himajayaramothu007@gmail.com</v>
          </cell>
          <cell r="W31"/>
          <cell r="X31"/>
          <cell r="Y31" t="str">
            <v>1-135A, Ramayapalem, Kondapi, Marripudi, Prakasam - 523270</v>
          </cell>
          <cell r="Z31" t="str">
            <v>Andhra Pradesh</v>
          </cell>
          <cell r="AA31"/>
          <cell r="AB31"/>
          <cell r="AC31"/>
          <cell r="AD31"/>
          <cell r="AE31"/>
          <cell r="AF31" t="str">
            <v>Union Bank Of India</v>
          </cell>
          <cell r="AG31" t="str">
            <v>263812010000686</v>
          </cell>
          <cell r="AH31" t="str">
            <v>UBIN0826383</v>
          </cell>
          <cell r="AI31">
            <v>15550100112298</v>
          </cell>
          <cell r="AJ31" t="str">
            <v>FDRL0001555</v>
          </cell>
          <cell r="AK31" t="str">
            <v>BIDPH0949F</v>
          </cell>
          <cell r="AL31" t="str">
            <v>5501 4399 4359</v>
          </cell>
          <cell r="AM31">
            <v>102273733458</v>
          </cell>
        </row>
        <row r="32">
          <cell r="B32" t="str">
            <v>AGS26031</v>
          </cell>
          <cell r="C32" t="str">
            <v>Y Raghavendar</v>
          </cell>
          <cell r="D32" t="str">
            <v>raghavendar.y@axioraglobalsolutions.com</v>
          </cell>
          <cell r="E32"/>
          <cell r="F32" t="str">
            <v>DevOps</v>
          </cell>
          <cell r="G32" t="str">
            <v>Software Engineer – II</v>
          </cell>
          <cell r="H32">
            <v>46113</v>
          </cell>
          <cell r="I32">
            <v>800000</v>
          </cell>
          <cell r="J32">
            <v>800000</v>
          </cell>
          <cell r="K32" t="str">
            <v>yes</v>
          </cell>
          <cell r="L32" t="str">
            <v xml:space="preserve">During training 45K Salary </v>
          </cell>
          <cell r="M32" t="str">
            <v>MCA</v>
          </cell>
          <cell r="N32"/>
          <cell r="O32">
            <v>31634</v>
          </cell>
          <cell r="P32"/>
          <cell r="Q32">
            <v>46204</v>
          </cell>
          <cell r="R32"/>
          <cell r="S32">
            <v>8374410958</v>
          </cell>
          <cell r="T32" t="str">
            <v>Y Manaiah</v>
          </cell>
          <cell r="U32" t="str">
            <v>Married</v>
          </cell>
          <cell r="V32" t="str">
            <v>yraghu5358@gmail.com</v>
          </cell>
          <cell r="W32" t="str">
            <v>AB+ve</v>
          </cell>
          <cell r="X32" t="str">
            <v>M</v>
          </cell>
          <cell r="Y32" t="str">
            <v>H.no 4269 M.I.G Phase-2,B.H.E.L HYD-32.</v>
          </cell>
          <cell r="Z32" t="str">
            <v>Telangana</v>
          </cell>
          <cell r="AA32"/>
          <cell r="AB32"/>
          <cell r="AC32"/>
          <cell r="AD32"/>
          <cell r="AE32"/>
          <cell r="AF32" t="str">
            <v>State Bank of India</v>
          </cell>
          <cell r="AG32" t="str">
            <v>20086309269</v>
          </cell>
          <cell r="AH32" t="str">
            <v>SBIN0013071</v>
          </cell>
          <cell r="AI32">
            <v>99980130961787</v>
          </cell>
          <cell r="AJ32" t="str">
            <v>FDRL0001555</v>
          </cell>
          <cell r="AK32" t="str">
            <v>CEZPR3828G</v>
          </cell>
          <cell r="AL32" t="str">
            <v>3362 6650 6339</v>
          </cell>
          <cell r="AM32">
            <v>101878246332</v>
          </cell>
        </row>
        <row r="33">
          <cell r="B33" t="str">
            <v>AGS26056</v>
          </cell>
          <cell r="C33" t="str">
            <v>Bommala Naveen Kumar</v>
          </cell>
          <cell r="D33" t="str">
            <v>naveenkumar.b@axioraglobalsolutions.com</v>
          </cell>
          <cell r="E33"/>
          <cell r="F33" t="str">
            <v>DevOps</v>
          </cell>
          <cell r="G33" t="str">
            <v>Software Engineer – II</v>
          </cell>
          <cell r="H33">
            <v>46113</v>
          </cell>
          <cell r="I33">
            <v>800000</v>
          </cell>
          <cell r="J33">
            <v>800000</v>
          </cell>
          <cell r="K33" t="str">
            <v>yes</v>
          </cell>
          <cell r="L33" t="str">
            <v xml:space="preserve">During training 45K Salary </v>
          </cell>
          <cell r="M33" t="str">
            <v xml:space="preserve">Bsc Computers </v>
          </cell>
          <cell r="N33" t="str">
            <v>Fresher</v>
          </cell>
          <cell r="O33">
            <v>36722</v>
          </cell>
          <cell r="P33"/>
          <cell r="Q33">
            <v>46204</v>
          </cell>
          <cell r="R33"/>
          <cell r="S33">
            <v>7995155414</v>
          </cell>
          <cell r="T33" t="str">
            <v>Bommala Purandhara</v>
          </cell>
          <cell r="U33" t="str">
            <v>Unmarried</v>
          </cell>
          <cell r="V33" t="str">
            <v>bommalanaveenkumar79@gmail.com</v>
          </cell>
          <cell r="W33" t="str">
            <v>O +ve</v>
          </cell>
          <cell r="X33" t="str">
            <v>M</v>
          </cell>
          <cell r="Y33" t="str">
            <v xml:space="preserve">1/126 Mallur, Chinnamandem, Annamaiah district, Mallur Village Andhra Pradesh 516214 </v>
          </cell>
          <cell r="Z33" t="str">
            <v>Andhra Pradesh</v>
          </cell>
          <cell r="AA33"/>
          <cell r="AB33"/>
          <cell r="AC33"/>
          <cell r="AD33"/>
          <cell r="AE33"/>
          <cell r="AF33" t="str">
            <v>State Bank of India</v>
          </cell>
          <cell r="AG33" t="str">
            <v>37097117593</v>
          </cell>
          <cell r="AH33" t="str">
            <v>SBIN0008833</v>
          </cell>
          <cell r="AI33" t="str">
            <v xml:space="preserve">Form sent </v>
          </cell>
          <cell r="AJ33"/>
          <cell r="AK33" t="str">
            <v>LNSPK5419B</v>
          </cell>
          <cell r="AL33" t="str">
            <v>6600 1971 9788</v>
          </cell>
          <cell r="AM33">
            <v>102318333072</v>
          </cell>
        </row>
        <row r="34">
          <cell r="B34" t="str">
            <v>AGS26057</v>
          </cell>
          <cell r="C34" t="str">
            <v xml:space="preserve">Odeti Srinivas </v>
          </cell>
          <cell r="D34" t="str">
            <v>srinivas.o@axioraglobalsolutions.com</v>
          </cell>
          <cell r="E34"/>
          <cell r="F34" t="str">
            <v>Java</v>
          </cell>
          <cell r="G34" t="str">
            <v xml:space="preserve">Software Engineer </v>
          </cell>
          <cell r="H34">
            <v>46113</v>
          </cell>
          <cell r="I34">
            <v>500000</v>
          </cell>
          <cell r="J34">
            <v>500000</v>
          </cell>
          <cell r="K34" t="str">
            <v>yes</v>
          </cell>
          <cell r="L34" t="str">
            <v xml:space="preserve">During training 30K Salary </v>
          </cell>
          <cell r="M34" t="str">
            <v xml:space="preserve">Msc CS </v>
          </cell>
          <cell r="N34" t="str">
            <v>Fresher</v>
          </cell>
          <cell r="O34">
            <v>36334</v>
          </cell>
          <cell r="P34"/>
          <cell r="Q34">
            <v>46204</v>
          </cell>
          <cell r="R34"/>
          <cell r="S34">
            <v>7842075783</v>
          </cell>
          <cell r="T34" t="str">
            <v>Odeti Thirupathi</v>
          </cell>
          <cell r="U34" t="str">
            <v>Unmarried</v>
          </cell>
          <cell r="V34" t="str">
            <v>srinivasodeti23@gmail.com</v>
          </cell>
          <cell r="W34" t="str">
            <v>A +ve</v>
          </cell>
          <cell r="X34" t="str">
            <v>M</v>
          </cell>
          <cell r="Y34"/>
          <cell r="Z34" t="str">
            <v>Telangana</v>
          </cell>
          <cell r="AA34"/>
          <cell r="AB34"/>
          <cell r="AC34"/>
          <cell r="AD34"/>
          <cell r="AE34"/>
          <cell r="AF34" t="str">
            <v>State Bank of India</v>
          </cell>
          <cell r="AG34" t="str">
            <v>62478238609</v>
          </cell>
          <cell r="AH34" t="str">
            <v>SBIN0020908</v>
          </cell>
          <cell r="AI34">
            <v>99980130961779</v>
          </cell>
          <cell r="AJ34" t="str">
            <v>FDRL0001555</v>
          </cell>
          <cell r="AK34" t="str">
            <v>AFGPO9116E</v>
          </cell>
          <cell r="AL34" t="str">
            <v>3252 8201 3954</v>
          </cell>
          <cell r="AM34">
            <v>102319543030</v>
          </cell>
        </row>
        <row r="35">
          <cell r="B35" t="str">
            <v>AGS26058</v>
          </cell>
          <cell r="C35" t="str">
            <v>Matha Sai Prasad</v>
          </cell>
          <cell r="D35" t="str">
            <v>saiprasad.m@axioraglobalsolutions.com</v>
          </cell>
          <cell r="E35"/>
          <cell r="F35" t="str">
            <v>QA</v>
          </cell>
          <cell r="G35" t="str">
            <v>Graduate Trainee Engineer</v>
          </cell>
          <cell r="H35">
            <v>46113</v>
          </cell>
          <cell r="I35">
            <v>400000</v>
          </cell>
          <cell r="J35">
            <v>400000</v>
          </cell>
          <cell r="K35"/>
          <cell r="L35" t="str">
            <v xml:space="preserve">During training 15K Salary </v>
          </cell>
          <cell r="M35"/>
          <cell r="N35" t="str">
            <v>3 Years</v>
          </cell>
          <cell r="O35">
            <v>34869</v>
          </cell>
          <cell r="P35"/>
          <cell r="Q35">
            <v>46204</v>
          </cell>
          <cell r="R35"/>
          <cell r="S35">
            <v>7013930180</v>
          </cell>
          <cell r="T35" t="str">
            <v>umamaheswara rao</v>
          </cell>
          <cell r="U35" t="str">
            <v>Married</v>
          </cell>
          <cell r="V35" t="str">
            <v>saiprasadmatha@gmail.com</v>
          </cell>
          <cell r="W35" t="str">
            <v>B+ve</v>
          </cell>
          <cell r="X35" t="str">
            <v>M</v>
          </cell>
          <cell r="Y35" t="str">
            <v>vizag ,pm palam ,madhurwada</v>
          </cell>
          <cell r="Z35" t="str">
            <v>Andhra Pradesh</v>
          </cell>
          <cell r="AA35"/>
          <cell r="AB35"/>
          <cell r="AC35"/>
          <cell r="AD35"/>
          <cell r="AE35"/>
          <cell r="AF35" t="str">
            <v>HDFC</v>
          </cell>
          <cell r="AG35" t="str">
            <v>50100405907963</v>
          </cell>
          <cell r="AH35" t="str">
            <v>HDFC0009817</v>
          </cell>
          <cell r="AI35">
            <v>23520100016377</v>
          </cell>
          <cell r="AJ35" t="str">
            <v>FDRL0002352</v>
          </cell>
          <cell r="AK35" t="str">
            <v>DQCPM5524E</v>
          </cell>
          <cell r="AL35" t="str">
            <v>6392 7672 4561</v>
          </cell>
          <cell r="AM35">
            <v>101662232168</v>
          </cell>
        </row>
        <row r="36">
          <cell r="B36" t="str">
            <v>AGS26059</v>
          </cell>
          <cell r="C36" t="str">
            <v>Chamakuri Raghuram</v>
          </cell>
          <cell r="D36" t="str">
            <v>chamakuri.raghuram@axioraglobalsolutions.com</v>
          </cell>
          <cell r="E36"/>
          <cell r="F36" t="str">
            <v>DevOps</v>
          </cell>
          <cell r="G36" t="str">
            <v>Graduate Trainee Engineer</v>
          </cell>
          <cell r="H36">
            <v>46113</v>
          </cell>
          <cell r="I36">
            <v>300000</v>
          </cell>
          <cell r="J36">
            <v>300000</v>
          </cell>
          <cell r="K36"/>
          <cell r="L36" t="str">
            <v xml:space="preserve">During training 15K Salary </v>
          </cell>
          <cell r="M36" t="str">
            <v>BTech</v>
          </cell>
          <cell r="N36" t="str">
            <v>Fresher</v>
          </cell>
          <cell r="O36">
            <v>37494</v>
          </cell>
          <cell r="P36"/>
          <cell r="Q36">
            <v>46204</v>
          </cell>
          <cell r="R36"/>
          <cell r="S36">
            <v>7893895343</v>
          </cell>
          <cell r="T36" t="str">
            <v>Chamakuri Ravindar</v>
          </cell>
          <cell r="U36" t="str">
            <v>Unmarried</v>
          </cell>
          <cell r="V36" t="str">
            <v>chamakuriraghuram@gmail.com</v>
          </cell>
          <cell r="W36" t="str">
            <v>B+ve</v>
          </cell>
          <cell r="X36" t="str">
            <v>M</v>
          </cell>
          <cell r="Y36" t="str">
            <v>12-111/2, Santhosh nagar Nakrekal, Nalgonda, Telangana, 508211</v>
          </cell>
          <cell r="Z36" t="str">
            <v>Telangana</v>
          </cell>
          <cell r="AA36"/>
          <cell r="AB36"/>
          <cell r="AC36"/>
          <cell r="AD36"/>
          <cell r="AE36"/>
          <cell r="AF36" t="str">
            <v>Federal bank</v>
          </cell>
          <cell r="AG36" t="str">
            <v>55560103507254</v>
          </cell>
          <cell r="AH36" t="str">
            <v>FDRL0005556</v>
          </cell>
          <cell r="AI36">
            <v>15550100112322</v>
          </cell>
          <cell r="AJ36" t="str">
            <v>FDRL0001555</v>
          </cell>
          <cell r="AK36" t="str">
            <v>EYLPR1865R</v>
          </cell>
          <cell r="AL36" t="str">
            <v>2880 7549 5446</v>
          </cell>
          <cell r="AM36">
            <v>102253787902</v>
          </cell>
        </row>
        <row r="37">
          <cell r="B37" t="str">
            <v>AGS26025</v>
          </cell>
          <cell r="C37" t="str">
            <v>Tumula Dinesh Kumar</v>
          </cell>
          <cell r="D37" t="str">
            <v>dinesh.t@axioraglobalsolutions.com</v>
          </cell>
          <cell r="E37"/>
          <cell r="F37" t="str">
            <v>DevOps</v>
          </cell>
          <cell r="G37" t="str">
            <v>Associate Software Engineer</v>
          </cell>
          <cell r="H37">
            <v>46113</v>
          </cell>
          <cell r="I37">
            <v>400000</v>
          </cell>
          <cell r="J37">
            <v>400000</v>
          </cell>
          <cell r="K37" t="str">
            <v>Yes</v>
          </cell>
          <cell r="L37" t="str">
            <v xml:space="preserve">During training 23K Salary </v>
          </cell>
          <cell r="M37" t="str">
            <v>Bsc BZC</v>
          </cell>
          <cell r="N37" t="str">
            <v>Fresher</v>
          </cell>
          <cell r="O37">
            <v>36321</v>
          </cell>
          <cell r="P37"/>
          <cell r="Q37">
            <v>46204</v>
          </cell>
          <cell r="R37"/>
          <cell r="S37">
            <v>7337248712</v>
          </cell>
          <cell r="T37" t="str">
            <v>T. Srinivas</v>
          </cell>
          <cell r="U37" t="str">
            <v>Unmarried</v>
          </cell>
          <cell r="V37" t="str">
            <v>thumuladinesh11@gmail.com</v>
          </cell>
          <cell r="W37" t="str">
            <v>B+ve</v>
          </cell>
          <cell r="X37" t="str">
            <v>M</v>
          </cell>
          <cell r="Y37" t="str">
            <v>10-4-303/1, Siddipet,Nasarpura 502103</v>
          </cell>
          <cell r="Z37" t="str">
            <v>Telangana</v>
          </cell>
          <cell r="AA37"/>
          <cell r="AB37"/>
          <cell r="AC37"/>
          <cell r="AD37"/>
          <cell r="AE37"/>
          <cell r="AF37" t="str">
            <v>Bank of Baroda</v>
          </cell>
          <cell r="AG37" t="str">
            <v>44610100006654</v>
          </cell>
          <cell r="AH37" t="str">
            <v>BARB0SIDDIP</v>
          </cell>
          <cell r="AI37" t="str">
            <v xml:space="preserve">Form sent </v>
          </cell>
          <cell r="AJ37"/>
          <cell r="AK37" t="str">
            <v>GKKPD2518A</v>
          </cell>
          <cell r="AL37" t="str">
            <v>7306 7306 6798</v>
          </cell>
          <cell r="AM37">
            <v>102321858303</v>
          </cell>
        </row>
        <row r="38">
          <cell r="B38" t="str">
            <v>AGS26060</v>
          </cell>
          <cell r="C38" t="str">
            <v>Thallada Venkatasagar</v>
          </cell>
          <cell r="D38" t="str">
            <v>venkatasagar.t@axioraglobalsolutions.com</v>
          </cell>
          <cell r="E38"/>
          <cell r="F38" t="str">
            <v>React</v>
          </cell>
          <cell r="G38" t="str">
            <v>Associate Software Engineer</v>
          </cell>
          <cell r="H38">
            <v>46114</v>
          </cell>
          <cell r="I38">
            <v>420000</v>
          </cell>
          <cell r="J38">
            <v>420000</v>
          </cell>
          <cell r="K38" t="str">
            <v>Yes</v>
          </cell>
          <cell r="L38" t="str">
            <v xml:space="preserve">During training 24K Salary </v>
          </cell>
          <cell r="M38" t="str">
            <v>Btech CSE Honors</v>
          </cell>
          <cell r="N38" t="str">
            <v>Fresher</v>
          </cell>
          <cell r="O38">
            <v>37586</v>
          </cell>
          <cell r="P38"/>
          <cell r="Q38">
            <v>46205</v>
          </cell>
          <cell r="R38"/>
          <cell r="S38">
            <v>9676410384</v>
          </cell>
          <cell r="T38" t="str">
            <v>T Prasad</v>
          </cell>
          <cell r="U38" t="str">
            <v>Unmarried</v>
          </cell>
          <cell r="V38" t="str">
            <v>venkatasagarthallada26@gmail.com</v>
          </cell>
          <cell r="W38" t="str">
            <v>B+ve</v>
          </cell>
          <cell r="X38" t="str">
            <v>M</v>
          </cell>
          <cell r="Y38" t="str">
            <v>1-8-3/62 SriRam Nagar Opposite Vaartha Office Near Warangal X - Road, 
Khammam, Telangana - 507003</v>
          </cell>
          <cell r="Z38" t="str">
            <v>Telangana</v>
          </cell>
          <cell r="AA38"/>
          <cell r="AB38"/>
          <cell r="AC38"/>
          <cell r="AD38"/>
          <cell r="AE38"/>
          <cell r="AF38" t="str">
            <v>Federal Bank</v>
          </cell>
          <cell r="AG38" t="str">
            <v>55560103427925</v>
          </cell>
          <cell r="AH38" t="str">
            <v>FDRL0005556</v>
          </cell>
          <cell r="AI38">
            <v>15550100112363</v>
          </cell>
          <cell r="AJ38" t="str">
            <v>FDRL0001555</v>
          </cell>
          <cell r="AK38" t="str">
            <v>CFIPV4147Q</v>
          </cell>
          <cell r="AL38">
            <v>356544320986</v>
          </cell>
          <cell r="AM38">
            <v>102241103345</v>
          </cell>
        </row>
        <row r="39">
          <cell r="B39" t="str">
            <v>AGS26061</v>
          </cell>
          <cell r="C39" t="str">
            <v>Indla Kiran Kumar</v>
          </cell>
          <cell r="D39" t="str">
            <v>kirankumar.indla@axioraglobalsolutions.com</v>
          </cell>
          <cell r="E39"/>
          <cell r="F39" t="str">
            <v>Fresher(Java)</v>
          </cell>
          <cell r="G39" t="str">
            <v>Software Engineer – I</v>
          </cell>
          <cell r="H39">
            <v>46146</v>
          </cell>
          <cell r="I39">
            <v>600000</v>
          </cell>
          <cell r="J39">
            <v>600000</v>
          </cell>
          <cell r="K39" t="str">
            <v>Yes</v>
          </cell>
          <cell r="L39" t="str">
            <v xml:space="preserve">During training 35K Salary </v>
          </cell>
          <cell r="M39" t="str">
            <v>B.Tech CSE</v>
          </cell>
          <cell r="N39" t="str">
            <v>Fresher</v>
          </cell>
          <cell r="O39">
            <v>37358</v>
          </cell>
          <cell r="P39"/>
          <cell r="Q39">
            <v>46238</v>
          </cell>
          <cell r="R39"/>
          <cell r="S39">
            <v>9640583526</v>
          </cell>
          <cell r="T39" t="str">
            <v>I.siddulu</v>
          </cell>
          <cell r="U39" t="str">
            <v>Unmarried</v>
          </cell>
          <cell r="V39" t="str">
            <v>indlakirankumar12@gmail.com</v>
          </cell>
          <cell r="W39" t="str">
            <v>A+</v>
          </cell>
          <cell r="X39" t="str">
            <v>M</v>
          </cell>
          <cell r="Y39" t="str">
            <v>2-31 narayanpuram,bhachannpet(mdl),janagoan</v>
          </cell>
          <cell r="Z39" t="str">
            <v>Telangana</v>
          </cell>
          <cell r="AA39"/>
          <cell r="AB39"/>
          <cell r="AC39"/>
          <cell r="AD39"/>
          <cell r="AE39"/>
          <cell r="AF39" t="str">
            <v>State Bank of India</v>
          </cell>
          <cell r="AG39" t="str">
            <v>41192227313</v>
          </cell>
          <cell r="AH39" t="str">
            <v>SBIN0020151</v>
          </cell>
          <cell r="AI39">
            <v>99980130961803</v>
          </cell>
          <cell r="AJ39" t="str">
            <v>FDRL0001555</v>
          </cell>
          <cell r="AK39" t="str">
            <v>ALBPI9341Q</v>
          </cell>
          <cell r="AL39">
            <v>205133738197</v>
          </cell>
          <cell r="AM39">
            <v>102330613460</v>
          </cell>
        </row>
        <row r="40">
          <cell r="B40" t="str">
            <v>AGS26062</v>
          </cell>
          <cell r="C40" t="str">
            <v>K Tharun Kumar Reddy</v>
          </cell>
          <cell r="D40" t="str">
            <v>tharunkumarreddy.k@axioraglobalsolutions.com</v>
          </cell>
          <cell r="E40"/>
          <cell r="F40" t="str">
            <v>Fresher(Python)</v>
          </cell>
          <cell r="G40" t="str">
            <v>Associate Software Engineer</v>
          </cell>
          <cell r="H40">
            <v>46146</v>
          </cell>
          <cell r="I40">
            <v>400000</v>
          </cell>
          <cell r="J40">
            <v>400000</v>
          </cell>
          <cell r="K40" t="str">
            <v>Yes</v>
          </cell>
          <cell r="L40" t="str">
            <v xml:space="preserve">During training 15K Salary </v>
          </cell>
          <cell r="M40" t="str">
            <v xml:space="preserve">B.Tech </v>
          </cell>
          <cell r="N40" t="str">
            <v>Fresher</v>
          </cell>
          <cell r="O40">
            <v>37423</v>
          </cell>
          <cell r="P40"/>
          <cell r="Q40">
            <v>46238</v>
          </cell>
          <cell r="R40"/>
          <cell r="S40">
            <v>6303818736</v>
          </cell>
          <cell r="T40" t="str">
            <v>K.Kiran kumar</v>
          </cell>
          <cell r="U40" t="str">
            <v>Unmarried</v>
          </cell>
          <cell r="V40" t="str">
            <v>Tharunreddy1702@gmail.com</v>
          </cell>
          <cell r="W40" t="str">
            <v>O +ve</v>
          </cell>
          <cell r="X40" t="str">
            <v>M</v>
          </cell>
          <cell r="Y40" t="str">
            <v>Pacharala,Rajoli,jogulamba ,gadwal</v>
          </cell>
          <cell r="Z40" t="str">
            <v>Telangana</v>
          </cell>
          <cell r="AA40"/>
          <cell r="AB40"/>
          <cell r="AC40"/>
          <cell r="AD40"/>
          <cell r="AE40"/>
          <cell r="AF40"/>
          <cell r="AG40"/>
          <cell r="AH40"/>
          <cell r="AI40" t="str">
            <v xml:space="preserve">Didn't fill use exisiting account </v>
          </cell>
          <cell r="AJ40"/>
          <cell r="AK40" t="str">
            <v>CTIPT7891K</v>
          </cell>
          <cell r="AL40">
            <v>720170298271</v>
          </cell>
          <cell r="AM40"/>
        </row>
        <row r="41">
          <cell r="B41" t="str">
            <v>AGS26063</v>
          </cell>
          <cell r="C41" t="str">
            <v>Bondada Jayanth</v>
          </cell>
          <cell r="D41" t="str">
            <v>jayanth.b@axioraglobalsolutions.com</v>
          </cell>
          <cell r="E41"/>
          <cell r="F41" t="str">
            <v>Fresher(Data Science &amp; AI)</v>
          </cell>
          <cell r="G41" t="str">
            <v>Associate Software Engineer</v>
          </cell>
          <cell r="H41">
            <v>46146</v>
          </cell>
          <cell r="I41">
            <v>400000</v>
          </cell>
          <cell r="J41">
            <v>400000</v>
          </cell>
          <cell r="K41" t="str">
            <v>Yes</v>
          </cell>
          <cell r="L41" t="str">
            <v xml:space="preserve">During training 23K Salary </v>
          </cell>
          <cell r="M41" t="str">
            <v xml:space="preserve">B.Tech </v>
          </cell>
          <cell r="N41" t="str">
            <v>Fresher</v>
          </cell>
          <cell r="O41">
            <v>37470</v>
          </cell>
          <cell r="P41"/>
          <cell r="Q41">
            <v>46238</v>
          </cell>
          <cell r="R41"/>
          <cell r="S41">
            <v>9492919854</v>
          </cell>
          <cell r="T41" t="str">
            <v>B.Chiranjeevi</v>
          </cell>
          <cell r="U41" t="str">
            <v>Unmarried</v>
          </cell>
          <cell r="V41" t="str">
            <v>jayanthbondada62@gmail.com</v>
          </cell>
          <cell r="W41" t="str">
            <v>A+</v>
          </cell>
          <cell r="X41" t="str">
            <v>M</v>
          </cell>
          <cell r="Y41" t="str">
            <v>krishnapuram,srungavarapukota mandal,vizianagaram dist</v>
          </cell>
          <cell r="Z41" t="str">
            <v>Andra Pradesh</v>
          </cell>
          <cell r="AA41"/>
          <cell r="AB41"/>
          <cell r="AC41"/>
          <cell r="AD41"/>
          <cell r="AE41"/>
          <cell r="AF41" t="str">
            <v>State Bank of India</v>
          </cell>
          <cell r="AG41" t="str">
            <v>37010697517</v>
          </cell>
          <cell r="AH41" t="str">
            <v>SBIN0021255</v>
          </cell>
          <cell r="AI41">
            <v>99980130961811</v>
          </cell>
          <cell r="AJ41" t="str">
            <v>FDRL0001555</v>
          </cell>
          <cell r="AK41" t="str">
            <v>CKQPJ5328G</v>
          </cell>
          <cell r="AL41">
            <v>550419070237</v>
          </cell>
          <cell r="AM41">
            <v>102182920805</v>
          </cell>
        </row>
        <row r="42">
          <cell r="B42" t="str">
            <v>AGS26065</v>
          </cell>
          <cell r="C42" t="str">
            <v>Boddupalli Krishna Prasad</v>
          </cell>
          <cell r="D42" t="str">
            <v>krishnaprasad.b@axioraglobalsolutions.com</v>
          </cell>
          <cell r="E42"/>
          <cell r="F42" t="str">
            <v xml:space="preserve">Fresher (Data Analyst) </v>
          </cell>
          <cell r="G42" t="str">
            <v>Software Engineer – I</v>
          </cell>
          <cell r="H42">
            <v>46146</v>
          </cell>
          <cell r="I42">
            <v>600000</v>
          </cell>
          <cell r="J42">
            <v>600000</v>
          </cell>
          <cell r="K42" t="str">
            <v>Yes</v>
          </cell>
          <cell r="L42" t="str">
            <v xml:space="preserve">During training 30K Salary </v>
          </cell>
          <cell r="M42" t="str">
            <v>B.Tech</v>
          </cell>
          <cell r="N42" t="str">
            <v>Fresher</v>
          </cell>
          <cell r="O42">
            <v>37332</v>
          </cell>
          <cell r="P42"/>
          <cell r="Q42">
            <v>46238</v>
          </cell>
          <cell r="R42"/>
          <cell r="S42">
            <v>6302480399</v>
          </cell>
          <cell r="T42" t="str">
            <v>B.srinu</v>
          </cell>
          <cell r="U42" t="str">
            <v>Unmarried</v>
          </cell>
          <cell r="V42" t="str">
            <v>krishnaprasadboddupalli15@gmail.com</v>
          </cell>
          <cell r="W42" t="str">
            <v>A+</v>
          </cell>
          <cell r="X42" t="str">
            <v>M</v>
          </cell>
          <cell r="Y42" t="str">
            <v>1-266/5,kattangur,kattangur,nalgonda,telangana,508205</v>
          </cell>
          <cell r="Z42" t="str">
            <v>Telangana</v>
          </cell>
          <cell r="AA42"/>
          <cell r="AB42"/>
          <cell r="AC42"/>
          <cell r="AD42"/>
          <cell r="AE42"/>
          <cell r="AF42" t="str">
            <v>Telangana grameena bank</v>
          </cell>
          <cell r="AG42" t="str">
            <v>73148956828</v>
          </cell>
          <cell r="AH42" t="str">
            <v>TGRB0006255</v>
          </cell>
          <cell r="AI42">
            <v>15550100112413</v>
          </cell>
          <cell r="AJ42" t="str">
            <v>FDRL0001555</v>
          </cell>
          <cell r="AK42" t="str">
            <v>EDCPB7974K</v>
          </cell>
          <cell r="AL42">
            <v>824152828069</v>
          </cell>
          <cell r="AM42">
            <v>102254221664</v>
          </cell>
        </row>
        <row r="43">
          <cell r="B43" t="str">
            <v>AGS26066</v>
          </cell>
          <cell r="C43" t="str">
            <v>Mohammad Sulthan</v>
          </cell>
          <cell r="D43" t="str">
            <v>mohammad.sulthan@axioraglobalsolutions.com</v>
          </cell>
          <cell r="E43"/>
          <cell r="F43" t="str">
            <v>Experienced (DevOps)</v>
          </cell>
          <cell r="G43" t="str">
            <v>Software Engineer – II</v>
          </cell>
          <cell r="H43">
            <v>46146</v>
          </cell>
          <cell r="I43">
            <v>800000</v>
          </cell>
          <cell r="J43">
            <v>800000</v>
          </cell>
          <cell r="K43" t="str">
            <v>Yes</v>
          </cell>
          <cell r="L43" t="str">
            <v xml:space="preserve">During training 45K Salary </v>
          </cell>
          <cell r="M43" t="str">
            <v>M.B.A</v>
          </cell>
          <cell r="N43" t="str">
            <v>2Years</v>
          </cell>
          <cell r="O43">
            <v>34982</v>
          </cell>
          <cell r="P43"/>
          <cell r="Q43">
            <v>46238</v>
          </cell>
          <cell r="R43"/>
          <cell r="S43">
            <v>9866346498</v>
          </cell>
          <cell r="T43" t="str">
            <v>Mohammad Hyder</v>
          </cell>
          <cell r="U43" t="str">
            <v>Married</v>
          </cell>
          <cell r="V43" t="str">
            <v>Mohammadsulthanali786@gmail.com</v>
          </cell>
          <cell r="W43" t="str">
            <v>O +ve</v>
          </cell>
          <cell r="X43" t="str">
            <v>M</v>
          </cell>
          <cell r="Y43" t="str">
            <v>Raghunadhapalem,Shivaygudem,Puvvada Uday Nagar Falt no 635 ,Khammam</v>
          </cell>
          <cell r="Z43" t="str">
            <v>Telangana</v>
          </cell>
          <cell r="AA43"/>
          <cell r="AB43"/>
          <cell r="AC43"/>
          <cell r="AD43"/>
          <cell r="AE43"/>
          <cell r="AF43" t="str">
            <v>State Bank of India</v>
          </cell>
          <cell r="AG43" t="str">
            <v>62412658053</v>
          </cell>
          <cell r="AH43" t="str">
            <v>SBIN0020947</v>
          </cell>
          <cell r="AI43" t="str">
            <v>Yet to receive</v>
          </cell>
          <cell r="AJ43"/>
          <cell r="AK43" t="str">
            <v>KEYPS8303J</v>
          </cell>
          <cell r="AL43">
            <v>933450491434</v>
          </cell>
          <cell r="AM43">
            <v>102012942344</v>
          </cell>
        </row>
        <row r="44">
          <cell r="B44" t="str">
            <v>AGS26067</v>
          </cell>
          <cell r="C44" t="str">
            <v>Md Imran Khan</v>
          </cell>
          <cell r="D44" t="str">
            <v>imran.khan@axioraglobalsolutions.com</v>
          </cell>
          <cell r="E44"/>
          <cell r="F44" t="str">
            <v>Fresher(Power BI)</v>
          </cell>
          <cell r="G44" t="str">
            <v>Associate Software Engineer</v>
          </cell>
          <cell r="H44">
            <v>46146</v>
          </cell>
          <cell r="I44">
            <v>400000</v>
          </cell>
          <cell r="J44">
            <v>400000</v>
          </cell>
          <cell r="K44" t="str">
            <v>Yes</v>
          </cell>
          <cell r="L44" t="str">
            <v xml:space="preserve">During training 15K Salary </v>
          </cell>
          <cell r="M44" t="str">
            <v>B.Tech CSE</v>
          </cell>
          <cell r="N44" t="str">
            <v>Fresher</v>
          </cell>
          <cell r="O44">
            <v>37466</v>
          </cell>
          <cell r="P44"/>
          <cell r="Q44">
            <v>46238</v>
          </cell>
          <cell r="R44"/>
          <cell r="S44">
            <v>9491050486</v>
          </cell>
          <cell r="T44" t="str">
            <v>Md Osman Ali Khan</v>
          </cell>
          <cell r="U44" t="str">
            <v>Unmarried</v>
          </cell>
          <cell r="V44" t="str">
            <v>khanimran73383@gmail.com</v>
          </cell>
          <cell r="W44" t="str">
            <v>O +ve</v>
          </cell>
          <cell r="X44" t="str">
            <v>M</v>
          </cell>
          <cell r="Y44" t="str">
            <v>1-64 Gunjaloor,Chivvemla Mandal, Suryapet.</v>
          </cell>
          <cell r="Z44" t="str">
            <v>Telangana</v>
          </cell>
          <cell r="AA44"/>
          <cell r="AB44"/>
          <cell r="AC44"/>
          <cell r="AD44"/>
          <cell r="AE44"/>
          <cell r="AF44" t="str">
            <v>State Bank of India</v>
          </cell>
          <cell r="AG44" t="str">
            <v>40592463089</v>
          </cell>
          <cell r="AH44" t="str">
            <v>SBIN0020248</v>
          </cell>
          <cell r="AI44" t="str">
            <v>Yet to receive, filled the doc in office</v>
          </cell>
          <cell r="AJ44"/>
          <cell r="AK44" t="str">
            <v>GTNPM3909Q</v>
          </cell>
          <cell r="AL44">
            <v>420228777779</v>
          </cell>
          <cell r="AM44">
            <v>102284526119</v>
          </cell>
        </row>
        <row r="45">
          <cell r="B45" t="str">
            <v>AGS26068</v>
          </cell>
          <cell r="C45" t="str">
            <v>Narmeta Srujanreddy</v>
          </cell>
          <cell r="D45" t="str">
            <v>srujanreddy.narmeta@axioraglobalsolutions.com</v>
          </cell>
          <cell r="E45"/>
          <cell r="F45" t="str">
            <v>Fresher(Power BI)</v>
          </cell>
          <cell r="G45" t="str">
            <v>Associate Software Engineer</v>
          </cell>
          <cell r="H45">
            <v>46146</v>
          </cell>
          <cell r="I45">
            <v>400000</v>
          </cell>
          <cell r="J45">
            <v>400000</v>
          </cell>
          <cell r="K45" t="str">
            <v>Yes</v>
          </cell>
          <cell r="L45" t="str">
            <v xml:space="preserve">During training 15K Salary </v>
          </cell>
          <cell r="M45" t="str">
            <v>B.Tech CSE</v>
          </cell>
          <cell r="N45" t="str">
            <v>Fresher</v>
          </cell>
          <cell r="O45">
            <v>37276</v>
          </cell>
          <cell r="P45"/>
          <cell r="Q45">
            <v>46238</v>
          </cell>
          <cell r="R45"/>
          <cell r="S45">
            <v>9949817286</v>
          </cell>
          <cell r="T45" t="str">
            <v>Narmeta MallaReddy</v>
          </cell>
          <cell r="U45" t="str">
            <v>Unmarried</v>
          </cell>
          <cell r="V45" t="str">
            <v>Srujanreddy476@gmail.com</v>
          </cell>
          <cell r="W45" t="str">
            <v>A+</v>
          </cell>
          <cell r="X45" t="str">
            <v>M</v>
          </cell>
          <cell r="Y45" t="str">
            <v>18-16-193/3g Srinagar Colony, siddipet</v>
          </cell>
          <cell r="Z45" t="str">
            <v>Telangana</v>
          </cell>
          <cell r="AA45"/>
          <cell r="AB45"/>
          <cell r="AC45"/>
          <cell r="AD45"/>
          <cell r="AE45"/>
          <cell r="AF45" t="str">
            <v>Punjab National Bank</v>
          </cell>
          <cell r="AG45" t="str">
            <v>1814100100000327</v>
          </cell>
          <cell r="AH45" t="str">
            <v>PUNB0181410</v>
          </cell>
          <cell r="AI45" t="str">
            <v xml:space="preserve">Form sent </v>
          </cell>
          <cell r="AJ45"/>
          <cell r="AK45" t="str">
            <v>GBJPR7131H</v>
          </cell>
          <cell r="AL45">
            <v>263691427681</v>
          </cell>
          <cell r="AM45">
            <v>102273842210</v>
          </cell>
        </row>
        <row r="46">
          <cell r="B46" t="str">
            <v>AGS26069</v>
          </cell>
          <cell r="C46" t="str">
            <v>Neetapalli Sreekanth Reddy</v>
          </cell>
          <cell r="D46" t="str">
            <v>sreekanth.neetapalli@axioraglobalsolutions.com</v>
          </cell>
          <cell r="E46"/>
          <cell r="F46" t="str">
            <v>DevOps</v>
          </cell>
          <cell r="G46" t="str">
            <v>Associate Software Engineer</v>
          </cell>
          <cell r="H46">
            <v>46146</v>
          </cell>
          <cell r="I46">
            <v>800000</v>
          </cell>
          <cell r="J46">
            <v>800000</v>
          </cell>
          <cell r="K46" t="str">
            <v>Yes</v>
          </cell>
          <cell r="L46" t="str">
            <v xml:space="preserve">During training 45K Salary </v>
          </cell>
          <cell r="M46" t="str">
            <v>M.B.A</v>
          </cell>
          <cell r="N46" t="str">
            <v>Fresher</v>
          </cell>
          <cell r="O46">
            <v>30919</v>
          </cell>
          <cell r="P46"/>
          <cell r="Q46">
            <v>46238</v>
          </cell>
          <cell r="R46"/>
          <cell r="S46">
            <v>7989883488</v>
          </cell>
          <cell r="T46" t="str">
            <v>N.V.Subba Reddy</v>
          </cell>
          <cell r="U46" t="str">
            <v>Married</v>
          </cell>
          <cell r="V46" t="str">
            <v>nsr.sreekanth@gmail.com</v>
          </cell>
          <cell r="W46" t="str">
            <v>A+</v>
          </cell>
          <cell r="X46" t="str">
            <v>M</v>
          </cell>
          <cell r="Y46" t="str">
            <v>Mittamadi 2nd Street,Near Ravindra High School,Produttur, Kadapa</v>
          </cell>
          <cell r="Z46" t="str">
            <v>Andra Pradesh</v>
          </cell>
          <cell r="AA46"/>
          <cell r="AB46"/>
          <cell r="AC46"/>
          <cell r="AD46"/>
          <cell r="AE46"/>
          <cell r="AF46" t="str">
            <v>Federal Bank</v>
          </cell>
          <cell r="AG46" t="str">
            <v>55560103591175</v>
          </cell>
          <cell r="AH46" t="str">
            <v>FDRL 0005556</v>
          </cell>
          <cell r="AI46" t="str">
            <v xml:space="preserve">Form sent </v>
          </cell>
          <cell r="AJ46"/>
          <cell r="AK46" t="str">
            <v>AGXPN7471P</v>
          </cell>
          <cell r="AL46" t="str">
            <v>3400-0530-1827</v>
          </cell>
          <cell r="AM46">
            <v>101487108722</v>
          </cell>
        </row>
        <row r="47">
          <cell r="B47" t="str">
            <v>AGS26070</v>
          </cell>
          <cell r="C47" t="str">
            <v xml:space="preserve">Melath Ashwin </v>
          </cell>
          <cell r="D47" t="str">
            <v>ashwin.melath@axioraglobalsolutions.com</v>
          </cell>
          <cell r="E47"/>
          <cell r="F47" t="str">
            <v>Data analyst</v>
          </cell>
          <cell r="G47" t="str">
            <v>Software Engineer – I</v>
          </cell>
          <cell r="H47">
            <v>46146</v>
          </cell>
          <cell r="I47">
            <v>600000</v>
          </cell>
          <cell r="J47">
            <v>600000</v>
          </cell>
          <cell r="K47" t="str">
            <v>Yes</v>
          </cell>
          <cell r="L47" t="str">
            <v xml:space="preserve">During training 35K Salary </v>
          </cell>
          <cell r="M47" t="str">
            <v>B.Tech CSE</v>
          </cell>
          <cell r="N47" t="str">
            <v>Fresher</v>
          </cell>
          <cell r="O47">
            <v>37115</v>
          </cell>
          <cell r="P47"/>
          <cell r="Q47">
            <v>46238</v>
          </cell>
          <cell r="R47"/>
          <cell r="S47">
            <v>9526400274</v>
          </cell>
          <cell r="T47" t="str">
            <v>P.Gopalan Nair</v>
          </cell>
          <cell r="U47" t="str">
            <v>Unmarreid</v>
          </cell>
          <cell r="V47" t="str">
            <v>ashwin2001m@gmail.com</v>
          </cell>
          <cell r="W47" t="str">
            <v>o+</v>
          </cell>
          <cell r="X47" t="str">
            <v>M</v>
          </cell>
          <cell r="Y47" t="str">
            <v>K K Nivas Paramb Poinachi 671541 KASARAGOD</v>
          </cell>
          <cell r="Z47" t="str">
            <v>Kerala</v>
          </cell>
          <cell r="AA47"/>
          <cell r="AB47"/>
          <cell r="AC47"/>
          <cell r="AD47"/>
          <cell r="AE47"/>
          <cell r="AF47"/>
          <cell r="AG47"/>
          <cell r="AH47"/>
          <cell r="AI47">
            <v>99980130963841</v>
          </cell>
          <cell r="AJ47" t="str">
            <v>FDRL0001555</v>
          </cell>
          <cell r="AK47" t="str">
            <v>GJFPM5474Q</v>
          </cell>
          <cell r="AL47">
            <v>297740810663</v>
          </cell>
          <cell r="AM47">
            <v>102330619749</v>
          </cell>
        </row>
        <row r="48">
          <cell r="B48" t="str">
            <v>AGS26072</v>
          </cell>
          <cell r="C48" t="str">
            <v>Mohd Sameer</v>
          </cell>
          <cell r="D48" t="str">
            <v>mohammad.sameer@axioraglobalsolutions.com</v>
          </cell>
          <cell r="E48"/>
          <cell r="F48" t="str">
            <v>Power Bi</v>
          </cell>
          <cell r="G48" t="str">
            <v>Software Engineer – I</v>
          </cell>
          <cell r="H48">
            <v>46146</v>
          </cell>
          <cell r="I48">
            <v>400000</v>
          </cell>
          <cell r="J48">
            <v>400000</v>
          </cell>
          <cell r="K48" t="str">
            <v>Yes</v>
          </cell>
          <cell r="L48" t="str">
            <v xml:space="preserve">During training 15K Salary </v>
          </cell>
          <cell r="M48" t="str">
            <v xml:space="preserve">B.com </v>
          </cell>
          <cell r="N48" t="str">
            <v>Fresher</v>
          </cell>
          <cell r="O48">
            <v>37003</v>
          </cell>
          <cell r="P48"/>
          <cell r="Q48">
            <v>46238</v>
          </cell>
          <cell r="R48"/>
          <cell r="S48">
            <v>7095949977</v>
          </cell>
          <cell r="T48" t="str">
            <v>Mohd Azeem</v>
          </cell>
          <cell r="U48" t="str">
            <v>Unmarreid</v>
          </cell>
          <cell r="V48" t="str">
            <v>Sammermohd7095@gmial.com</v>
          </cell>
          <cell r="W48" t="str">
            <v>o+</v>
          </cell>
          <cell r="X48" t="str">
            <v>M</v>
          </cell>
          <cell r="Y48" t="str">
            <v>H.no- 16-1-24/E/22 Farah colony ,Saidabad</v>
          </cell>
          <cell r="Z48" t="str">
            <v>Telangana</v>
          </cell>
          <cell r="AA48"/>
          <cell r="AB48"/>
          <cell r="AC48"/>
          <cell r="AD48"/>
          <cell r="AE48"/>
          <cell r="AF48" t="str">
            <v>Canara Bank</v>
          </cell>
          <cell r="AG48" t="str">
            <v>2818101010456</v>
          </cell>
          <cell r="AH48" t="str">
            <v>CNRB0002818</v>
          </cell>
          <cell r="AI48">
            <v>15550100112397</v>
          </cell>
          <cell r="AJ48" t="str">
            <v>FDRL0001555</v>
          </cell>
          <cell r="AK48" t="str">
            <v>GHNPM3429P</v>
          </cell>
          <cell r="AL48">
            <v>532498876230</v>
          </cell>
          <cell r="AM48">
            <v>101728087496</v>
          </cell>
        </row>
        <row r="49">
          <cell r="B49" t="str">
            <v>AGS26073</v>
          </cell>
          <cell r="C49" t="str">
            <v>Boya Indrasena Naidu</v>
          </cell>
          <cell r="D49" t="str">
            <v>indrasenanaidu.b@axioraglobalsolutions.com</v>
          </cell>
          <cell r="E49"/>
          <cell r="F49"/>
          <cell r="G49" t="str">
            <v>Associate Software Engineer</v>
          </cell>
          <cell r="H49">
            <v>46146</v>
          </cell>
          <cell r="I49">
            <v>400000</v>
          </cell>
          <cell r="J49">
            <v>400000</v>
          </cell>
          <cell r="K49" t="str">
            <v>Yes</v>
          </cell>
          <cell r="L49" t="str">
            <v xml:space="preserve">During training 15K Salary </v>
          </cell>
          <cell r="M49" t="str">
            <v>BBA</v>
          </cell>
          <cell r="N49" t="str">
            <v>Fresher</v>
          </cell>
          <cell r="O49">
            <v>37321</v>
          </cell>
          <cell r="P49"/>
          <cell r="Q49">
            <v>46238</v>
          </cell>
          <cell r="R49"/>
          <cell r="S49">
            <v>9603525984</v>
          </cell>
          <cell r="T49" t="str">
            <v>B.Nagaraju</v>
          </cell>
          <cell r="U49" t="str">
            <v>Unmarried</v>
          </cell>
          <cell r="V49" t="str">
            <v>indrabilla63@gmail.com</v>
          </cell>
          <cell r="W49" t="str">
            <v>B-</v>
          </cell>
          <cell r="X49" t="str">
            <v>M</v>
          </cell>
          <cell r="Y49" t="str">
            <v>Konkala,Wadapally,Jogulamba,Gadwal</v>
          </cell>
          <cell r="Z49" t="str">
            <v>Telangana</v>
          </cell>
          <cell r="AA49"/>
          <cell r="AB49"/>
          <cell r="AC49"/>
          <cell r="AD49"/>
          <cell r="AE49"/>
          <cell r="AF49" t="str">
            <v>Union Bank</v>
          </cell>
          <cell r="AG49" t="str">
            <v>225210100082348</v>
          </cell>
          <cell r="AH49" t="str">
            <v>UNIN0822523</v>
          </cell>
          <cell r="AI49" t="str">
            <v xml:space="preserve">Didn't fill use exisiting account </v>
          </cell>
          <cell r="AJ49"/>
          <cell r="AK49" t="str">
            <v>BRLPN5198P</v>
          </cell>
          <cell r="AL49">
            <v>587405187769</v>
          </cell>
          <cell r="AM49">
            <v>102295219726</v>
          </cell>
        </row>
        <row r="50">
          <cell r="B50" t="str">
            <v>AGS26074</v>
          </cell>
          <cell r="C50" t="str">
            <v>Manikonda Nagasurya Koundinya</v>
          </cell>
          <cell r="D50"/>
          <cell r="E50"/>
          <cell r="F50"/>
          <cell r="G50"/>
          <cell r="H50">
            <v>46113</v>
          </cell>
          <cell r="I50">
            <v>400000</v>
          </cell>
          <cell r="J50"/>
          <cell r="K50" t="str">
            <v>Yes</v>
          </cell>
          <cell r="L50">
            <v>33333</v>
          </cell>
          <cell r="M50"/>
          <cell r="N50"/>
          <cell r="O50"/>
          <cell r="P50"/>
          <cell r="Q50">
            <v>46238</v>
          </cell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 t="str">
            <v>Indian Overseas Bank</v>
          </cell>
          <cell r="AG50" t="str">
            <v>180701000002091</v>
          </cell>
          <cell r="AH50" t="str">
            <v>IOBA0001807</v>
          </cell>
          <cell r="AI50" t="str">
            <v>Use existing bank details</v>
          </cell>
          <cell r="AJ50"/>
          <cell r="AK50"/>
          <cell r="AL50"/>
          <cell r="AM50"/>
        </row>
        <row r="51">
          <cell r="B51" t="str">
            <v>AGS26075</v>
          </cell>
          <cell r="C51" t="str">
            <v xml:space="preserve">KONDAPALLY AKHIL </v>
          </cell>
          <cell r="D51"/>
          <cell r="E51"/>
          <cell r="F51"/>
          <cell r="G51"/>
          <cell r="H51"/>
          <cell r="I51">
            <v>1200000</v>
          </cell>
          <cell r="J51"/>
          <cell r="K51" t="str">
            <v>Yes</v>
          </cell>
          <cell r="L51">
            <v>100000</v>
          </cell>
          <cell r="M51"/>
          <cell r="N51"/>
          <cell r="O51"/>
          <cell r="P51"/>
          <cell r="Q51">
            <v>46238</v>
          </cell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 t="str">
            <v>State Bank of India</v>
          </cell>
          <cell r="AG51" t="str">
            <v>38613963272</v>
          </cell>
          <cell r="AH51" t="str">
            <v>SBIN0010328</v>
          </cell>
          <cell r="AI51" t="str">
            <v>Use existing bank details</v>
          </cell>
          <cell r="AJ51"/>
          <cell r="AK51"/>
          <cell r="AL51"/>
          <cell r="AM51"/>
        </row>
        <row r="52">
          <cell r="B52" t="str">
            <v>AGS26076</v>
          </cell>
          <cell r="C52" t="str">
            <v>Shaik Arif</v>
          </cell>
          <cell r="D52"/>
          <cell r="E52"/>
          <cell r="F52"/>
          <cell r="G52" t="str">
            <v>Associate Software Engineer</v>
          </cell>
          <cell r="H52">
            <v>46148</v>
          </cell>
          <cell r="I52">
            <v>400000</v>
          </cell>
          <cell r="J52">
            <v>400000</v>
          </cell>
          <cell r="K52" t="str">
            <v>Yes</v>
          </cell>
          <cell r="L52" t="str">
            <v xml:space="preserve">During training 15K Salary </v>
          </cell>
          <cell r="M52" t="str">
            <v>B.Tech ECE</v>
          </cell>
          <cell r="N52" t="str">
            <v>Fresher</v>
          </cell>
          <cell r="O52">
            <v>37593</v>
          </cell>
          <cell r="P52"/>
          <cell r="Q52">
            <v>46240</v>
          </cell>
          <cell r="R52"/>
          <cell r="S52">
            <v>6302145268</v>
          </cell>
          <cell r="T52" t="str">
            <v>Sabjan Shaik</v>
          </cell>
          <cell r="U52" t="str">
            <v>Unmarried</v>
          </cell>
          <cell r="V52" t="str">
            <v>Arifshaik264@gmail.com</v>
          </cell>
          <cell r="W52" t="str">
            <v>O+</v>
          </cell>
          <cell r="X52" t="str">
            <v>M</v>
          </cell>
          <cell r="Y52" t="str">
            <v>2-25/2,Rudraram,Nandhighama,Ntr District</v>
          </cell>
          <cell r="Z52" t="str">
            <v>Andra Pradesh</v>
          </cell>
          <cell r="AA52"/>
          <cell r="AB52"/>
          <cell r="AC52"/>
          <cell r="AD52"/>
          <cell r="AE52"/>
          <cell r="AF52" t="str">
            <v>Federal Bank</v>
          </cell>
          <cell r="AG52" t="str">
            <v>55560103492226</v>
          </cell>
          <cell r="AH52" t="str">
            <v>FDRL0005556</v>
          </cell>
          <cell r="AI52" t="str">
            <v xml:space="preserve">Form sent </v>
          </cell>
          <cell r="AJ52"/>
          <cell r="AK52" t="str">
            <v>EPVPA4626G</v>
          </cell>
          <cell r="AL52">
            <v>343852849870</v>
          </cell>
          <cell r="AM52">
            <v>102076060789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Consultant"/>
      <sheetName val="Tech Team"/>
      <sheetName val="HIT"/>
      <sheetName val="Trainers"/>
      <sheetName val="LOP"/>
      <sheetName val="Salaries"/>
      <sheetName val="Rental Payment"/>
      <sheetName val="Salaries_30042026"/>
      <sheetName val="Payments_30042026"/>
      <sheetName val="Paymen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AGS26006</v>
          </cell>
          <cell r="B2" t="str">
            <v>Abhijeet Vijaysingh Pardeshi</v>
          </cell>
          <cell r="C2">
            <v>46062</v>
          </cell>
          <cell r="D2">
            <v>33909.048719999999</v>
          </cell>
          <cell r="E2">
            <v>41280100007853</v>
          </cell>
          <cell r="F2" t="str">
            <v>BARB0WALUJX</v>
          </cell>
          <cell r="G2" t="str">
            <v>BANK OF BARODA</v>
          </cell>
        </row>
        <row r="3">
          <cell r="A3" t="str">
            <v>AGS26038</v>
          </cell>
          <cell r="B3" t="str">
            <v>Ainala Saiesha</v>
          </cell>
          <cell r="C3">
            <v>46086</v>
          </cell>
          <cell r="D3">
            <v>83975</v>
          </cell>
          <cell r="E3">
            <v>99980130961795</v>
          </cell>
          <cell r="F3" t="str">
            <v>FDRL0001555</v>
          </cell>
          <cell r="G3" t="str">
            <v>Federal Bank</v>
          </cell>
        </row>
        <row r="4">
          <cell r="A4" t="str">
            <v>AGS26004</v>
          </cell>
          <cell r="B4" t="str">
            <v>Ande Sharath Chandra</v>
          </cell>
          <cell r="C4">
            <v>46055</v>
          </cell>
          <cell r="D4">
            <v>79800</v>
          </cell>
          <cell r="E4">
            <v>50100677371816</v>
          </cell>
          <cell r="F4" t="str">
            <v>HDFC0001042</v>
          </cell>
          <cell r="G4" t="str">
            <v>HDFC Bank</v>
          </cell>
        </row>
        <row r="5">
          <cell r="A5" t="str">
            <v>AGS26005</v>
          </cell>
          <cell r="B5" t="str">
            <v>Tanakala Janardhan</v>
          </cell>
          <cell r="C5">
            <v>46055</v>
          </cell>
          <cell r="D5">
            <v>69800</v>
          </cell>
          <cell r="E5">
            <v>99980130961985</v>
          </cell>
          <cell r="F5" t="str">
            <v>FDRL0001555</v>
          </cell>
          <cell r="G5" t="str">
            <v>Federal Bank</v>
          </cell>
        </row>
        <row r="6">
          <cell r="A6" t="str">
            <v>AGS26024</v>
          </cell>
          <cell r="B6" t="str">
            <v>Priya Darshini Pola</v>
          </cell>
          <cell r="C6">
            <v>46072</v>
          </cell>
          <cell r="D6">
            <v>79800</v>
          </cell>
          <cell r="E6">
            <v>99980130963916</v>
          </cell>
          <cell r="F6" t="str">
            <v>FDRL0001555</v>
          </cell>
          <cell r="G6" t="str">
            <v>Federal Bank</v>
          </cell>
        </row>
        <row r="7">
          <cell r="A7" t="str">
            <v>AGS26039</v>
          </cell>
          <cell r="B7" t="str">
            <v>Esther Deva Priya</v>
          </cell>
          <cell r="C7">
            <v>46092</v>
          </cell>
          <cell r="D7">
            <v>19133.333333333332</v>
          </cell>
          <cell r="E7">
            <v>99980130950434</v>
          </cell>
          <cell r="F7" t="str">
            <v>FDRL0001555</v>
          </cell>
          <cell r="G7" t="str">
            <v>Federal Bank</v>
          </cell>
        </row>
        <row r="8">
          <cell r="A8" t="str">
            <v>AGS26011</v>
          </cell>
          <cell r="B8" t="str">
            <v>Siddula Hemasai</v>
          </cell>
          <cell r="C8">
            <v>46083</v>
          </cell>
          <cell r="D8">
            <v>38713.825209235001</v>
          </cell>
          <cell r="E8">
            <v>3327101004003</v>
          </cell>
          <cell r="F8" t="str">
            <v>CNRB0003327</v>
          </cell>
          <cell r="G8" t="str">
            <v>Canara Bank</v>
          </cell>
        </row>
        <row r="9">
          <cell r="A9" t="str">
            <v>AGS26018</v>
          </cell>
          <cell r="B9" t="str">
            <v>Settybathini Sathish</v>
          </cell>
          <cell r="C9">
            <v>46083</v>
          </cell>
          <cell r="D9">
            <v>40117.750216450004</v>
          </cell>
          <cell r="E9">
            <v>50100595290241</v>
          </cell>
          <cell r="F9" t="str">
            <v>HDFC0000075</v>
          </cell>
          <cell r="G9" t="str">
            <v>HDFC Bank</v>
          </cell>
        </row>
        <row r="10">
          <cell r="A10" t="str">
            <v>AGS26010</v>
          </cell>
          <cell r="B10" t="str">
            <v>Vemula Varshith</v>
          </cell>
          <cell r="C10">
            <v>46083</v>
          </cell>
          <cell r="D10">
            <v>54757.0002886</v>
          </cell>
          <cell r="E10">
            <v>99980130961993</v>
          </cell>
          <cell r="F10" t="str">
            <v>FDRL0001555</v>
          </cell>
          <cell r="G10" t="str">
            <v>Federal Bank</v>
          </cell>
        </row>
        <row r="11">
          <cell r="A11" t="str">
            <v>AGS26019</v>
          </cell>
          <cell r="B11" t="str">
            <v>Nelapatla Srinivas</v>
          </cell>
          <cell r="C11">
            <v>46083</v>
          </cell>
          <cell r="D11">
            <v>19486.85066263</v>
          </cell>
          <cell r="E11">
            <v>99980130961951</v>
          </cell>
          <cell r="F11" t="str">
            <v>FDRL0001555</v>
          </cell>
          <cell r="G11" t="str">
            <v>Federal Bank</v>
          </cell>
        </row>
        <row r="12">
          <cell r="A12" t="str">
            <v>AGS26014</v>
          </cell>
          <cell r="B12" t="str">
            <v>Vulli Pavan</v>
          </cell>
          <cell r="C12">
            <v>46083</v>
          </cell>
          <cell r="D12">
            <v>44997.500240499998</v>
          </cell>
          <cell r="E12">
            <v>77770116800885</v>
          </cell>
          <cell r="F12" t="str">
            <v>FDRL0007777</v>
          </cell>
          <cell r="G12" t="str">
            <v>Federal Bank</v>
          </cell>
        </row>
        <row r="13">
          <cell r="A13" t="str">
            <v>AGS26017</v>
          </cell>
          <cell r="B13" t="str">
            <v>Vavilla Saikumar</v>
          </cell>
          <cell r="C13">
            <v>46083</v>
          </cell>
          <cell r="D13">
            <v>40117.750216450004</v>
          </cell>
          <cell r="E13">
            <v>99980130963940</v>
          </cell>
          <cell r="F13" t="str">
            <v>FDRL0001555</v>
          </cell>
          <cell r="G13" t="str">
            <v>Federal Bank</v>
          </cell>
        </row>
        <row r="14">
          <cell r="A14" t="str">
            <v>AGS26016</v>
          </cell>
          <cell r="B14" t="str">
            <v>Manisha Ashroba Virkar</v>
          </cell>
          <cell r="C14">
            <v>46083</v>
          </cell>
          <cell r="D14">
            <v>40117.750216450004</v>
          </cell>
          <cell r="E14">
            <v>62297418711</v>
          </cell>
          <cell r="F14" t="str">
            <v>SBIN0003801</v>
          </cell>
          <cell r="G14" t="str">
            <v>State Bank of India</v>
          </cell>
        </row>
        <row r="15">
          <cell r="A15" t="str">
            <v>AGS26015</v>
          </cell>
          <cell r="B15" t="str">
            <v>Karne Narsimha Reddy</v>
          </cell>
          <cell r="C15">
            <v>46083</v>
          </cell>
          <cell r="D15">
            <v>38713.825209235001</v>
          </cell>
          <cell r="E15">
            <v>99980130961886</v>
          </cell>
          <cell r="F15" t="str">
            <v>FDRL0001555</v>
          </cell>
          <cell r="G15" t="str">
            <v>Federal Bank</v>
          </cell>
        </row>
        <row r="16">
          <cell r="A16" t="str">
            <v>AGS26013</v>
          </cell>
          <cell r="B16" t="str">
            <v>Kalepu Vijay Kumar</v>
          </cell>
          <cell r="C16">
            <v>46083</v>
          </cell>
          <cell r="D16">
            <v>40117.750216450004</v>
          </cell>
          <cell r="E16">
            <v>15550100112421</v>
          </cell>
          <cell r="F16" t="str">
            <v>FDRL0001555</v>
          </cell>
          <cell r="G16" t="str">
            <v>Federal Bank</v>
          </cell>
        </row>
        <row r="17">
          <cell r="A17" t="str">
            <v>AGS26021</v>
          </cell>
          <cell r="B17" t="str">
            <v>Kontham Sushma</v>
          </cell>
          <cell r="C17">
            <v>46083</v>
          </cell>
          <cell r="D17">
            <v>44997.500240499998</v>
          </cell>
          <cell r="E17">
            <v>99980130961894</v>
          </cell>
          <cell r="F17" t="str">
            <v>FDRL0001555</v>
          </cell>
          <cell r="G17" t="str">
            <v>Federal Bank</v>
          </cell>
        </row>
        <row r="18">
          <cell r="A18" t="str">
            <v>AGS26023</v>
          </cell>
          <cell r="B18" t="str">
            <v>Bobbarala Varshini</v>
          </cell>
          <cell r="C18">
            <v>46083</v>
          </cell>
          <cell r="D18">
            <v>54757.0002886</v>
          </cell>
          <cell r="E18">
            <v>99980130961878</v>
          </cell>
          <cell r="F18" t="str">
            <v>FDRL0001555</v>
          </cell>
          <cell r="G18" t="str">
            <v>Federal Bank</v>
          </cell>
        </row>
        <row r="19">
          <cell r="A19" t="str">
            <v>AGS26026</v>
          </cell>
          <cell r="B19" t="str">
            <v>Surampudi Roop Sai</v>
          </cell>
          <cell r="C19">
            <v>46083</v>
          </cell>
          <cell r="D19">
            <v>54757.0002886</v>
          </cell>
          <cell r="E19">
            <v>615728726</v>
          </cell>
          <cell r="F19" t="str">
            <v>IDIB000P121</v>
          </cell>
          <cell r="G19" t="str">
            <v>Indian Bank</v>
          </cell>
        </row>
        <row r="20">
          <cell r="A20" t="str">
            <v>AGS26028</v>
          </cell>
          <cell r="B20" t="str">
            <v>Mohammed Abdul Moid</v>
          </cell>
          <cell r="C20">
            <v>46083</v>
          </cell>
          <cell r="D20">
            <v>12639.25043215</v>
          </cell>
          <cell r="E20">
            <v>99980130963882</v>
          </cell>
          <cell r="F20" t="str">
            <v>FDRL0001555</v>
          </cell>
          <cell r="G20" t="str">
            <v>Federal Bank</v>
          </cell>
        </row>
        <row r="21">
          <cell r="A21" t="str">
            <v>AGS26029</v>
          </cell>
          <cell r="B21" t="str">
            <v>Mula Sai Preetham Goud</v>
          </cell>
          <cell r="C21">
            <v>46083</v>
          </cell>
          <cell r="D21">
            <v>30358.250168350001</v>
          </cell>
          <cell r="E21">
            <v>99980130961902</v>
          </cell>
          <cell r="F21" t="str">
            <v>FDRL0001555</v>
          </cell>
          <cell r="G21" t="str">
            <v>Federal Bank</v>
          </cell>
        </row>
        <row r="22">
          <cell r="A22" t="str">
            <v>AGS26030</v>
          </cell>
          <cell r="B22" t="str">
            <v>Sruthin Kumar Basa</v>
          </cell>
          <cell r="C22">
            <v>46083</v>
          </cell>
          <cell r="D22">
            <v>30358.250168350001</v>
          </cell>
          <cell r="E22">
            <v>99980130961761</v>
          </cell>
          <cell r="F22" t="str">
            <v>FDRL0001555</v>
          </cell>
          <cell r="G22" t="str">
            <v>Federal Bank</v>
          </cell>
        </row>
        <row r="23">
          <cell r="A23" t="str">
            <v>AGS26032</v>
          </cell>
          <cell r="B23" t="str">
            <v>Vempadapu Uday Sai Tarun</v>
          </cell>
          <cell r="C23">
            <v>46083</v>
          </cell>
          <cell r="D23">
            <v>19486.85066263</v>
          </cell>
          <cell r="E23">
            <v>37182972098</v>
          </cell>
          <cell r="F23" t="str">
            <v>SBIN0008054</v>
          </cell>
          <cell r="G23" t="str">
            <v>State Bank of India</v>
          </cell>
        </row>
        <row r="24">
          <cell r="A24" t="str">
            <v>AGS26034</v>
          </cell>
          <cell r="B24" t="str">
            <v>Sripada Shivakumar</v>
          </cell>
          <cell r="C24">
            <v>46083</v>
          </cell>
          <cell r="D24">
            <v>52865.100278979997</v>
          </cell>
          <cell r="E24">
            <v>15550100112371</v>
          </cell>
          <cell r="F24" t="str">
            <v>FDRL0001555</v>
          </cell>
          <cell r="G24" t="str">
            <v>Federal Bank</v>
          </cell>
        </row>
        <row r="25">
          <cell r="A25" t="str">
            <v>AGS26035</v>
          </cell>
          <cell r="B25" t="str">
            <v>Varakantham Surender Reddy</v>
          </cell>
          <cell r="C25">
            <v>46083</v>
          </cell>
          <cell r="D25">
            <v>54757.0002886</v>
          </cell>
          <cell r="E25">
            <v>50100141200194</v>
          </cell>
          <cell r="F25" t="str">
            <v>HDFC0004480</v>
          </cell>
          <cell r="G25" t="str">
            <v>HDFC Bank</v>
          </cell>
        </row>
        <row r="26">
          <cell r="A26" t="str">
            <v>AGS26041</v>
          </cell>
          <cell r="B26" t="str">
            <v>Sudhagani Sai Charan</v>
          </cell>
          <cell r="C26">
            <v>46113</v>
          </cell>
          <cell r="D26">
            <v>30358.250168350001</v>
          </cell>
          <cell r="E26">
            <v>15550100112314</v>
          </cell>
          <cell r="F26" t="str">
            <v>FDRL0001555</v>
          </cell>
          <cell r="G26" t="str">
            <v>Federal Bank</v>
          </cell>
        </row>
        <row r="27">
          <cell r="A27" t="str">
            <v>AGS26043</v>
          </cell>
          <cell r="B27" t="str">
            <v>Chebrolu Yashaswini</v>
          </cell>
          <cell r="C27">
            <v>46113</v>
          </cell>
          <cell r="D27">
            <v>24680.55082389</v>
          </cell>
          <cell r="E27">
            <v>40590710609</v>
          </cell>
          <cell r="F27" t="str">
            <v>SBIN0011984</v>
          </cell>
          <cell r="G27" t="str">
            <v>State Bank of India</v>
          </cell>
        </row>
        <row r="28">
          <cell r="A28" t="str">
            <v>AGS26045</v>
          </cell>
          <cell r="B28" t="str">
            <v>Chebrolu Monika</v>
          </cell>
          <cell r="C28">
            <v>46113</v>
          </cell>
          <cell r="D28">
            <v>43430.916899150005</v>
          </cell>
          <cell r="E28" t="str">
            <v xml:space="preserve">000801663119	</v>
          </cell>
          <cell r="F28" t="str">
            <v>ICIC0000008</v>
          </cell>
          <cell r="G28" t="str">
            <v>ICICI Bank</v>
          </cell>
        </row>
        <row r="29">
          <cell r="A29" t="str">
            <v>AGS26047</v>
          </cell>
          <cell r="B29" t="str">
            <v>Upadhyayula Naga Lakshmi Deepthi</v>
          </cell>
          <cell r="C29">
            <v>46114</v>
          </cell>
          <cell r="D29">
            <v>19486.85066263</v>
          </cell>
          <cell r="E29">
            <v>55560103431927</v>
          </cell>
          <cell r="F29" t="str">
            <v>FDRL0005556</v>
          </cell>
          <cell r="G29" t="str">
            <v>Federal Bank</v>
          </cell>
        </row>
        <row r="30">
          <cell r="A30" t="str">
            <v>AGS26048</v>
          </cell>
          <cell r="B30" t="str">
            <v>Rapolu Rekha</v>
          </cell>
          <cell r="C30">
            <v>46113</v>
          </cell>
          <cell r="D30">
            <v>12689.25043215</v>
          </cell>
          <cell r="E30">
            <v>15550100112355</v>
          </cell>
          <cell r="F30" t="str">
            <v>FDRL0001555</v>
          </cell>
          <cell r="G30" t="str">
            <v>Federal Bank</v>
          </cell>
        </row>
        <row r="31">
          <cell r="A31" t="str">
            <v>AGS26049</v>
          </cell>
          <cell r="B31" t="str">
            <v>Ragiru Nikhitha</v>
          </cell>
          <cell r="C31">
            <v>46113</v>
          </cell>
          <cell r="D31">
            <v>12689.25043215</v>
          </cell>
          <cell r="E31">
            <v>15550100112280</v>
          </cell>
          <cell r="F31" t="str">
            <v>FDRL0001555</v>
          </cell>
          <cell r="G31" t="str">
            <v>Federal Bank</v>
          </cell>
        </row>
        <row r="32">
          <cell r="A32" t="str">
            <v>AGS26051</v>
          </cell>
          <cell r="B32" t="str">
            <v>Mundlamuri Mrudula</v>
          </cell>
          <cell r="C32">
            <v>46113</v>
          </cell>
          <cell r="D32">
            <v>12689.25043215</v>
          </cell>
          <cell r="E32">
            <v>15550100112272</v>
          </cell>
          <cell r="F32" t="str">
            <v>FDRL0001555</v>
          </cell>
          <cell r="G32" t="str">
            <v>Federal Bank</v>
          </cell>
        </row>
        <row r="33">
          <cell r="A33" t="str">
            <v>AGS26053</v>
          </cell>
          <cell r="B33" t="str">
            <v>Palavelli Praveen Reddy</v>
          </cell>
          <cell r="C33">
            <v>46113</v>
          </cell>
          <cell r="D33">
            <v>12689.25043215</v>
          </cell>
          <cell r="E33">
            <v>15550100112306</v>
          </cell>
          <cell r="F33" t="str">
            <v>FDRL0001555</v>
          </cell>
          <cell r="G33" t="str">
            <v>Federal Bank</v>
          </cell>
        </row>
        <row r="34">
          <cell r="A34" t="str">
            <v>AGS26054</v>
          </cell>
          <cell r="B34" t="str">
            <v>Yaramothu Himaja</v>
          </cell>
          <cell r="C34">
            <v>46113</v>
          </cell>
          <cell r="D34">
            <v>12689.25043215</v>
          </cell>
          <cell r="E34">
            <v>15550100112298</v>
          </cell>
          <cell r="F34" t="str">
            <v>FDRL0001555</v>
          </cell>
          <cell r="G34" t="str">
            <v>Federal Bank</v>
          </cell>
        </row>
        <row r="35">
          <cell r="A35" t="str">
            <v>AGS26031</v>
          </cell>
          <cell r="B35" t="str">
            <v>Y Raghavendar</v>
          </cell>
          <cell r="C35">
            <v>46113</v>
          </cell>
          <cell r="D35">
            <v>40117.750216450004</v>
          </cell>
          <cell r="E35">
            <v>99980130961787</v>
          </cell>
          <cell r="F35" t="str">
            <v>FDRL0001555</v>
          </cell>
          <cell r="G35" t="str">
            <v>Federal Bank</v>
          </cell>
        </row>
        <row r="36">
          <cell r="A36" t="str">
            <v>AGS26056</v>
          </cell>
          <cell r="B36" t="str">
            <v>Bommala Naveen Kumar</v>
          </cell>
          <cell r="C36">
            <v>46113</v>
          </cell>
          <cell r="D36">
            <v>37309.900202019999</v>
          </cell>
          <cell r="E36">
            <v>37097117593</v>
          </cell>
          <cell r="F36" t="str">
            <v>SBIN0008833</v>
          </cell>
          <cell r="G36" t="str">
            <v>State Bank of India</v>
          </cell>
        </row>
        <row r="37">
          <cell r="A37" t="str">
            <v>AGS26057</v>
          </cell>
          <cell r="B37" t="str">
            <v>Odeti Srinivas</v>
          </cell>
          <cell r="C37">
            <v>46113</v>
          </cell>
          <cell r="D37">
            <v>25478.5008643</v>
          </cell>
          <cell r="E37">
            <v>99980130961779</v>
          </cell>
          <cell r="F37" t="str">
            <v>FDRL0001555</v>
          </cell>
          <cell r="G37" t="str">
            <v>Federal Bank</v>
          </cell>
        </row>
        <row r="38">
          <cell r="A38" t="str">
            <v>AGS26058</v>
          </cell>
          <cell r="B38" t="str">
            <v>Matha Sai Prasad</v>
          </cell>
          <cell r="C38">
            <v>46113</v>
          </cell>
          <cell r="D38">
            <v>12290.275411945</v>
          </cell>
          <cell r="E38">
            <v>23520100016377</v>
          </cell>
          <cell r="F38" t="str">
            <v>FDRL0002352</v>
          </cell>
          <cell r="G38" t="str">
            <v>Federal Bank</v>
          </cell>
        </row>
        <row r="39">
          <cell r="A39" t="str">
            <v>AGS26059</v>
          </cell>
          <cell r="B39" t="str">
            <v>Chamakuri Raghuram</v>
          </cell>
          <cell r="C39">
            <v>46113</v>
          </cell>
          <cell r="D39">
            <v>12689.25043215</v>
          </cell>
          <cell r="E39">
            <v>15550100112322</v>
          </cell>
          <cell r="F39" t="str">
            <v>FDRL0001555</v>
          </cell>
          <cell r="G39" t="str">
            <v>Federal Bank</v>
          </cell>
        </row>
        <row r="40">
          <cell r="A40" t="str">
            <v>AGS26025</v>
          </cell>
          <cell r="B40" t="str">
            <v>Tumula Dinesh Kumar</v>
          </cell>
          <cell r="C40">
            <v>46113</v>
          </cell>
          <cell r="D40">
            <v>19486.85066263</v>
          </cell>
          <cell r="E40">
            <v>44610100006654</v>
          </cell>
          <cell r="F40" t="str">
            <v>BARB0SIDDIP</v>
          </cell>
          <cell r="G40" t="str">
            <v>Bank of Baroda</v>
          </cell>
        </row>
        <row r="41">
          <cell r="A41" t="str">
            <v>AGS26060</v>
          </cell>
          <cell r="B41" t="str">
            <v>Thallada Venkatasagar</v>
          </cell>
          <cell r="C41">
            <v>46114</v>
          </cell>
          <cell r="D41">
            <v>20342.800691439999</v>
          </cell>
          <cell r="E41">
            <v>15550100112363</v>
          </cell>
          <cell r="F41" t="str">
            <v>FDRL0001555</v>
          </cell>
          <cell r="G41" t="str">
            <v>Federal Bank</v>
          </cell>
        </row>
        <row r="42">
          <cell r="A42" t="str">
            <v>AGS26044</v>
          </cell>
          <cell r="B42" t="str">
            <v>Naveen Pulikonda</v>
          </cell>
          <cell r="C42">
            <v>46113</v>
          </cell>
          <cell r="D42">
            <v>29279.641829405002</v>
          </cell>
          <cell r="E42">
            <v>15550100112330</v>
          </cell>
          <cell r="F42" t="str">
            <v>FDRL0001555</v>
          </cell>
          <cell r="G42" t="str">
            <v>Federal Bank</v>
          </cell>
        </row>
        <row r="43">
          <cell r="A43" t="str">
            <v>AGS26073</v>
          </cell>
          <cell r="B43" t="str">
            <v>KONDAPALLY AKHIL</v>
          </cell>
          <cell r="C43">
            <v>46113</v>
          </cell>
          <cell r="D43">
            <v>93795.000480999995</v>
          </cell>
          <cell r="E43">
            <v>38613963272</v>
          </cell>
          <cell r="F43" t="str">
            <v>SBIN0010328</v>
          </cell>
          <cell r="G43" t="str">
            <v>State Bank of India</v>
          </cell>
        </row>
        <row r="44">
          <cell r="A44" t="str">
            <v>AGS26074</v>
          </cell>
          <cell r="B44" t="str">
            <v>Manikonda Nagasurya Koundinya</v>
          </cell>
          <cell r="C44">
            <v>46113</v>
          </cell>
          <cell r="D44">
            <v>28731.341510331727</v>
          </cell>
          <cell r="E44">
            <v>180701000002091</v>
          </cell>
          <cell r="F44" t="str">
            <v>IOBA0001807</v>
          </cell>
          <cell r="G44" t="str">
            <v>Indian Overseas Bank</v>
          </cell>
        </row>
        <row r="45">
          <cell r="A45" t="str">
            <v>AGS26061</v>
          </cell>
          <cell r="B45" t="str">
            <v>Indla Kiran Kumar</v>
          </cell>
          <cell r="C45">
            <v>46146</v>
          </cell>
          <cell r="D45">
            <v>30358.250168350001</v>
          </cell>
          <cell r="E45">
            <v>99980130961803</v>
          </cell>
          <cell r="F45" t="str">
            <v>FDRL0001555</v>
          </cell>
          <cell r="G45" t="str">
            <v>Federal Bank</v>
          </cell>
        </row>
        <row r="46">
          <cell r="A46" t="str">
            <v>AGS26062</v>
          </cell>
          <cell r="B46" t="str">
            <v>K Tharun Kumar Reddy</v>
          </cell>
          <cell r="C46">
            <v>46146</v>
          </cell>
          <cell r="D46">
            <v>9854.4252991150006</v>
          </cell>
          <cell r="E46">
            <v>55560103622913</v>
          </cell>
          <cell r="F46" t="str">
            <v>FDRL0005556</v>
          </cell>
          <cell r="G46" t="str">
            <v>Federal Bank</v>
          </cell>
        </row>
        <row r="47">
          <cell r="A47" t="str">
            <v>AGS26063</v>
          </cell>
          <cell r="B47" t="str">
            <v>Bondada Jayanth</v>
          </cell>
          <cell r="C47">
            <v>46146</v>
          </cell>
          <cell r="D47">
            <v>19486.85066263</v>
          </cell>
          <cell r="E47">
            <v>99980130961811</v>
          </cell>
          <cell r="F47" t="str">
            <v>FDRL0001555</v>
          </cell>
          <cell r="G47" t="str">
            <v>Federal Bank</v>
          </cell>
        </row>
        <row r="48">
          <cell r="A48" t="str">
            <v>AGS26065</v>
          </cell>
          <cell r="B48" t="str">
            <v>Boddupalli Krishna Prasad</v>
          </cell>
          <cell r="C48">
            <v>46146</v>
          </cell>
          <cell r="D48">
            <v>25478.5008643</v>
          </cell>
          <cell r="E48">
            <v>15550100112413</v>
          </cell>
          <cell r="F48" t="str">
            <v>FDRL0001555</v>
          </cell>
          <cell r="G48" t="str">
            <v>Federal Bank</v>
          </cell>
        </row>
        <row r="49">
          <cell r="A49" t="str">
            <v>AGS26066</v>
          </cell>
          <cell r="B49" t="str">
            <v>Mohammad Sulthan</v>
          </cell>
          <cell r="C49">
            <v>46146</v>
          </cell>
          <cell r="D49">
            <v>40117.750216450004</v>
          </cell>
          <cell r="E49">
            <v>62412658053</v>
          </cell>
          <cell r="F49" t="str">
            <v>SBIN0020947</v>
          </cell>
          <cell r="G49" t="str">
            <v>State Bank of India</v>
          </cell>
        </row>
        <row r="50">
          <cell r="A50" t="str">
            <v>AGS26067</v>
          </cell>
          <cell r="B50" t="str">
            <v>Md Imran Khan</v>
          </cell>
          <cell r="C50">
            <v>46146</v>
          </cell>
          <cell r="D50">
            <v>12689.25043215</v>
          </cell>
          <cell r="E50">
            <v>40592463089</v>
          </cell>
          <cell r="F50" t="str">
            <v>SBIN0020248</v>
          </cell>
          <cell r="G50" t="str">
            <v>State Bank of India</v>
          </cell>
        </row>
        <row r="51">
          <cell r="A51" t="str">
            <v>AGS26068</v>
          </cell>
          <cell r="B51" t="str">
            <v>Narmeta Srujanreddy</v>
          </cell>
          <cell r="C51">
            <v>46146</v>
          </cell>
          <cell r="D51">
            <v>12689.25043215</v>
          </cell>
          <cell r="E51" t="str">
            <v>1814100100000327</v>
          </cell>
          <cell r="F51" t="str">
            <v>PUNB0181410</v>
          </cell>
          <cell r="G51" t="str">
            <v>Punjab National Bank</v>
          </cell>
        </row>
        <row r="52">
          <cell r="A52" t="str">
            <v>AGS26069</v>
          </cell>
          <cell r="B52" t="str">
            <v>Neetapalli Sreekanth Reddy</v>
          </cell>
          <cell r="C52">
            <v>46146</v>
          </cell>
          <cell r="D52">
            <v>40117.750216450004</v>
          </cell>
          <cell r="E52">
            <v>55560103591175</v>
          </cell>
          <cell r="F52" t="str">
            <v>FDRL0005556</v>
          </cell>
          <cell r="G52" t="str">
            <v>Federal Bank</v>
          </cell>
        </row>
        <row r="53">
          <cell r="A53" t="str">
            <v>AGS26070</v>
          </cell>
          <cell r="B53" t="str">
            <v>Melath Ashwin</v>
          </cell>
          <cell r="C53">
            <v>46146</v>
          </cell>
          <cell r="D53">
            <v>30358.250168350001</v>
          </cell>
          <cell r="E53">
            <v>99980130963841</v>
          </cell>
          <cell r="F53" t="str">
            <v>FDRL0001555</v>
          </cell>
          <cell r="G53" t="str">
            <v>Federal Bank</v>
          </cell>
        </row>
        <row r="54">
          <cell r="A54" t="str">
            <v>AGS26072</v>
          </cell>
          <cell r="B54" t="str">
            <v>Mohd Sameer</v>
          </cell>
          <cell r="C54">
            <v>46146</v>
          </cell>
          <cell r="D54">
            <v>12689.25043215</v>
          </cell>
          <cell r="E54">
            <v>15550100112397</v>
          </cell>
          <cell r="F54" t="str">
            <v>FDRL0001555</v>
          </cell>
          <cell r="G54" t="str">
            <v>Federal Bank</v>
          </cell>
        </row>
        <row r="55">
          <cell r="A55" t="str">
            <v>AGS26073</v>
          </cell>
          <cell r="B55" t="str">
            <v>Boya Indrasena Naidu</v>
          </cell>
          <cell r="C55">
            <v>46146</v>
          </cell>
          <cell r="D55">
            <v>12689.25043215</v>
          </cell>
          <cell r="E55">
            <v>225210100082348</v>
          </cell>
          <cell r="F55" t="str">
            <v>UBIN0822523</v>
          </cell>
          <cell r="G55" t="str">
            <v>Union Bank</v>
          </cell>
        </row>
        <row r="56">
          <cell r="A56" t="str">
            <v>AGS26076</v>
          </cell>
          <cell r="B56" t="str">
            <v>Shaik Arif</v>
          </cell>
          <cell r="C56">
            <v>46148</v>
          </cell>
          <cell r="D56">
            <v>12689.25043215</v>
          </cell>
          <cell r="E56">
            <v>55560103492226</v>
          </cell>
          <cell r="F56" t="str">
            <v>FDRL0005556</v>
          </cell>
          <cell r="G56" t="str">
            <v>Federal Bank</v>
          </cell>
        </row>
        <row r="57">
          <cell r="A57" t="str">
            <v>AGS26077</v>
          </cell>
          <cell r="B57" t="str">
            <v>Batta Jyotsna</v>
          </cell>
          <cell r="C57">
            <v>46174</v>
          </cell>
          <cell r="D57">
            <v>17800.421888715638</v>
          </cell>
          <cell r="E57">
            <v>23240100021018</v>
          </cell>
          <cell r="F57" t="str">
            <v>FDRL0002324</v>
          </cell>
          <cell r="G57" t="str">
            <v>Federal Bank</v>
          </cell>
        </row>
        <row r="58">
          <cell r="A58" t="str">
            <v>AGS26078</v>
          </cell>
          <cell r="B58" t="str">
            <v>Kankanala Sravani</v>
          </cell>
          <cell r="C58">
            <v>46174</v>
          </cell>
          <cell r="D58">
            <v>14800.351573929702</v>
          </cell>
          <cell r="E58">
            <v>23701000029541</v>
          </cell>
          <cell r="F58" t="str">
            <v>FDRL0002307</v>
          </cell>
          <cell r="G58" t="str">
            <v>Federal Bank</v>
          </cell>
        </row>
        <row r="59">
          <cell r="A59" t="str">
            <v>AGS26079</v>
          </cell>
          <cell r="B59" t="str">
            <v>Vadicharla Sandeep Kumar</v>
          </cell>
          <cell r="C59">
            <v>46174</v>
          </cell>
          <cell r="D59">
            <v>17800.421888715638</v>
          </cell>
          <cell r="E59">
            <v>17560100050974</v>
          </cell>
          <cell r="F59" t="str">
            <v>FDRL0001756</v>
          </cell>
          <cell r="G59" t="str">
            <v>Federal Bank</v>
          </cell>
        </row>
        <row r="60">
          <cell r="A60" t="str">
            <v>AGS26080</v>
          </cell>
          <cell r="B60" t="str">
            <v>Thota Varsha</v>
          </cell>
          <cell r="C60">
            <v>46174</v>
          </cell>
          <cell r="D60">
            <v>14800.351573929702</v>
          </cell>
          <cell r="E60">
            <v>24570100002876</v>
          </cell>
          <cell r="F60" t="str">
            <v>FDRL0002457</v>
          </cell>
          <cell r="G60" t="str">
            <v>Federal Bank</v>
          </cell>
        </row>
        <row r="61">
          <cell r="A61" t="str">
            <v>AGS26081</v>
          </cell>
          <cell r="B61" t="str">
            <v>Shaik Faiza</v>
          </cell>
          <cell r="C61">
            <v>46174</v>
          </cell>
          <cell r="D61">
            <v>12849.6540640692</v>
          </cell>
          <cell r="E61">
            <v>924010050412952</v>
          </cell>
          <cell r="F61" t="str">
            <v>UTIB0002158</v>
          </cell>
          <cell r="G61" t="str">
            <v>Union Bank</v>
          </cell>
        </row>
        <row r="62">
          <cell r="A62" t="str">
            <v>AGS26082</v>
          </cell>
          <cell r="B62" t="str">
            <v>Shaik Shaheen</v>
          </cell>
          <cell r="C62">
            <v>46174</v>
          </cell>
          <cell r="D62">
            <v>11850.28125914376</v>
          </cell>
          <cell r="E62">
            <v>25140100010136</v>
          </cell>
          <cell r="F62" t="str">
            <v>FDRL0002514</v>
          </cell>
          <cell r="G62" t="str">
            <v>Federal Bank</v>
          </cell>
        </row>
        <row r="63">
          <cell r="A63" t="str">
            <v>AGS26083</v>
          </cell>
          <cell r="B63" t="str">
            <v>Guduru Subhanbee</v>
          </cell>
          <cell r="C63">
            <v>46174</v>
          </cell>
          <cell r="D63">
            <v>12849.6540640692</v>
          </cell>
          <cell r="E63">
            <v>23710100006391</v>
          </cell>
          <cell r="F63" t="str">
            <v>FDRL0002371</v>
          </cell>
          <cell r="G63" t="str">
            <v>Federal Bank</v>
          </cell>
        </row>
        <row r="64">
          <cell r="A64" t="str">
            <v>AGS26084</v>
          </cell>
          <cell r="B64" t="str">
            <v>Yapakayala Sampath</v>
          </cell>
          <cell r="C64">
            <v>46174</v>
          </cell>
          <cell r="D64">
            <v>27800.0056379989</v>
          </cell>
          <cell r="E64">
            <v>24570100005333</v>
          </cell>
          <cell r="F64" t="str">
            <v>FDRL0002457</v>
          </cell>
          <cell r="G64" t="str">
            <v>Federal Bank</v>
          </cell>
        </row>
        <row r="65">
          <cell r="A65" t="str">
            <v>AGS26085</v>
          </cell>
          <cell r="B65" t="str">
            <v>Shaik Akram</v>
          </cell>
          <cell r="C65">
            <v>46174</v>
          </cell>
          <cell r="D65">
            <v>24799.935323212962</v>
          </cell>
          <cell r="E65">
            <v>99980128937682</v>
          </cell>
          <cell r="F65" t="str">
            <v>FDRL0001555</v>
          </cell>
          <cell r="G65" t="str">
            <v>Federal Bank</v>
          </cell>
        </row>
        <row r="66">
          <cell r="A66" t="str">
            <v>AGS26086</v>
          </cell>
          <cell r="B66" t="str">
            <v>Mesu Lion Kumar</v>
          </cell>
          <cell r="C66">
            <v>46174</v>
          </cell>
          <cell r="D66">
            <v>22800.213763357271</v>
          </cell>
          <cell r="E66">
            <v>99980128338519</v>
          </cell>
          <cell r="F66" t="str">
            <v>FDRL0001583</v>
          </cell>
          <cell r="G66" t="str">
            <v>Federal Bank</v>
          </cell>
        </row>
        <row r="67">
          <cell r="A67" t="str">
            <v>AGS26087</v>
          </cell>
          <cell r="B67" t="str">
            <v>Bashaboina Srilatha</v>
          </cell>
          <cell r="C67">
            <v>46174</v>
          </cell>
          <cell r="D67">
            <v>44800.07877178429</v>
          </cell>
          <cell r="E67">
            <v>24780100008456</v>
          </cell>
          <cell r="F67" t="str">
            <v>FDRL0002478</v>
          </cell>
          <cell r="G67" t="str">
            <v>Federal Bank</v>
          </cell>
        </row>
        <row r="68">
          <cell r="A68" t="str">
            <v>AGS26089</v>
          </cell>
          <cell r="B68" t="str">
            <v>Pothuraju Haritha</v>
          </cell>
          <cell r="C68">
            <v>46174</v>
          </cell>
          <cell r="D68">
            <v>9849.5837492832597</v>
          </cell>
          <cell r="E68">
            <v>15550100107520</v>
          </cell>
          <cell r="F68" t="str">
            <v>FDRL0001555</v>
          </cell>
          <cell r="G68" t="str">
            <v>Federal Bank</v>
          </cell>
        </row>
        <row r="69">
          <cell r="A69" t="str">
            <v>AGS26090</v>
          </cell>
          <cell r="B69" t="str">
            <v>Tirupathi Anusha</v>
          </cell>
          <cell r="C69">
            <v>46174</v>
          </cell>
          <cell r="D69">
            <v>11850.28125914376</v>
          </cell>
          <cell r="E69">
            <v>15690100076067</v>
          </cell>
          <cell r="F69" t="str">
            <v>FDRL0001569</v>
          </cell>
          <cell r="G69" t="str">
            <v>Federal Bank</v>
          </cell>
        </row>
        <row r="70">
          <cell r="A70" t="str">
            <v>AGS26091</v>
          </cell>
          <cell r="B70" t="str">
            <v>Tepala Rajukumar</v>
          </cell>
          <cell r="C70">
            <v>46174</v>
          </cell>
          <cell r="D70">
            <v>10000</v>
          </cell>
          <cell r="E70">
            <v>99980128938326</v>
          </cell>
          <cell r="F70" t="str">
            <v>FDRL0001555</v>
          </cell>
          <cell r="G70" t="str">
            <v>Federal Bank</v>
          </cell>
        </row>
        <row r="71">
          <cell r="A71" t="str">
            <v>AGS26092</v>
          </cell>
          <cell r="B71" t="str">
            <v>Dhyanamaina Krishna</v>
          </cell>
          <cell r="C71">
            <v>46174</v>
          </cell>
          <cell r="D71">
            <v>0</v>
          </cell>
          <cell r="E71"/>
          <cell r="F71"/>
          <cell r="G71"/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4"/>
  <sheetViews>
    <sheetView tabSelected="1" zoomScale="70" zoomScaleNormal="70"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AF67" sqref="AF67"/>
    </sheetView>
  </sheetViews>
  <sheetFormatPr defaultRowHeight="14.5" x14ac:dyDescent="0.35"/>
  <cols>
    <col min="1" max="1" width="9.1796875" bestFit="1" customWidth="1"/>
    <col min="2" max="2" width="31" bestFit="1" customWidth="1"/>
    <col min="3" max="3" width="11.36328125" customWidth="1"/>
    <col min="4" max="4" width="44.6328125" bestFit="1" customWidth="1"/>
    <col min="5" max="5" width="15.90625" bestFit="1" customWidth="1"/>
    <col min="6" max="6" width="10" bestFit="1" customWidth="1"/>
    <col min="7" max="7" width="17" bestFit="1" customWidth="1"/>
    <col min="8" max="8" width="13.08984375" bestFit="1" customWidth="1"/>
    <col min="9" max="9" width="12.90625" bestFit="1" customWidth="1"/>
    <col min="10" max="10" width="5.6328125" bestFit="1" customWidth="1"/>
    <col min="11" max="11" width="9.7265625" bestFit="1" customWidth="1"/>
    <col min="12" max="12" width="13.54296875" bestFit="1" customWidth="1"/>
    <col min="13" max="13" width="8.90625" bestFit="1" customWidth="1"/>
    <col min="14" max="14" width="8.54296875" bestFit="1" customWidth="1"/>
    <col min="15" max="15" width="10" customWidth="1"/>
    <col min="16" max="16" width="10.36328125" customWidth="1"/>
    <col min="17" max="18" width="9.7265625" customWidth="1"/>
    <col min="19" max="19" width="12.36328125" customWidth="1"/>
    <col min="20" max="21" width="8.7265625" customWidth="1"/>
    <col min="22" max="22" width="9.7265625" customWidth="1"/>
    <col min="23" max="23" width="9.81640625" customWidth="1"/>
    <col min="24" max="25" width="9.7265625" customWidth="1"/>
    <col min="26" max="26" width="7.26953125" customWidth="1"/>
    <col min="27" max="27" width="4.36328125" customWidth="1"/>
    <col min="28" max="28" width="7.26953125" style="17" customWidth="1"/>
    <col min="29" max="29" width="9.7265625" customWidth="1"/>
    <col min="30" max="30" width="5.26953125" customWidth="1"/>
    <col min="31" max="31" width="5.453125" customWidth="1"/>
    <col min="32" max="32" width="5.26953125" customWidth="1"/>
    <col min="33" max="33" width="9.7265625" customWidth="1"/>
    <col min="34" max="34" width="9.7265625" bestFit="1" customWidth="1"/>
    <col min="35" max="35" width="49.1796875" customWidth="1"/>
  </cols>
  <sheetData>
    <row r="1" spans="1:35" x14ac:dyDescent="0.35">
      <c r="A1" s="1" t="s">
        <v>9</v>
      </c>
      <c r="B1" s="1" t="s">
        <v>10</v>
      </c>
      <c r="C1" s="1" t="s">
        <v>11</v>
      </c>
      <c r="D1" s="2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4" t="s">
        <v>69</v>
      </c>
      <c r="Q1" s="1" t="s">
        <v>5</v>
      </c>
      <c r="R1" s="4" t="s">
        <v>70</v>
      </c>
      <c r="S1" s="1" t="s">
        <v>19</v>
      </c>
      <c r="T1" s="4" t="s">
        <v>71</v>
      </c>
      <c r="U1" s="1" t="s">
        <v>20</v>
      </c>
      <c r="V1" s="4" t="s">
        <v>72</v>
      </c>
      <c r="W1" s="1" t="s">
        <v>21</v>
      </c>
      <c r="X1" s="1" t="s">
        <v>73</v>
      </c>
      <c r="Y1" s="1" t="s">
        <v>22</v>
      </c>
      <c r="Z1" s="1" t="s">
        <v>25</v>
      </c>
      <c r="AA1" s="1" t="s">
        <v>23</v>
      </c>
      <c r="AB1" s="16" t="s">
        <v>6</v>
      </c>
      <c r="AC1" s="1" t="s">
        <v>24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</v>
      </c>
      <c r="AI1" s="1" t="s">
        <v>8</v>
      </c>
    </row>
    <row r="2" spans="1:35" x14ac:dyDescent="0.35">
      <c r="A2" s="5" t="s">
        <v>32</v>
      </c>
      <c r="B2" s="5" t="s">
        <v>33</v>
      </c>
      <c r="C2" s="3" t="s">
        <v>67</v>
      </c>
      <c r="D2" s="6" t="s">
        <v>60</v>
      </c>
      <c r="E2" t="s">
        <v>64</v>
      </c>
      <c r="F2" t="s">
        <v>65</v>
      </c>
      <c r="G2" s="7">
        <v>99980130961993</v>
      </c>
      <c r="H2" s="7" t="s">
        <v>157</v>
      </c>
      <c r="I2" s="7">
        <v>102317713984</v>
      </c>
      <c r="K2" s="8" t="s">
        <v>225</v>
      </c>
      <c r="L2" s="3" t="s">
        <v>288</v>
      </c>
      <c r="M2">
        <v>31</v>
      </c>
      <c r="N2">
        <v>0</v>
      </c>
      <c r="O2" s="8" t="s">
        <v>221</v>
      </c>
      <c r="P2" s="13">
        <v>30000</v>
      </c>
      <c r="Q2" s="13">
        <v>30000</v>
      </c>
      <c r="R2" s="13">
        <v>15000</v>
      </c>
      <c r="S2" s="13">
        <v>15000</v>
      </c>
      <c r="T2" s="13">
        <v>1600</v>
      </c>
      <c r="U2" s="13">
        <v>1600</v>
      </c>
      <c r="V2" s="13">
        <v>10157</v>
      </c>
      <c r="W2" s="13">
        <v>10157</v>
      </c>
      <c r="X2" s="13">
        <v>56757</v>
      </c>
      <c r="Y2" s="13">
        <v>56757</v>
      </c>
      <c r="Z2" s="13">
        <v>1800</v>
      </c>
      <c r="AA2" s="12">
        <v>200</v>
      </c>
      <c r="AB2" s="15" t="s">
        <v>180</v>
      </c>
      <c r="AC2" s="13">
        <v>2000</v>
      </c>
      <c r="AD2" s="13">
        <v>1800</v>
      </c>
      <c r="AE2" s="13">
        <v>1443</v>
      </c>
      <c r="AF2" s="13">
        <v>3243</v>
      </c>
      <c r="AG2" s="13">
        <v>60000</v>
      </c>
      <c r="AH2" s="13">
        <v>54757</v>
      </c>
      <c r="AI2" t="str">
        <f t="shared" ref="AI2:AI10" si="0">CHOOSE(--LEFT(TEXT(AH2,"000000.00"))+1,,"One","Two","Three","Four","Five","Six","Seven","Eight","Nine")&amp;IF(--LEFT(TEXT(AH2,"000000.00"))=0,""," Lakh ")&amp;IF(--MID(TEXT(AH2,"000000.00"),2,1)&lt;&gt;1,CHOOSE(--MID(TEXT(AH2,"000000.00"),2,1)+1,,"","Twenty ","Thirty ","Forty ","Fifty ","Sixty ","Seventy ","Eighty ","Ninety "),"")&amp;IF(--MID(TEXT(AH2,"000000.00"),2,1)&lt;&gt;1,CHOOSE(--MID(TEXT(AH2,"000000.00"),3,1)+1,,"One","Two","Three","Four","Five","Six","Seven","Eight","Nine"),CHOOSE(--MID(TEXT(AH2,"000000.00"),3,1)+1,"Ten","Eleven","Twelve","Thirteen","Fourteen","Fifteen","Sixteen","Seventeen","Eighteen","Nineteen"))&amp;IF((--MID(TEXT(AH2,"000000.00"),2,1)+--MID(TEXT(AH2,"000000.00"),3,1))=0,""," Thousand ")&amp;CHOOSE(--MID(TEXT(AH2,"000000.00"),4,1)+1,,"One","Two","Three","Four","Five","Six","Seven","Eight","Nine")&amp;IF(--MID(TEXT(AH2,"000000.00"),4,1)=0,"",IF(AND(--MID(TEXT(AH2,"000000.00"),5,1)=0,--MID(TEXT(AH2,"000000.00"),6,1)=0)," Hundred"," Hundred and "))&amp;IF(--MID(TEXT(AH2,"000000.00"),5,1)&lt;&gt;1,CHOOSE(--MID(TEXT(AH2,"000000.00"),5,1)+1,,"","Twenty ","Thirty ","Forty ","Fifty ","Sixty ","Seventy ","Eighty ","Ninety "),"")&amp;IF(--MID(TEXT(AH2,"000000.00"),5,1)&lt;&gt;1,CHOOSE(--MID(TEXT(AH2,"000000.00"),6,1)+1,,"One","Two","Three","Four","Five","Six","Seven","Eight","Nine"),CHOOSE(--MID(TEXT(AH2,"000000.00"),6,1)+1,"Ten","Eleven","Twelve","Thirteen","Fourteen","Fifteen","Sixteen","Seventeen","Eighteen","Nineteen"))</f>
        <v>Fifty Four Thousand Seven Hundred and Fifty Seven</v>
      </c>
    </row>
    <row r="3" spans="1:35" x14ac:dyDescent="0.35">
      <c r="A3" s="5" t="s">
        <v>28</v>
      </c>
      <c r="B3" s="5" t="s">
        <v>29</v>
      </c>
      <c r="C3" s="3" t="s">
        <v>67</v>
      </c>
      <c r="D3" s="6" t="s">
        <v>59</v>
      </c>
      <c r="E3" t="s">
        <v>64</v>
      </c>
      <c r="F3" t="s">
        <v>65</v>
      </c>
      <c r="G3" s="7" t="s">
        <v>160</v>
      </c>
      <c r="H3" s="7" t="s">
        <v>161</v>
      </c>
      <c r="I3" s="7">
        <v>101825984981</v>
      </c>
      <c r="K3" s="8" t="s">
        <v>226</v>
      </c>
      <c r="L3" s="3" t="s">
        <v>288</v>
      </c>
      <c r="M3">
        <v>31</v>
      </c>
      <c r="N3">
        <v>0</v>
      </c>
      <c r="O3" s="8" t="s">
        <v>221</v>
      </c>
      <c r="P3" s="13">
        <v>22500</v>
      </c>
      <c r="Q3" s="13">
        <v>22500</v>
      </c>
      <c r="R3" s="13">
        <v>11250</v>
      </c>
      <c r="S3" s="13">
        <v>11250</v>
      </c>
      <c r="T3" s="13">
        <v>1600</v>
      </c>
      <c r="U3" s="13">
        <v>1600</v>
      </c>
      <c r="V3" s="13">
        <v>6768</v>
      </c>
      <c r="W3" s="13">
        <v>6768</v>
      </c>
      <c r="X3" s="13">
        <v>42118</v>
      </c>
      <c r="Y3" s="13">
        <v>42118</v>
      </c>
      <c r="Z3" s="13">
        <v>1800</v>
      </c>
      <c r="AA3" s="12">
        <v>200</v>
      </c>
      <c r="AB3" s="15" t="s">
        <v>180</v>
      </c>
      <c r="AC3" s="13">
        <v>2000</v>
      </c>
      <c r="AD3" s="13">
        <v>1800</v>
      </c>
      <c r="AE3" s="13">
        <v>1082</v>
      </c>
      <c r="AF3" s="13">
        <v>2882</v>
      </c>
      <c r="AG3" s="13">
        <v>45000</v>
      </c>
      <c r="AH3" s="13">
        <v>40118</v>
      </c>
      <c r="AI3" t="str">
        <f t="shared" si="0"/>
        <v>Forty  Thousand One Hundred and Eighteen</v>
      </c>
    </row>
    <row r="4" spans="1:35" x14ac:dyDescent="0.35">
      <c r="A4" s="5" t="s">
        <v>42</v>
      </c>
      <c r="B4" s="5" t="s">
        <v>43</v>
      </c>
      <c r="C4" s="3" t="s">
        <v>67</v>
      </c>
      <c r="D4" s="6" t="s">
        <v>59</v>
      </c>
      <c r="E4" t="s">
        <v>64</v>
      </c>
      <c r="F4" t="s">
        <v>65</v>
      </c>
      <c r="G4" s="7">
        <v>15550100112421</v>
      </c>
      <c r="H4" s="7" t="s">
        <v>157</v>
      </c>
      <c r="I4" s="7">
        <v>100650918969</v>
      </c>
      <c r="K4" s="8" t="s">
        <v>227</v>
      </c>
      <c r="L4" s="3" t="s">
        <v>288</v>
      </c>
      <c r="M4">
        <v>31</v>
      </c>
      <c r="N4">
        <v>0</v>
      </c>
      <c r="O4" s="8" t="s">
        <v>221</v>
      </c>
      <c r="P4" s="13">
        <v>22500</v>
      </c>
      <c r="Q4" s="13">
        <v>22500</v>
      </c>
      <c r="R4" s="13">
        <v>11250</v>
      </c>
      <c r="S4" s="13">
        <v>11250</v>
      </c>
      <c r="T4" s="13">
        <v>1600</v>
      </c>
      <c r="U4" s="13">
        <v>1600</v>
      </c>
      <c r="V4" s="13">
        <v>6768</v>
      </c>
      <c r="W4" s="13">
        <v>6768</v>
      </c>
      <c r="X4" s="13">
        <v>42118</v>
      </c>
      <c r="Y4" s="13">
        <v>42118</v>
      </c>
      <c r="Z4" s="13">
        <v>1800</v>
      </c>
      <c r="AA4" s="12">
        <v>200</v>
      </c>
      <c r="AB4" s="15" t="s">
        <v>180</v>
      </c>
      <c r="AC4" s="13">
        <v>2000</v>
      </c>
      <c r="AD4" s="13">
        <v>1800</v>
      </c>
      <c r="AE4" s="13">
        <v>1082</v>
      </c>
      <c r="AF4" s="13">
        <v>2882</v>
      </c>
      <c r="AG4" s="13">
        <v>45000</v>
      </c>
      <c r="AH4" s="13">
        <v>40118</v>
      </c>
      <c r="AI4" t="str">
        <f t="shared" si="0"/>
        <v>Forty  Thousand One Hundred and Eighteen</v>
      </c>
    </row>
    <row r="5" spans="1:35" x14ac:dyDescent="0.35">
      <c r="A5" s="5" t="s">
        <v>34</v>
      </c>
      <c r="B5" s="5" t="s">
        <v>35</v>
      </c>
      <c r="C5" s="3" t="s">
        <v>67</v>
      </c>
      <c r="D5" s="6" t="s">
        <v>61</v>
      </c>
      <c r="E5" t="s">
        <v>64</v>
      </c>
      <c r="F5" t="s">
        <v>65</v>
      </c>
      <c r="G5" s="7">
        <v>77770116800885</v>
      </c>
      <c r="H5" s="7" t="s">
        <v>158</v>
      </c>
      <c r="I5" s="7">
        <v>102317510879</v>
      </c>
      <c r="K5" s="8" t="s">
        <v>228</v>
      </c>
      <c r="L5" s="3" t="s">
        <v>288</v>
      </c>
      <c r="M5">
        <v>31</v>
      </c>
      <c r="N5">
        <v>0</v>
      </c>
      <c r="O5" s="8" t="s">
        <v>221</v>
      </c>
      <c r="P5" s="13">
        <v>25000</v>
      </c>
      <c r="Q5" s="13">
        <v>25000</v>
      </c>
      <c r="R5" s="13">
        <v>12500</v>
      </c>
      <c r="S5" s="13">
        <v>12500</v>
      </c>
      <c r="T5" s="13">
        <v>1600</v>
      </c>
      <c r="U5" s="13">
        <v>1600</v>
      </c>
      <c r="V5" s="13">
        <v>7898</v>
      </c>
      <c r="W5" s="13">
        <v>7898</v>
      </c>
      <c r="X5" s="13">
        <v>46998</v>
      </c>
      <c r="Y5" s="13">
        <v>46998</v>
      </c>
      <c r="Z5" s="13">
        <v>1800</v>
      </c>
      <c r="AA5" s="12">
        <v>200</v>
      </c>
      <c r="AB5" s="15" t="s">
        <v>180</v>
      </c>
      <c r="AC5" s="13">
        <v>2000</v>
      </c>
      <c r="AD5" s="13">
        <v>1800</v>
      </c>
      <c r="AE5" s="13">
        <v>1202</v>
      </c>
      <c r="AF5" s="13">
        <v>3002</v>
      </c>
      <c r="AG5" s="13">
        <v>50000</v>
      </c>
      <c r="AH5" s="13">
        <v>44998</v>
      </c>
      <c r="AI5" t="str">
        <f t="shared" si="0"/>
        <v>Forty Four Thousand Nine Hundred and Ninety Eight</v>
      </c>
    </row>
    <row r="6" spans="1:35" x14ac:dyDescent="0.35">
      <c r="A6" s="5" t="s">
        <v>40</v>
      </c>
      <c r="B6" s="5" t="s">
        <v>41</v>
      </c>
      <c r="C6" s="3" t="s">
        <v>67</v>
      </c>
      <c r="D6" s="6" t="s">
        <v>59</v>
      </c>
      <c r="E6" t="s">
        <v>64</v>
      </c>
      <c r="F6" t="s">
        <v>65</v>
      </c>
      <c r="G6" s="7">
        <v>99980130961886</v>
      </c>
      <c r="H6" s="7" t="s">
        <v>157</v>
      </c>
      <c r="I6" s="7">
        <v>101366210512</v>
      </c>
      <c r="K6" s="8" t="s">
        <v>229</v>
      </c>
      <c r="L6" s="3" t="s">
        <v>288</v>
      </c>
      <c r="M6">
        <v>31</v>
      </c>
      <c r="N6">
        <v>0</v>
      </c>
      <c r="O6" s="8" t="s">
        <v>221</v>
      </c>
      <c r="P6" s="13">
        <v>22500</v>
      </c>
      <c r="Q6" s="13">
        <v>22500</v>
      </c>
      <c r="R6" s="13">
        <v>11250</v>
      </c>
      <c r="S6" s="13">
        <v>11250</v>
      </c>
      <c r="T6" s="13">
        <v>1600</v>
      </c>
      <c r="U6" s="13">
        <v>1600</v>
      </c>
      <c r="V6" s="13">
        <v>6768</v>
      </c>
      <c r="W6" s="13">
        <v>6768</v>
      </c>
      <c r="X6" s="13">
        <v>42118</v>
      </c>
      <c r="Y6" s="13">
        <v>42118</v>
      </c>
      <c r="Z6" s="13">
        <v>1800</v>
      </c>
      <c r="AA6" s="12">
        <v>200</v>
      </c>
      <c r="AB6" s="15" t="s">
        <v>180</v>
      </c>
      <c r="AC6" s="13">
        <v>2000</v>
      </c>
      <c r="AD6" s="13">
        <v>1800</v>
      </c>
      <c r="AE6" s="13">
        <v>1082</v>
      </c>
      <c r="AF6" s="13">
        <v>2882</v>
      </c>
      <c r="AG6" s="13">
        <v>45000</v>
      </c>
      <c r="AH6" s="13">
        <v>40118</v>
      </c>
      <c r="AI6" t="str">
        <f t="shared" si="0"/>
        <v>Forty  Thousand One Hundred and Eighteen</v>
      </c>
    </row>
    <row r="7" spans="1:35" x14ac:dyDescent="0.35">
      <c r="A7" s="5" t="s">
        <v>38</v>
      </c>
      <c r="B7" s="5" t="s">
        <v>39</v>
      </c>
      <c r="C7" s="3" t="s">
        <v>67</v>
      </c>
      <c r="D7" s="6" t="s">
        <v>59</v>
      </c>
      <c r="E7" t="s">
        <v>64</v>
      </c>
      <c r="F7" t="s">
        <v>65</v>
      </c>
      <c r="G7" s="7"/>
      <c r="H7" s="7"/>
      <c r="I7" s="7">
        <v>102317526464</v>
      </c>
      <c r="K7" s="8" t="s">
        <v>230</v>
      </c>
      <c r="L7" s="3" t="s">
        <v>288</v>
      </c>
      <c r="M7">
        <v>31</v>
      </c>
      <c r="N7">
        <v>0</v>
      </c>
      <c r="O7" s="8" t="s">
        <v>221</v>
      </c>
      <c r="P7" s="13">
        <v>22500</v>
      </c>
      <c r="Q7" s="13">
        <v>22500</v>
      </c>
      <c r="R7" s="13">
        <v>11250</v>
      </c>
      <c r="S7" s="13">
        <v>11250</v>
      </c>
      <c r="T7" s="13">
        <v>1600</v>
      </c>
      <c r="U7" s="13">
        <v>1600</v>
      </c>
      <c r="V7" s="13">
        <v>6768</v>
      </c>
      <c r="W7" s="13">
        <v>6768</v>
      </c>
      <c r="X7" s="13">
        <v>42118</v>
      </c>
      <c r="Y7" s="13">
        <v>42118</v>
      </c>
      <c r="Z7" s="13">
        <v>1800</v>
      </c>
      <c r="AA7" s="12">
        <v>200</v>
      </c>
      <c r="AB7" s="15" t="s">
        <v>180</v>
      </c>
      <c r="AC7" s="13">
        <v>2000</v>
      </c>
      <c r="AD7" s="13">
        <v>1800</v>
      </c>
      <c r="AE7" s="13">
        <v>1082</v>
      </c>
      <c r="AF7" s="13">
        <v>2882</v>
      </c>
      <c r="AG7" s="13">
        <v>45000</v>
      </c>
      <c r="AH7" s="13">
        <v>40118</v>
      </c>
      <c r="AI7" t="str">
        <f t="shared" si="0"/>
        <v>Forty  Thousand One Hundred and Eighteen</v>
      </c>
    </row>
    <row r="8" spans="1:35" x14ac:dyDescent="0.35">
      <c r="A8" s="5" t="s">
        <v>36</v>
      </c>
      <c r="B8" s="5" t="s">
        <v>37</v>
      </c>
      <c r="C8" s="3" t="s">
        <v>67</v>
      </c>
      <c r="D8" s="6" t="s">
        <v>59</v>
      </c>
      <c r="E8" t="s">
        <v>64</v>
      </c>
      <c r="F8" t="s">
        <v>65</v>
      </c>
      <c r="G8" s="7">
        <v>99980130963940</v>
      </c>
      <c r="H8" s="7" t="s">
        <v>157</v>
      </c>
      <c r="I8" s="7">
        <v>101994170916</v>
      </c>
      <c r="K8" s="8" t="s">
        <v>231</v>
      </c>
      <c r="L8" s="3" t="s">
        <v>288</v>
      </c>
      <c r="M8">
        <v>31</v>
      </c>
      <c r="N8">
        <v>0</v>
      </c>
      <c r="O8" s="8" t="s">
        <v>221</v>
      </c>
      <c r="P8" s="13">
        <v>22500</v>
      </c>
      <c r="Q8" s="13">
        <v>22500</v>
      </c>
      <c r="R8" s="13">
        <v>11250</v>
      </c>
      <c r="S8" s="13">
        <v>11250</v>
      </c>
      <c r="T8" s="13">
        <v>1600</v>
      </c>
      <c r="U8" s="13">
        <v>1600</v>
      </c>
      <c r="V8" s="13">
        <v>6768</v>
      </c>
      <c r="W8" s="13">
        <v>6768</v>
      </c>
      <c r="X8" s="13">
        <v>42118</v>
      </c>
      <c r="Y8" s="13">
        <v>42118</v>
      </c>
      <c r="Z8" s="13">
        <v>1800</v>
      </c>
      <c r="AA8" s="12">
        <v>200</v>
      </c>
      <c r="AB8" s="15" t="s">
        <v>180</v>
      </c>
      <c r="AC8" s="13">
        <v>2000</v>
      </c>
      <c r="AD8" s="13">
        <v>1800</v>
      </c>
      <c r="AE8" s="13">
        <v>1082</v>
      </c>
      <c r="AF8" s="13">
        <v>2882</v>
      </c>
      <c r="AG8" s="13">
        <v>45000</v>
      </c>
      <c r="AH8" s="13">
        <v>40118</v>
      </c>
      <c r="AI8" t="str">
        <f t="shared" si="0"/>
        <v>Forty  Thousand One Hundred and Eighteen</v>
      </c>
    </row>
    <row r="9" spans="1:35" x14ac:dyDescent="0.35">
      <c r="A9" s="5" t="s">
        <v>30</v>
      </c>
      <c r="B9" s="5" t="s">
        <v>31</v>
      </c>
      <c r="C9" s="3" t="s">
        <v>67</v>
      </c>
      <c r="D9" s="6" t="s">
        <v>59</v>
      </c>
      <c r="E9" t="s">
        <v>64</v>
      </c>
      <c r="F9" t="s">
        <v>65</v>
      </c>
      <c r="G9" s="7">
        <v>15550100112470</v>
      </c>
      <c r="H9" s="7" t="s">
        <v>157</v>
      </c>
      <c r="I9" s="7">
        <v>101736013234</v>
      </c>
      <c r="K9" s="8" t="s">
        <v>232</v>
      </c>
      <c r="L9" s="3" t="s">
        <v>288</v>
      </c>
      <c r="M9">
        <v>31</v>
      </c>
      <c r="N9">
        <v>0</v>
      </c>
      <c r="O9" s="8" t="s">
        <v>221</v>
      </c>
      <c r="P9" s="13">
        <v>22500</v>
      </c>
      <c r="Q9" s="13">
        <v>22500</v>
      </c>
      <c r="R9" s="13">
        <v>11250</v>
      </c>
      <c r="S9" s="13">
        <v>11250</v>
      </c>
      <c r="T9" s="13">
        <v>1600</v>
      </c>
      <c r="U9" s="13">
        <v>1600</v>
      </c>
      <c r="V9" s="13">
        <v>6768</v>
      </c>
      <c r="W9" s="13">
        <v>6768</v>
      </c>
      <c r="X9" s="13">
        <v>42118</v>
      </c>
      <c r="Y9" s="13">
        <v>42118</v>
      </c>
      <c r="Z9" s="13">
        <v>1800</v>
      </c>
      <c r="AA9" s="12">
        <v>200</v>
      </c>
      <c r="AB9" s="15" t="s">
        <v>180</v>
      </c>
      <c r="AC9" s="13">
        <v>2000</v>
      </c>
      <c r="AD9" s="13">
        <v>1800</v>
      </c>
      <c r="AE9" s="13">
        <v>1082</v>
      </c>
      <c r="AF9" s="13">
        <v>2882</v>
      </c>
      <c r="AG9" s="13">
        <v>45000</v>
      </c>
      <c r="AH9" s="13">
        <v>40118</v>
      </c>
      <c r="AI9" t="str">
        <f t="shared" si="0"/>
        <v>Forty  Thousand One Hundred and Eighteen</v>
      </c>
    </row>
    <row r="10" spans="1:35" x14ac:dyDescent="0.35">
      <c r="A10" s="5" t="s">
        <v>125</v>
      </c>
      <c r="B10" s="5" t="s">
        <v>141</v>
      </c>
      <c r="C10" s="3" t="s">
        <v>67</v>
      </c>
      <c r="D10" s="6" t="str">
        <f>VLOOKUP($A$36,'[1]Tech Employee'!$B$2:$AM$52,6,0)</f>
        <v>Graduate Trainee Engineer</v>
      </c>
      <c r="E10" t="s">
        <v>64</v>
      </c>
      <c r="F10" t="s">
        <v>65</v>
      </c>
      <c r="G10" s="7">
        <v>99980130961951</v>
      </c>
      <c r="H10" s="7" t="s">
        <v>157</v>
      </c>
      <c r="I10" s="7">
        <v>102317571939</v>
      </c>
      <c r="K10" s="8" t="s">
        <v>233</v>
      </c>
      <c r="L10" s="3" t="s">
        <v>288</v>
      </c>
      <c r="M10">
        <v>31</v>
      </c>
      <c r="N10">
        <v>0</v>
      </c>
      <c r="O10" s="8" t="s">
        <v>221</v>
      </c>
      <c r="P10" s="13">
        <v>11500</v>
      </c>
      <c r="Q10" s="13">
        <v>11500</v>
      </c>
      <c r="R10" s="13">
        <v>5750</v>
      </c>
      <c r="S10" s="13">
        <v>5750</v>
      </c>
      <c r="T10" s="13">
        <v>1600</v>
      </c>
      <c r="U10" s="13">
        <v>1600</v>
      </c>
      <c r="V10" s="13">
        <v>2217</v>
      </c>
      <c r="W10" s="13">
        <v>2217</v>
      </c>
      <c r="X10" s="13">
        <v>21067</v>
      </c>
      <c r="Y10" s="13">
        <v>21067</v>
      </c>
      <c r="Z10" s="13">
        <v>1380</v>
      </c>
      <c r="AA10" s="12">
        <v>200</v>
      </c>
      <c r="AB10" s="15" t="s">
        <v>180</v>
      </c>
      <c r="AC10" s="13">
        <v>1580</v>
      </c>
      <c r="AD10" s="13">
        <v>1380</v>
      </c>
      <c r="AE10" s="12">
        <v>553</v>
      </c>
      <c r="AF10" s="13">
        <v>1933</v>
      </c>
      <c r="AG10" s="13">
        <v>23000</v>
      </c>
      <c r="AH10" s="13">
        <v>19487</v>
      </c>
      <c r="AI10" t="str">
        <f t="shared" si="0"/>
        <v>Nineteen Thousand Four Hundred and Eighty Seven</v>
      </c>
    </row>
    <row r="11" spans="1:35" x14ac:dyDescent="0.35">
      <c r="A11" s="5" t="s">
        <v>44</v>
      </c>
      <c r="B11" s="5" t="s">
        <v>45</v>
      </c>
      <c r="C11" s="3" t="s">
        <v>67</v>
      </c>
      <c r="D11" s="6" t="s">
        <v>61</v>
      </c>
      <c r="E11" t="s">
        <v>64</v>
      </c>
      <c r="F11" t="s">
        <v>65</v>
      </c>
      <c r="G11" s="7">
        <v>99980130961894</v>
      </c>
      <c r="H11" s="7" t="s">
        <v>157</v>
      </c>
      <c r="I11" s="7">
        <v>102317547528</v>
      </c>
      <c r="K11" s="8" t="s">
        <v>234</v>
      </c>
      <c r="L11" s="3" t="s">
        <v>288</v>
      </c>
      <c r="M11">
        <v>31</v>
      </c>
      <c r="N11">
        <v>0</v>
      </c>
      <c r="O11" s="8" t="s">
        <v>221</v>
      </c>
      <c r="P11" s="13">
        <v>25000</v>
      </c>
      <c r="Q11" s="13">
        <v>25000</v>
      </c>
      <c r="R11" s="13">
        <v>12500</v>
      </c>
      <c r="S11" s="13">
        <v>12500</v>
      </c>
      <c r="T11" s="13">
        <v>1600</v>
      </c>
      <c r="U11" s="13">
        <v>1600</v>
      </c>
      <c r="V11" s="13">
        <v>7898</v>
      </c>
      <c r="W11" s="13">
        <v>7898</v>
      </c>
      <c r="X11" s="13">
        <v>46998</v>
      </c>
      <c r="Y11" s="13">
        <v>46998</v>
      </c>
      <c r="Z11" s="13">
        <v>1800</v>
      </c>
      <c r="AA11" s="12">
        <v>200</v>
      </c>
      <c r="AB11" s="15" t="s">
        <v>180</v>
      </c>
      <c r="AC11" s="13">
        <v>2000</v>
      </c>
      <c r="AD11" s="13">
        <v>1800</v>
      </c>
      <c r="AE11" s="13">
        <v>1202</v>
      </c>
      <c r="AF11" s="13">
        <v>3002</v>
      </c>
      <c r="AG11" s="13">
        <v>50000</v>
      </c>
      <c r="AH11" s="13">
        <v>44998</v>
      </c>
      <c r="AI11" t="str">
        <f t="shared" ref="AI11:AI19" si="1">CHOOSE(--LEFT(TEXT(AH11,"000000.00"))+1,,"One","Two","Three","Four","Five","Six","Seven","Eight","Nine")&amp;IF(--LEFT(TEXT(AH11,"000000.00"))=0,""," Lakh ")&amp;IF(--MID(TEXT(AH11,"000000.00"),2,1)&lt;&gt;1,CHOOSE(--MID(TEXT(AH11,"000000.00"),2,1)+1,,"","Twenty ","Thirty ","Forty ","Fifty ","Sixty ","Seventy ","Eighty ","Ninety "),"")&amp;IF(--MID(TEXT(AH11,"000000.00"),2,1)&lt;&gt;1,CHOOSE(--MID(TEXT(AH11,"000000.00"),3,1)+1,,"One","Two","Three","Four","Five","Six","Seven","Eight","Nine"),CHOOSE(--MID(TEXT(AH11,"000000.00"),3,1)+1,"Ten","Eleven","Twelve","Thirteen","Fourteen","Fifteen","Sixteen","Seventeen","Eighteen","Nineteen"))&amp;IF((--MID(TEXT(AH11,"000000.00"),2,1)+--MID(TEXT(AH11,"000000.00"),3,1))=0,""," Thousand ")&amp;CHOOSE(--MID(TEXT(AH11,"000000.00"),4,1)+1,,"One","Two","Three","Four","Five","Six","Seven","Eight","Nine")&amp;IF(--MID(TEXT(AH11,"000000.00"),4,1)=0,"",IF(AND(--MID(TEXT(AH11,"000000.00"),5,1)=0,--MID(TEXT(AH11,"000000.00"),6,1)=0)," Hundred"," Hundred and "))&amp;IF(--MID(TEXT(AH11,"000000.00"),5,1)&lt;&gt;1,CHOOSE(--MID(TEXT(AH11,"000000.00"),5,1)+1,,"","Twenty ","Thirty ","Forty ","Fifty ","Sixty ","Seventy ","Eighty ","Ninety "),"")&amp;IF(--MID(TEXT(AH11,"000000.00"),5,1)&lt;&gt;1,CHOOSE(--MID(TEXT(AH11,"000000.00"),6,1)+1,,"One","Two","Three","Four","Five","Six","Seven","Eight","Nine"),CHOOSE(--MID(TEXT(AH11,"000000.00"),6,1)+1,"Ten","Eleven","Twelve","Thirteen","Fourteen","Fifteen","Sixteen","Seventeen","Eighteen","Nineteen"))</f>
        <v>Forty Four Thousand Nine Hundred and Ninety Eight</v>
      </c>
    </row>
    <row r="12" spans="1:35" x14ac:dyDescent="0.35">
      <c r="A12" s="5" t="s">
        <v>46</v>
      </c>
      <c r="B12" s="5" t="s">
        <v>47</v>
      </c>
      <c r="C12" s="3" t="s">
        <v>67</v>
      </c>
      <c r="D12" s="6" t="s">
        <v>60</v>
      </c>
      <c r="E12" t="s">
        <v>64</v>
      </c>
      <c r="F12" t="s">
        <v>65</v>
      </c>
      <c r="G12" s="7">
        <v>99980130961878</v>
      </c>
      <c r="H12" s="7" t="s">
        <v>157</v>
      </c>
      <c r="I12" s="7">
        <v>102317765401</v>
      </c>
      <c r="K12" s="8" t="s">
        <v>235</v>
      </c>
      <c r="L12" s="3" t="s">
        <v>288</v>
      </c>
      <c r="M12">
        <v>31</v>
      </c>
      <c r="N12">
        <v>0</v>
      </c>
      <c r="O12" s="8" t="s">
        <v>221</v>
      </c>
      <c r="P12" s="13">
        <v>30000</v>
      </c>
      <c r="Q12" s="13">
        <v>30000</v>
      </c>
      <c r="R12" s="13">
        <v>15000</v>
      </c>
      <c r="S12" s="13">
        <v>15000</v>
      </c>
      <c r="T12" s="13">
        <v>1600</v>
      </c>
      <c r="U12" s="13">
        <v>1600</v>
      </c>
      <c r="V12" s="13">
        <v>10157</v>
      </c>
      <c r="W12" s="13">
        <v>10157</v>
      </c>
      <c r="X12" s="13">
        <v>56757</v>
      </c>
      <c r="Y12" s="13">
        <v>56757</v>
      </c>
      <c r="Z12" s="13">
        <v>1800</v>
      </c>
      <c r="AA12" s="12">
        <v>200</v>
      </c>
      <c r="AB12" s="15" t="s">
        <v>180</v>
      </c>
      <c r="AC12" s="13">
        <v>2000</v>
      </c>
      <c r="AD12" s="13">
        <v>1800</v>
      </c>
      <c r="AE12" s="13">
        <v>1443</v>
      </c>
      <c r="AF12" s="13">
        <v>3243</v>
      </c>
      <c r="AG12" s="13">
        <v>60000</v>
      </c>
      <c r="AH12" s="13">
        <v>54757</v>
      </c>
      <c r="AI12" t="str">
        <f t="shared" si="1"/>
        <v>Fifty Four Thousand Seven Hundred and Fifty Seven</v>
      </c>
    </row>
    <row r="13" spans="1:35" x14ac:dyDescent="0.35">
      <c r="A13" s="5" t="s">
        <v>106</v>
      </c>
      <c r="B13" s="5" t="s">
        <v>107</v>
      </c>
      <c r="C13" s="3" t="s">
        <v>112</v>
      </c>
      <c r="D13" s="6" t="s">
        <v>118</v>
      </c>
      <c r="E13" t="s">
        <v>64</v>
      </c>
      <c r="F13" t="s">
        <v>65</v>
      </c>
      <c r="G13" s="7" t="s">
        <v>166</v>
      </c>
      <c r="H13" s="7" t="s">
        <v>116</v>
      </c>
      <c r="I13" s="7">
        <v>102321858303</v>
      </c>
      <c r="K13" s="8" t="s">
        <v>236</v>
      </c>
      <c r="L13" s="3" t="s">
        <v>288</v>
      </c>
      <c r="M13">
        <v>31</v>
      </c>
      <c r="N13">
        <v>0</v>
      </c>
      <c r="O13" s="8" t="s">
        <v>221</v>
      </c>
      <c r="P13" s="13">
        <v>11500</v>
      </c>
      <c r="Q13" s="13">
        <v>11500</v>
      </c>
      <c r="R13" s="13">
        <v>5750</v>
      </c>
      <c r="S13" s="13">
        <v>5750</v>
      </c>
      <c r="T13" s="13">
        <v>1600</v>
      </c>
      <c r="U13" s="13">
        <v>1600</v>
      </c>
      <c r="V13" s="13">
        <v>2217</v>
      </c>
      <c r="W13" s="13">
        <v>2217</v>
      </c>
      <c r="X13" s="13">
        <v>21067</v>
      </c>
      <c r="Y13" s="13">
        <v>21067</v>
      </c>
      <c r="Z13" s="13">
        <v>1380</v>
      </c>
      <c r="AA13" s="12">
        <v>200</v>
      </c>
      <c r="AB13" s="15" t="s">
        <v>180</v>
      </c>
      <c r="AC13" s="13">
        <v>1580</v>
      </c>
      <c r="AD13" s="13">
        <v>1380</v>
      </c>
      <c r="AE13" s="12">
        <v>553</v>
      </c>
      <c r="AF13" s="13">
        <v>1933</v>
      </c>
      <c r="AG13" s="13">
        <v>23000</v>
      </c>
      <c r="AH13" s="13">
        <v>19487</v>
      </c>
      <c r="AI13" t="str">
        <f t="shared" si="1"/>
        <v>Nineteen Thousand Four Hundred and Eighty Seven</v>
      </c>
    </row>
    <row r="14" spans="1:35" x14ac:dyDescent="0.35">
      <c r="A14" s="5" t="s">
        <v>48</v>
      </c>
      <c r="B14" s="5" t="s">
        <v>49</v>
      </c>
      <c r="C14" s="3" t="s">
        <v>67</v>
      </c>
      <c r="D14" s="6" t="s">
        <v>60</v>
      </c>
      <c r="E14" t="s">
        <v>64</v>
      </c>
      <c r="F14" t="s">
        <v>65</v>
      </c>
      <c r="G14" s="7">
        <v>615728726</v>
      </c>
      <c r="H14" s="7" t="s">
        <v>183</v>
      </c>
      <c r="I14" s="7">
        <v>102270657335</v>
      </c>
      <c r="K14" s="8" t="s">
        <v>237</v>
      </c>
      <c r="L14" s="3" t="s">
        <v>288</v>
      </c>
      <c r="M14">
        <v>31</v>
      </c>
      <c r="N14">
        <v>0</v>
      </c>
      <c r="O14" s="8" t="s">
        <v>221</v>
      </c>
      <c r="P14" s="13">
        <v>30000</v>
      </c>
      <c r="Q14" s="13">
        <v>30000</v>
      </c>
      <c r="R14" s="13">
        <v>15000</v>
      </c>
      <c r="S14" s="13">
        <v>15000</v>
      </c>
      <c r="T14" s="13">
        <v>1600</v>
      </c>
      <c r="U14" s="13">
        <v>1600</v>
      </c>
      <c r="V14" s="13">
        <v>10157</v>
      </c>
      <c r="W14" s="13">
        <v>10157</v>
      </c>
      <c r="X14" s="13">
        <v>56757</v>
      </c>
      <c r="Y14" s="13">
        <v>56757</v>
      </c>
      <c r="Z14" s="13">
        <v>1800</v>
      </c>
      <c r="AA14" s="12">
        <v>200</v>
      </c>
      <c r="AB14" s="15" t="s">
        <v>180</v>
      </c>
      <c r="AC14" s="13">
        <v>2000</v>
      </c>
      <c r="AD14" s="13">
        <v>1800</v>
      </c>
      <c r="AE14" s="13">
        <v>1443</v>
      </c>
      <c r="AF14" s="13">
        <v>3243</v>
      </c>
      <c r="AG14" s="13">
        <v>60000</v>
      </c>
      <c r="AH14" s="13">
        <v>54757</v>
      </c>
      <c r="AI14" t="str">
        <f t="shared" si="1"/>
        <v>Fifty Four Thousand Seven Hundred and Fifty Seven</v>
      </c>
    </row>
    <row r="15" spans="1:35" x14ac:dyDescent="0.35">
      <c r="A15" s="5" t="s">
        <v>122</v>
      </c>
      <c r="B15" s="5" t="s">
        <v>123</v>
      </c>
      <c r="C15" s="3" t="s">
        <v>67</v>
      </c>
      <c r="D15" s="6" t="s">
        <v>119</v>
      </c>
      <c r="E15" t="s">
        <v>64</v>
      </c>
      <c r="F15" t="s">
        <v>65</v>
      </c>
      <c r="G15" s="7">
        <v>99980130963882</v>
      </c>
      <c r="H15" s="7" t="s">
        <v>157</v>
      </c>
      <c r="I15" s="7">
        <v>102317792928</v>
      </c>
      <c r="K15" s="8" t="s">
        <v>238</v>
      </c>
      <c r="L15" s="3" t="s">
        <v>288</v>
      </c>
      <c r="M15">
        <v>31</v>
      </c>
      <c r="N15">
        <v>0</v>
      </c>
      <c r="O15" s="8" t="s">
        <v>221</v>
      </c>
      <c r="P15" s="13">
        <v>7500</v>
      </c>
      <c r="Q15" s="13">
        <v>7500</v>
      </c>
      <c r="R15" s="13">
        <v>3750</v>
      </c>
      <c r="S15" s="13">
        <v>3750</v>
      </c>
      <c r="T15" s="13">
        <v>1600</v>
      </c>
      <c r="U15" s="13">
        <v>1600</v>
      </c>
      <c r="V15" s="12">
        <v>889</v>
      </c>
      <c r="W15" s="12">
        <v>889</v>
      </c>
      <c r="X15" s="13">
        <v>13739</v>
      </c>
      <c r="Y15" s="13">
        <v>13739</v>
      </c>
      <c r="Z15" s="12">
        <v>900</v>
      </c>
      <c r="AA15" s="12">
        <v>200</v>
      </c>
      <c r="AB15" s="15" t="s">
        <v>180</v>
      </c>
      <c r="AC15" s="13">
        <v>1100</v>
      </c>
      <c r="AD15" s="12">
        <v>900</v>
      </c>
      <c r="AE15" s="12">
        <v>361</v>
      </c>
      <c r="AF15" s="13">
        <v>1261</v>
      </c>
      <c r="AG15" s="13">
        <v>15000</v>
      </c>
      <c r="AH15" s="13">
        <v>12639</v>
      </c>
      <c r="AI15" t="str">
        <f t="shared" si="1"/>
        <v>Twelve Thousand Six Hundred and Thirty Nine</v>
      </c>
    </row>
    <row r="16" spans="1:35" x14ac:dyDescent="0.35">
      <c r="A16" s="5" t="s">
        <v>50</v>
      </c>
      <c r="B16" s="5" t="s">
        <v>51</v>
      </c>
      <c r="C16" s="3" t="s">
        <v>67</v>
      </c>
      <c r="D16" s="6" t="s">
        <v>62</v>
      </c>
      <c r="E16" t="s">
        <v>64</v>
      </c>
      <c r="F16" t="s">
        <v>65</v>
      </c>
      <c r="G16" s="7">
        <v>99980130961902</v>
      </c>
      <c r="H16" s="7" t="s">
        <v>157</v>
      </c>
      <c r="I16" s="7">
        <v>102317543305</v>
      </c>
      <c r="K16" s="8" t="s">
        <v>239</v>
      </c>
      <c r="L16" s="3" t="s">
        <v>288</v>
      </c>
      <c r="M16">
        <v>31</v>
      </c>
      <c r="N16">
        <v>0</v>
      </c>
      <c r="O16" s="8" t="s">
        <v>221</v>
      </c>
      <c r="P16" s="13">
        <v>17500</v>
      </c>
      <c r="Q16" s="13">
        <v>17500</v>
      </c>
      <c r="R16" s="13">
        <v>8750</v>
      </c>
      <c r="S16" s="13">
        <v>8750</v>
      </c>
      <c r="T16" s="13">
        <v>1600</v>
      </c>
      <c r="U16" s="13">
        <v>1600</v>
      </c>
      <c r="V16" s="13">
        <v>4508</v>
      </c>
      <c r="W16" s="13">
        <v>4508</v>
      </c>
      <c r="X16" s="13">
        <v>32358</v>
      </c>
      <c r="Y16" s="13">
        <v>32358</v>
      </c>
      <c r="Z16" s="13">
        <v>1800</v>
      </c>
      <c r="AA16" s="12">
        <v>200</v>
      </c>
      <c r="AB16" s="15" t="s">
        <v>180</v>
      </c>
      <c r="AC16" s="13">
        <v>2000</v>
      </c>
      <c r="AD16" s="13">
        <v>1800</v>
      </c>
      <c r="AE16" s="12">
        <v>842</v>
      </c>
      <c r="AF16" s="13">
        <v>2642</v>
      </c>
      <c r="AG16" s="13">
        <v>35000</v>
      </c>
      <c r="AH16" s="13">
        <v>30358</v>
      </c>
      <c r="AI16" t="str">
        <f t="shared" si="1"/>
        <v>Thirty  Thousand Three Hundred and Fifty Eight</v>
      </c>
    </row>
    <row r="17" spans="1:35" x14ac:dyDescent="0.35">
      <c r="A17" s="5" t="s">
        <v>52</v>
      </c>
      <c r="B17" s="5" t="s">
        <v>53</v>
      </c>
      <c r="C17" s="3" t="s">
        <v>67</v>
      </c>
      <c r="D17" s="6" t="s">
        <v>62</v>
      </c>
      <c r="E17" t="s">
        <v>64</v>
      </c>
      <c r="F17" t="s">
        <v>65</v>
      </c>
      <c r="G17" s="7">
        <v>99980130961761</v>
      </c>
      <c r="H17" s="7" t="s">
        <v>157</v>
      </c>
      <c r="I17" s="7">
        <v>102317508713</v>
      </c>
      <c r="K17" s="8" t="s">
        <v>240</v>
      </c>
      <c r="L17" s="3" t="s">
        <v>288</v>
      </c>
      <c r="M17">
        <v>31</v>
      </c>
      <c r="N17">
        <v>0</v>
      </c>
      <c r="O17" s="8" t="s">
        <v>221</v>
      </c>
      <c r="P17" s="13">
        <v>17500</v>
      </c>
      <c r="Q17" s="13">
        <v>17500</v>
      </c>
      <c r="R17" s="13">
        <v>8750</v>
      </c>
      <c r="S17" s="13">
        <v>8750</v>
      </c>
      <c r="T17" s="13">
        <v>1600</v>
      </c>
      <c r="U17" s="13">
        <v>1600</v>
      </c>
      <c r="V17" s="13">
        <v>4508</v>
      </c>
      <c r="W17" s="13">
        <v>4508</v>
      </c>
      <c r="X17" s="13">
        <v>32358</v>
      </c>
      <c r="Y17" s="13">
        <v>32358</v>
      </c>
      <c r="Z17" s="13">
        <v>1800</v>
      </c>
      <c r="AA17" s="12">
        <v>200</v>
      </c>
      <c r="AB17" s="15" t="s">
        <v>180</v>
      </c>
      <c r="AC17" s="13">
        <v>2000</v>
      </c>
      <c r="AD17" s="13">
        <v>1800</v>
      </c>
      <c r="AE17" s="12">
        <v>842</v>
      </c>
      <c r="AF17" s="13">
        <v>2642</v>
      </c>
      <c r="AG17" s="13">
        <v>35000</v>
      </c>
      <c r="AH17" s="13">
        <v>30358</v>
      </c>
      <c r="AI17" t="str">
        <f t="shared" si="1"/>
        <v>Thirty  Thousand Three Hundred and Fifty Eight</v>
      </c>
    </row>
    <row r="18" spans="1:35" x14ac:dyDescent="0.35">
      <c r="A18" s="5" t="s">
        <v>96</v>
      </c>
      <c r="B18" s="5" t="s">
        <v>97</v>
      </c>
      <c r="C18" s="3" t="s">
        <v>112</v>
      </c>
      <c r="D18" s="6" t="s">
        <v>59</v>
      </c>
      <c r="E18" t="s">
        <v>64</v>
      </c>
      <c r="F18" t="s">
        <v>65</v>
      </c>
      <c r="G18" s="7">
        <v>99980130961787</v>
      </c>
      <c r="H18" s="7" t="s">
        <v>157</v>
      </c>
      <c r="I18" s="7">
        <v>101878246332</v>
      </c>
      <c r="K18" s="8" t="s">
        <v>241</v>
      </c>
      <c r="L18" s="3" t="s">
        <v>288</v>
      </c>
      <c r="M18">
        <v>31</v>
      </c>
      <c r="N18">
        <v>0</v>
      </c>
      <c r="O18" s="8" t="s">
        <v>221</v>
      </c>
      <c r="P18" s="13">
        <v>22500</v>
      </c>
      <c r="Q18" s="13">
        <v>22500</v>
      </c>
      <c r="R18" s="13">
        <v>11250</v>
      </c>
      <c r="S18" s="13">
        <v>11250</v>
      </c>
      <c r="T18" s="13">
        <v>1600</v>
      </c>
      <c r="U18" s="13">
        <v>1600</v>
      </c>
      <c r="V18" s="13">
        <v>6768</v>
      </c>
      <c r="W18" s="13">
        <v>6768</v>
      </c>
      <c r="X18" s="13">
        <v>42118</v>
      </c>
      <c r="Y18" s="13">
        <v>42118</v>
      </c>
      <c r="Z18" s="13">
        <v>1800</v>
      </c>
      <c r="AA18" s="12">
        <v>200</v>
      </c>
      <c r="AB18" s="15" t="s">
        <v>180</v>
      </c>
      <c r="AC18" s="13">
        <v>2000</v>
      </c>
      <c r="AD18" s="13">
        <v>1800</v>
      </c>
      <c r="AE18" s="13">
        <v>1082</v>
      </c>
      <c r="AF18" s="13">
        <v>2882</v>
      </c>
      <c r="AG18" s="13">
        <v>45000</v>
      </c>
      <c r="AH18" s="13">
        <v>40118</v>
      </c>
      <c r="AI18" t="str">
        <f t="shared" si="1"/>
        <v>Forty  Thousand One Hundred and Eighteen</v>
      </c>
    </row>
    <row r="19" spans="1:35" x14ac:dyDescent="0.35">
      <c r="A19" s="5" t="s">
        <v>126</v>
      </c>
      <c r="B19" s="5" t="s">
        <v>142</v>
      </c>
      <c r="C19" s="3" t="s">
        <v>67</v>
      </c>
      <c r="D19" s="6" t="str">
        <f>VLOOKUP($A19,'[1]Tech Employee'!$B$2:$AM$52,6,0)</f>
        <v>Associate Software Engineer</v>
      </c>
      <c r="E19" t="s">
        <v>64</v>
      </c>
      <c r="F19" t="s">
        <v>65</v>
      </c>
      <c r="G19" s="7">
        <v>37182972098</v>
      </c>
      <c r="H19" s="7" t="s">
        <v>184</v>
      </c>
      <c r="I19" s="7">
        <v>102213700679</v>
      </c>
      <c r="K19" s="8" t="s">
        <v>242</v>
      </c>
      <c r="L19" s="3" t="s">
        <v>288</v>
      </c>
      <c r="M19">
        <v>31</v>
      </c>
      <c r="N19">
        <v>0</v>
      </c>
      <c r="O19" s="8" t="s">
        <v>221</v>
      </c>
      <c r="P19" s="13">
        <v>11500</v>
      </c>
      <c r="Q19" s="13">
        <v>11500</v>
      </c>
      <c r="R19" s="13">
        <v>5750</v>
      </c>
      <c r="S19" s="13">
        <v>5750</v>
      </c>
      <c r="T19" s="13">
        <v>1600</v>
      </c>
      <c r="U19" s="13">
        <v>1600</v>
      </c>
      <c r="V19" s="13">
        <v>2217</v>
      </c>
      <c r="W19" s="13">
        <v>2217</v>
      </c>
      <c r="X19" s="13">
        <v>21067</v>
      </c>
      <c r="Y19" s="13">
        <v>21067</v>
      </c>
      <c r="Z19" s="13">
        <v>1380</v>
      </c>
      <c r="AA19" s="12">
        <v>200</v>
      </c>
      <c r="AB19" s="15" t="s">
        <v>180</v>
      </c>
      <c r="AC19" s="13">
        <v>1580</v>
      </c>
      <c r="AD19" s="13">
        <v>1380</v>
      </c>
      <c r="AE19" s="12">
        <v>553</v>
      </c>
      <c r="AF19" s="13">
        <v>1933</v>
      </c>
      <c r="AG19" s="13">
        <v>23000</v>
      </c>
      <c r="AH19" s="13">
        <v>19487</v>
      </c>
      <c r="AI19" t="str">
        <f t="shared" si="1"/>
        <v>Nineteen Thousand Four Hundred and Eighty Seven</v>
      </c>
    </row>
    <row r="20" spans="1:35" x14ac:dyDescent="0.35">
      <c r="A20" s="5" t="s">
        <v>54</v>
      </c>
      <c r="B20" s="5" t="s">
        <v>55</v>
      </c>
      <c r="C20" s="3" t="s">
        <v>67</v>
      </c>
      <c r="D20" s="6" t="s">
        <v>60</v>
      </c>
      <c r="E20" t="s">
        <v>64</v>
      </c>
      <c r="F20" t="s">
        <v>65</v>
      </c>
      <c r="G20" s="7">
        <v>15550100112371</v>
      </c>
      <c r="H20" s="7" t="s">
        <v>157</v>
      </c>
      <c r="I20" s="7">
        <v>102000268989</v>
      </c>
      <c r="K20" s="8" t="s">
        <v>243</v>
      </c>
      <c r="L20" s="3" t="s">
        <v>288</v>
      </c>
      <c r="M20">
        <v>31</v>
      </c>
      <c r="N20">
        <v>1</v>
      </c>
      <c r="O20" s="8" t="s">
        <v>221</v>
      </c>
      <c r="P20" s="13">
        <v>30000</v>
      </c>
      <c r="Q20" s="13">
        <v>29032</v>
      </c>
      <c r="R20" s="13">
        <v>15000</v>
      </c>
      <c r="S20" s="13">
        <v>14516</v>
      </c>
      <c r="T20" s="13">
        <v>1600</v>
      </c>
      <c r="U20" s="13">
        <v>1548</v>
      </c>
      <c r="V20" s="13">
        <v>10157</v>
      </c>
      <c r="W20" s="13">
        <v>9829</v>
      </c>
      <c r="X20" s="13">
        <v>56757</v>
      </c>
      <c r="Y20" s="13">
        <v>54926</v>
      </c>
      <c r="Z20" s="13">
        <v>1800</v>
      </c>
      <c r="AA20" s="12">
        <v>200</v>
      </c>
      <c r="AB20" s="15" t="s">
        <v>180</v>
      </c>
      <c r="AC20" s="13">
        <v>2000</v>
      </c>
      <c r="AD20" s="13">
        <v>1800</v>
      </c>
      <c r="AE20" s="13">
        <v>1396</v>
      </c>
      <c r="AF20" s="13">
        <v>3196</v>
      </c>
      <c r="AG20" s="13">
        <v>60000</v>
      </c>
      <c r="AH20" s="13">
        <v>52926</v>
      </c>
      <c r="AI20" t="str">
        <f t="shared" ref="AI20:AI37" si="2">CHOOSE(--LEFT(TEXT(AH20,"000000.00"))+1,,"One","Two","Three","Four","Five","Six","Seven","Eight","Nine")&amp;IF(--LEFT(TEXT(AH20,"000000.00"))=0,""," Lakh ")&amp;IF(--MID(TEXT(AH20,"000000.00"),2,1)&lt;&gt;1,CHOOSE(--MID(TEXT(AH20,"000000.00"),2,1)+1,,"","Twenty ","Thirty ","Forty ","Fifty ","Sixty ","Seventy ","Eighty ","Ninety "),"")&amp;IF(--MID(TEXT(AH20,"000000.00"),2,1)&lt;&gt;1,CHOOSE(--MID(TEXT(AH20,"000000.00"),3,1)+1,,"One","Two","Three","Four","Five","Six","Seven","Eight","Nine"),CHOOSE(--MID(TEXT(AH20,"000000.00"),3,1)+1,"Ten","Eleven","Twelve","Thirteen","Fourteen","Fifteen","Sixteen","Seventeen","Eighteen","Nineteen"))&amp;IF((--MID(TEXT(AH20,"000000.00"),2,1)+--MID(TEXT(AH20,"000000.00"),3,1))=0,""," Thousand ")&amp;CHOOSE(--MID(TEXT(AH20,"000000.00"),4,1)+1,,"One","Two","Three","Four","Five","Six","Seven","Eight","Nine")&amp;IF(--MID(TEXT(AH20,"000000.00"),4,1)=0,"",IF(AND(--MID(TEXT(AH20,"000000.00"),5,1)=0,--MID(TEXT(AH20,"000000.00"),6,1)=0)," Hundred"," Hundred and "))&amp;IF(--MID(TEXT(AH20,"000000.00"),5,1)&lt;&gt;1,CHOOSE(--MID(TEXT(AH20,"000000.00"),5,1)+1,,"","Twenty ","Thirty ","Forty ","Fifty ","Sixty ","Seventy ","Eighty ","Ninety "),"")&amp;IF(--MID(TEXT(AH20,"000000.00"),5,1)&lt;&gt;1,CHOOSE(--MID(TEXT(AH20,"000000.00"),6,1)+1,,"One","Two","Three","Four","Five","Six","Seven","Eight","Nine"),CHOOSE(--MID(TEXT(AH20,"000000.00"),6,1)+1,"Ten","Eleven","Twelve","Thirteen","Fourteen","Fifteen","Sixteen","Seventeen","Eighteen","Nineteen"))</f>
        <v>Fifty Two Thousand Nine Hundred and Twenty Six</v>
      </c>
    </row>
    <row r="21" spans="1:35" x14ac:dyDescent="0.35">
      <c r="A21" s="5" t="s">
        <v>56</v>
      </c>
      <c r="B21" s="5" t="s">
        <v>57</v>
      </c>
      <c r="C21" s="3" t="s">
        <v>67</v>
      </c>
      <c r="D21" s="6" t="s">
        <v>60</v>
      </c>
      <c r="E21" t="s">
        <v>64</v>
      </c>
      <c r="F21" t="s">
        <v>65</v>
      </c>
      <c r="G21" s="7" t="s">
        <v>162</v>
      </c>
      <c r="H21" s="7" t="s">
        <v>163</v>
      </c>
      <c r="I21" s="7">
        <v>100640473426</v>
      </c>
      <c r="K21" s="8" t="s">
        <v>244</v>
      </c>
      <c r="L21" s="3" t="s">
        <v>288</v>
      </c>
      <c r="M21">
        <v>31</v>
      </c>
      <c r="N21">
        <v>0</v>
      </c>
      <c r="O21" s="8" t="s">
        <v>221</v>
      </c>
      <c r="P21" s="13">
        <v>30000</v>
      </c>
      <c r="Q21" s="13">
        <v>30000</v>
      </c>
      <c r="R21" s="13">
        <v>15000</v>
      </c>
      <c r="S21" s="13">
        <v>15000</v>
      </c>
      <c r="T21" s="13">
        <v>1600</v>
      </c>
      <c r="U21" s="13">
        <v>1600</v>
      </c>
      <c r="V21" s="13">
        <v>10157</v>
      </c>
      <c r="W21" s="13">
        <v>10157</v>
      </c>
      <c r="X21" s="13">
        <v>56757</v>
      </c>
      <c r="Y21" s="13">
        <v>56757</v>
      </c>
      <c r="Z21" s="13">
        <v>1800</v>
      </c>
      <c r="AA21" s="12">
        <v>200</v>
      </c>
      <c r="AB21" s="15" t="s">
        <v>180</v>
      </c>
      <c r="AC21" s="13">
        <v>2000</v>
      </c>
      <c r="AD21" s="13">
        <v>1800</v>
      </c>
      <c r="AE21" s="13">
        <v>1443</v>
      </c>
      <c r="AF21" s="13">
        <v>3243</v>
      </c>
      <c r="AG21" s="13">
        <v>60000</v>
      </c>
      <c r="AH21" s="13">
        <v>54757</v>
      </c>
      <c r="AI21" t="str">
        <f t="shared" si="2"/>
        <v>Fifty Four Thousand Seven Hundred and Fifty Seven</v>
      </c>
    </row>
    <row r="22" spans="1:35" x14ac:dyDescent="0.35">
      <c r="A22" s="5" t="s">
        <v>26</v>
      </c>
      <c r="B22" s="5" t="s">
        <v>27</v>
      </c>
      <c r="C22" s="3" t="s">
        <v>66</v>
      </c>
      <c r="D22" s="6" t="s">
        <v>58</v>
      </c>
      <c r="E22" t="s">
        <v>63</v>
      </c>
      <c r="F22" t="s">
        <v>65</v>
      </c>
      <c r="G22" s="7">
        <v>99980130961795</v>
      </c>
      <c r="H22" s="7" t="s">
        <v>157</v>
      </c>
      <c r="I22" s="7"/>
      <c r="K22" s="8" t="s">
        <v>245</v>
      </c>
      <c r="L22" s="3" t="s">
        <v>288</v>
      </c>
      <c r="M22">
        <v>31</v>
      </c>
      <c r="N22">
        <v>0</v>
      </c>
      <c r="O22" s="8" t="s">
        <v>221</v>
      </c>
      <c r="P22" s="13">
        <v>50000</v>
      </c>
      <c r="Q22" s="13">
        <v>50000</v>
      </c>
      <c r="R22" s="13">
        <v>25000</v>
      </c>
      <c r="S22" s="13">
        <v>25000</v>
      </c>
      <c r="T22" s="13">
        <v>1600</v>
      </c>
      <c r="U22" s="13">
        <v>1600</v>
      </c>
      <c r="V22" s="13">
        <v>19195</v>
      </c>
      <c r="W22" s="13">
        <v>19195</v>
      </c>
      <c r="X22" s="13">
        <v>95795</v>
      </c>
      <c r="Y22" s="13">
        <v>95795</v>
      </c>
      <c r="Z22" s="13">
        <v>1800</v>
      </c>
      <c r="AA22" s="12">
        <v>200</v>
      </c>
      <c r="AB22" s="15" t="s">
        <v>180</v>
      </c>
      <c r="AC22" s="13">
        <v>2000</v>
      </c>
      <c r="AD22" s="13">
        <v>1800</v>
      </c>
      <c r="AE22" s="13">
        <v>2405</v>
      </c>
      <c r="AF22" s="13">
        <v>4205</v>
      </c>
      <c r="AG22" s="13">
        <v>99690</v>
      </c>
      <c r="AH22" s="13">
        <v>93615</v>
      </c>
      <c r="AI22" t="str">
        <f t="shared" si="2"/>
        <v>Ninety Three Thousand Six Hundred and Fifteen</v>
      </c>
    </row>
    <row r="23" spans="1:35" x14ac:dyDescent="0.35">
      <c r="A23" s="5" t="s">
        <v>78</v>
      </c>
      <c r="B23" s="5" t="s">
        <v>79</v>
      </c>
      <c r="C23" s="3" t="s">
        <v>112</v>
      </c>
      <c r="D23" s="6" t="s">
        <v>62</v>
      </c>
      <c r="E23" t="s">
        <v>64</v>
      </c>
      <c r="F23" t="s">
        <v>65</v>
      </c>
      <c r="G23" s="7">
        <v>15550100112314</v>
      </c>
      <c r="H23" s="7" t="s">
        <v>157</v>
      </c>
      <c r="I23" s="7">
        <v>101496699678</v>
      </c>
      <c r="K23" s="8" t="s">
        <v>246</v>
      </c>
      <c r="L23" s="3" t="s">
        <v>288</v>
      </c>
      <c r="M23">
        <v>31</v>
      </c>
      <c r="N23">
        <v>0</v>
      </c>
      <c r="O23" s="8" t="s">
        <v>221</v>
      </c>
      <c r="P23" s="13">
        <v>17500</v>
      </c>
      <c r="Q23" s="13">
        <v>17500</v>
      </c>
      <c r="R23" s="13">
        <v>8750</v>
      </c>
      <c r="S23" s="13">
        <v>8750</v>
      </c>
      <c r="T23" s="13">
        <v>1600</v>
      </c>
      <c r="U23" s="13">
        <v>1600</v>
      </c>
      <c r="V23" s="13">
        <v>4508</v>
      </c>
      <c r="W23" s="13">
        <v>4508</v>
      </c>
      <c r="X23" s="13">
        <v>32358</v>
      </c>
      <c r="Y23" s="13">
        <v>32358</v>
      </c>
      <c r="Z23" s="13">
        <v>1800</v>
      </c>
      <c r="AA23" s="12">
        <v>200</v>
      </c>
      <c r="AB23" s="15" t="s">
        <v>180</v>
      </c>
      <c r="AC23" s="13">
        <v>2000</v>
      </c>
      <c r="AD23" s="13">
        <v>1800</v>
      </c>
      <c r="AE23" s="12">
        <v>842</v>
      </c>
      <c r="AF23" s="13">
        <v>2642</v>
      </c>
      <c r="AG23" s="13">
        <v>35000</v>
      </c>
      <c r="AH23" s="13">
        <v>30358</v>
      </c>
      <c r="AI23" t="str">
        <f t="shared" si="2"/>
        <v>Thirty  Thousand Three Hundred and Fifty Eight</v>
      </c>
    </row>
    <row r="24" spans="1:35" x14ac:dyDescent="0.35">
      <c r="A24" s="5" t="s">
        <v>80</v>
      </c>
      <c r="B24" s="5" t="s">
        <v>81</v>
      </c>
      <c r="C24" s="3" t="s">
        <v>112</v>
      </c>
      <c r="D24" s="6" t="s">
        <v>117</v>
      </c>
      <c r="E24" t="s">
        <v>64</v>
      </c>
      <c r="F24" t="s">
        <v>65</v>
      </c>
      <c r="G24" s="7" t="s">
        <v>164</v>
      </c>
      <c r="H24" s="7" t="s">
        <v>113</v>
      </c>
      <c r="I24" s="7">
        <v>101812070660</v>
      </c>
      <c r="K24" s="8" t="s">
        <v>247</v>
      </c>
      <c r="L24" s="3" t="s">
        <v>288</v>
      </c>
      <c r="M24">
        <v>31</v>
      </c>
      <c r="N24">
        <v>0</v>
      </c>
      <c r="O24" s="8" t="s">
        <v>221</v>
      </c>
      <c r="P24" s="13">
        <v>15000</v>
      </c>
      <c r="Q24" s="13">
        <v>15000</v>
      </c>
      <c r="R24" s="13">
        <v>7500</v>
      </c>
      <c r="S24" s="13">
        <v>7500</v>
      </c>
      <c r="T24" s="13">
        <v>1600</v>
      </c>
      <c r="U24" s="13">
        <v>1600</v>
      </c>
      <c r="V24" s="13">
        <v>3379</v>
      </c>
      <c r="W24" s="13">
        <v>3379</v>
      </c>
      <c r="X24" s="13">
        <v>27479</v>
      </c>
      <c r="Y24" s="13">
        <v>27479</v>
      </c>
      <c r="Z24" s="13">
        <v>1800</v>
      </c>
      <c r="AA24" s="12">
        <v>200</v>
      </c>
      <c r="AB24" s="15" t="s">
        <v>180</v>
      </c>
      <c r="AC24" s="13">
        <v>2000</v>
      </c>
      <c r="AD24" s="13">
        <v>1800</v>
      </c>
      <c r="AE24" s="12">
        <v>721</v>
      </c>
      <c r="AF24" s="13">
        <v>2521</v>
      </c>
      <c r="AG24" s="13">
        <v>30000</v>
      </c>
      <c r="AH24" s="13">
        <v>25479</v>
      </c>
      <c r="AI24" t="str">
        <f t="shared" si="2"/>
        <v>Twenty Five Thousand Four Hundred and Seventy Nine</v>
      </c>
    </row>
    <row r="25" spans="1:35" x14ac:dyDescent="0.35">
      <c r="A25" s="5" t="s">
        <v>110</v>
      </c>
      <c r="B25" s="5" t="s">
        <v>111</v>
      </c>
      <c r="C25" s="3" t="s">
        <v>112</v>
      </c>
      <c r="D25" s="6" t="s">
        <v>124</v>
      </c>
      <c r="E25" t="s">
        <v>222</v>
      </c>
      <c r="F25" t="s">
        <v>65</v>
      </c>
      <c r="G25" s="7">
        <v>111101513423</v>
      </c>
      <c r="H25" s="7" t="s">
        <v>121</v>
      </c>
      <c r="I25" s="7">
        <v>102135829120</v>
      </c>
      <c r="K25" s="8" t="s">
        <v>248</v>
      </c>
      <c r="L25" s="3" t="s">
        <v>288</v>
      </c>
      <c r="M25">
        <v>31</v>
      </c>
      <c r="N25">
        <v>0</v>
      </c>
      <c r="O25" s="8" t="s">
        <v>221</v>
      </c>
      <c r="P25" s="13">
        <v>17500</v>
      </c>
      <c r="Q25" s="13">
        <v>17500</v>
      </c>
      <c r="R25" s="13">
        <v>8750</v>
      </c>
      <c r="S25" s="13">
        <v>8750</v>
      </c>
      <c r="T25" s="13">
        <v>1600</v>
      </c>
      <c r="U25" s="13">
        <v>1600</v>
      </c>
      <c r="V25" s="13">
        <v>4508</v>
      </c>
      <c r="W25" s="13">
        <v>4508</v>
      </c>
      <c r="X25" s="13">
        <v>32358</v>
      </c>
      <c r="Y25" s="13">
        <v>32358</v>
      </c>
      <c r="Z25" s="13">
        <v>1800</v>
      </c>
      <c r="AA25" s="12">
        <v>200</v>
      </c>
      <c r="AB25" s="15" t="s">
        <v>180</v>
      </c>
      <c r="AC25" s="13">
        <v>2000</v>
      </c>
      <c r="AD25" s="13">
        <v>1800</v>
      </c>
      <c r="AE25" s="12">
        <v>842</v>
      </c>
      <c r="AF25" s="13">
        <v>2642</v>
      </c>
      <c r="AG25" s="13">
        <v>35000</v>
      </c>
      <c r="AH25" s="13">
        <v>30358</v>
      </c>
      <c r="AI25" t="str">
        <f t="shared" si="2"/>
        <v>Thirty  Thousand Three Hundred and Fifty Eight</v>
      </c>
    </row>
    <row r="26" spans="1:35" x14ac:dyDescent="0.35">
      <c r="A26" s="5" t="s">
        <v>82</v>
      </c>
      <c r="B26" s="5" t="s">
        <v>83</v>
      </c>
      <c r="C26" s="3" t="s">
        <v>112</v>
      </c>
      <c r="D26" s="6" t="s">
        <v>61</v>
      </c>
      <c r="E26" t="s">
        <v>64</v>
      </c>
      <c r="F26" t="s">
        <v>65</v>
      </c>
      <c r="G26" s="7" t="s">
        <v>165</v>
      </c>
      <c r="H26" s="7" t="s">
        <v>114</v>
      </c>
      <c r="I26" s="7">
        <v>101577152605</v>
      </c>
      <c r="K26" s="8" t="s">
        <v>249</v>
      </c>
      <c r="L26" s="3" t="s">
        <v>288</v>
      </c>
      <c r="M26">
        <v>31</v>
      </c>
      <c r="N26">
        <v>0</v>
      </c>
      <c r="O26" s="8" t="s">
        <v>221</v>
      </c>
      <c r="P26" s="13">
        <v>25000</v>
      </c>
      <c r="Q26" s="13">
        <v>25000</v>
      </c>
      <c r="R26" s="13">
        <v>12500</v>
      </c>
      <c r="S26" s="13">
        <v>12500</v>
      </c>
      <c r="T26" s="13">
        <v>1600</v>
      </c>
      <c r="U26" s="13">
        <v>1600</v>
      </c>
      <c r="V26" s="13">
        <v>7898</v>
      </c>
      <c r="W26" s="13">
        <v>7898</v>
      </c>
      <c r="X26" s="13">
        <v>46998</v>
      </c>
      <c r="Y26" s="13">
        <v>46998</v>
      </c>
      <c r="Z26" s="13">
        <v>1800</v>
      </c>
      <c r="AA26" s="12">
        <v>200</v>
      </c>
      <c r="AB26" s="15" t="s">
        <v>180</v>
      </c>
      <c r="AC26" s="13">
        <v>2000</v>
      </c>
      <c r="AD26" s="13">
        <v>1800</v>
      </c>
      <c r="AE26" s="13">
        <v>1202</v>
      </c>
      <c r="AF26" s="13">
        <v>3002</v>
      </c>
      <c r="AG26" s="13">
        <v>50000</v>
      </c>
      <c r="AH26" s="13">
        <v>44998</v>
      </c>
      <c r="AI26" t="str">
        <f t="shared" si="2"/>
        <v>Forty Four Thousand Nine Hundred and Ninety Eight</v>
      </c>
    </row>
    <row r="27" spans="1:35" x14ac:dyDescent="0.35">
      <c r="A27" s="5" t="s">
        <v>84</v>
      </c>
      <c r="B27" s="5" t="s">
        <v>85</v>
      </c>
      <c r="C27" s="3" t="s">
        <v>68</v>
      </c>
      <c r="D27" s="6" t="s">
        <v>118</v>
      </c>
      <c r="E27" t="s">
        <v>64</v>
      </c>
      <c r="F27" t="s">
        <v>65</v>
      </c>
      <c r="G27" s="7">
        <v>55560103431927</v>
      </c>
      <c r="H27" s="7" t="s">
        <v>157</v>
      </c>
      <c r="I27" s="7">
        <v>102241197755</v>
      </c>
      <c r="K27" s="8" t="s">
        <v>250</v>
      </c>
      <c r="L27" s="3" t="s">
        <v>288</v>
      </c>
      <c r="M27">
        <v>31</v>
      </c>
      <c r="N27">
        <v>0</v>
      </c>
      <c r="O27" s="8" t="s">
        <v>221</v>
      </c>
      <c r="P27" s="13">
        <v>11500</v>
      </c>
      <c r="Q27" s="13">
        <v>11500</v>
      </c>
      <c r="R27" s="13">
        <v>5750</v>
      </c>
      <c r="S27" s="13">
        <v>5750</v>
      </c>
      <c r="T27" s="13">
        <v>1600</v>
      </c>
      <c r="U27" s="13">
        <v>1600</v>
      </c>
      <c r="V27" s="13">
        <v>2217</v>
      </c>
      <c r="W27" s="13">
        <v>2217</v>
      </c>
      <c r="X27" s="13">
        <v>21067</v>
      </c>
      <c r="Y27" s="13">
        <v>21067</v>
      </c>
      <c r="Z27" s="13">
        <v>1380</v>
      </c>
      <c r="AA27" s="12">
        <v>200</v>
      </c>
      <c r="AB27" s="15" t="s">
        <v>180</v>
      </c>
      <c r="AC27" s="13">
        <v>1580</v>
      </c>
      <c r="AD27" s="13">
        <v>1380</v>
      </c>
      <c r="AE27" s="12">
        <v>553</v>
      </c>
      <c r="AF27" s="13">
        <v>1933</v>
      </c>
      <c r="AG27" s="13">
        <v>22253</v>
      </c>
      <c r="AH27" s="13">
        <v>19487</v>
      </c>
      <c r="AI27" t="str">
        <f t="shared" si="2"/>
        <v>Nineteen Thousand Four Hundred and Eighty Seven</v>
      </c>
    </row>
    <row r="28" spans="1:35" x14ac:dyDescent="0.35">
      <c r="A28" s="5" t="s">
        <v>86</v>
      </c>
      <c r="B28" s="5" t="s">
        <v>87</v>
      </c>
      <c r="C28" s="3" t="s">
        <v>112</v>
      </c>
      <c r="D28" s="6" t="s">
        <v>119</v>
      </c>
      <c r="E28" t="s">
        <v>64</v>
      </c>
      <c r="F28" t="s">
        <v>65</v>
      </c>
      <c r="G28" s="7">
        <v>15550100112355</v>
      </c>
      <c r="H28" s="7" t="s">
        <v>157</v>
      </c>
      <c r="I28" s="7">
        <v>102260670501</v>
      </c>
      <c r="K28" s="8" t="s">
        <v>251</v>
      </c>
      <c r="L28" s="3" t="s">
        <v>288</v>
      </c>
      <c r="M28">
        <v>31</v>
      </c>
      <c r="N28">
        <v>0</v>
      </c>
      <c r="O28" s="8" t="s">
        <v>221</v>
      </c>
      <c r="P28" s="13">
        <v>7500</v>
      </c>
      <c r="Q28" s="13">
        <v>7500</v>
      </c>
      <c r="R28" s="13">
        <v>3750</v>
      </c>
      <c r="S28" s="13">
        <v>3750</v>
      </c>
      <c r="T28" s="13">
        <v>1600</v>
      </c>
      <c r="U28" s="13">
        <v>1600</v>
      </c>
      <c r="V28" s="12">
        <v>889</v>
      </c>
      <c r="W28" s="12">
        <v>889</v>
      </c>
      <c r="X28" s="13">
        <v>13739</v>
      </c>
      <c r="Y28" s="13">
        <v>13739</v>
      </c>
      <c r="Z28" s="12">
        <v>900</v>
      </c>
      <c r="AA28" s="12">
        <v>150</v>
      </c>
      <c r="AB28" s="15" t="s">
        <v>180</v>
      </c>
      <c r="AC28" s="13">
        <v>1050</v>
      </c>
      <c r="AD28" s="12">
        <v>900</v>
      </c>
      <c r="AE28" s="12">
        <v>361</v>
      </c>
      <c r="AF28" s="13">
        <v>1261</v>
      </c>
      <c r="AG28" s="13">
        <v>15000</v>
      </c>
      <c r="AH28" s="13">
        <v>12689</v>
      </c>
      <c r="AI28" t="str">
        <f t="shared" si="2"/>
        <v>Twelve Thousand Six Hundred and Eighty Nine</v>
      </c>
    </row>
    <row r="29" spans="1:35" x14ac:dyDescent="0.35">
      <c r="A29" s="5" t="s">
        <v>88</v>
      </c>
      <c r="B29" s="5" t="s">
        <v>89</v>
      </c>
      <c r="C29" s="3" t="s">
        <v>112</v>
      </c>
      <c r="D29" s="6" t="s">
        <v>119</v>
      </c>
      <c r="E29" t="s">
        <v>64</v>
      </c>
      <c r="F29" t="s">
        <v>65</v>
      </c>
      <c r="G29" s="7">
        <v>15550100112280</v>
      </c>
      <c r="H29" s="7" t="s">
        <v>157</v>
      </c>
      <c r="I29" s="7">
        <v>102241771762</v>
      </c>
      <c r="K29" s="8" t="s">
        <v>252</v>
      </c>
      <c r="L29" s="3" t="s">
        <v>288</v>
      </c>
      <c r="M29">
        <v>31</v>
      </c>
      <c r="N29">
        <v>0</v>
      </c>
      <c r="O29" s="8" t="s">
        <v>221</v>
      </c>
      <c r="P29" s="13">
        <v>7500</v>
      </c>
      <c r="Q29" s="13">
        <v>7500</v>
      </c>
      <c r="R29" s="13">
        <v>3750</v>
      </c>
      <c r="S29" s="13">
        <v>3750</v>
      </c>
      <c r="T29" s="13">
        <v>1600</v>
      </c>
      <c r="U29" s="13">
        <v>1600</v>
      </c>
      <c r="V29" s="12">
        <v>889</v>
      </c>
      <c r="W29" s="12">
        <v>889</v>
      </c>
      <c r="X29" s="13">
        <v>13739</v>
      </c>
      <c r="Y29" s="13">
        <v>13739</v>
      </c>
      <c r="Z29" s="12">
        <v>900</v>
      </c>
      <c r="AA29" s="12">
        <v>150</v>
      </c>
      <c r="AB29" s="15" t="s">
        <v>180</v>
      </c>
      <c r="AC29" s="13">
        <v>1050</v>
      </c>
      <c r="AD29" s="12">
        <v>900</v>
      </c>
      <c r="AE29" s="12">
        <v>361</v>
      </c>
      <c r="AF29" s="13">
        <v>1261</v>
      </c>
      <c r="AG29" s="13">
        <v>15000</v>
      </c>
      <c r="AH29" s="13">
        <v>12689</v>
      </c>
      <c r="AI29" t="str">
        <f t="shared" si="2"/>
        <v>Twelve Thousand Six Hundred and Eighty Nine</v>
      </c>
    </row>
    <row r="30" spans="1:35" x14ac:dyDescent="0.35">
      <c r="A30" s="5" t="s">
        <v>90</v>
      </c>
      <c r="B30" s="5" t="s">
        <v>91</v>
      </c>
      <c r="C30" s="3" t="s">
        <v>112</v>
      </c>
      <c r="D30" s="6" t="s">
        <v>119</v>
      </c>
      <c r="E30" t="s">
        <v>64</v>
      </c>
      <c r="F30" t="s">
        <v>65</v>
      </c>
      <c r="G30" s="7">
        <v>15550100112272</v>
      </c>
      <c r="H30" s="7" t="s">
        <v>157</v>
      </c>
      <c r="I30" s="7">
        <v>101865114927</v>
      </c>
      <c r="K30" s="8" t="s">
        <v>253</v>
      </c>
      <c r="L30" s="3" t="s">
        <v>288</v>
      </c>
      <c r="M30">
        <v>31</v>
      </c>
      <c r="N30">
        <v>0</v>
      </c>
      <c r="O30" s="8" t="s">
        <v>221</v>
      </c>
      <c r="P30" s="13">
        <v>7500</v>
      </c>
      <c r="Q30" s="13">
        <v>7500</v>
      </c>
      <c r="R30" s="13">
        <v>3750</v>
      </c>
      <c r="S30" s="13">
        <v>3750</v>
      </c>
      <c r="T30" s="13">
        <v>1600</v>
      </c>
      <c r="U30" s="13">
        <v>1600</v>
      </c>
      <c r="V30" s="12">
        <v>889</v>
      </c>
      <c r="W30" s="12">
        <v>889</v>
      </c>
      <c r="X30" s="13">
        <v>13739</v>
      </c>
      <c r="Y30" s="13">
        <v>13739</v>
      </c>
      <c r="Z30" s="12">
        <v>900</v>
      </c>
      <c r="AA30" s="12">
        <v>150</v>
      </c>
      <c r="AB30" s="15" t="s">
        <v>180</v>
      </c>
      <c r="AC30" s="13">
        <v>1050</v>
      </c>
      <c r="AD30" s="12">
        <v>900</v>
      </c>
      <c r="AE30" s="12">
        <v>361</v>
      </c>
      <c r="AF30" s="13">
        <v>1261</v>
      </c>
      <c r="AG30" s="13">
        <v>15000</v>
      </c>
      <c r="AH30" s="13">
        <v>12689</v>
      </c>
      <c r="AI30" t="str">
        <f t="shared" si="2"/>
        <v>Twelve Thousand Six Hundred and Eighty Nine</v>
      </c>
    </row>
    <row r="31" spans="1:35" x14ac:dyDescent="0.35">
      <c r="A31" s="5" t="s">
        <v>92</v>
      </c>
      <c r="B31" s="5" t="s">
        <v>93</v>
      </c>
      <c r="C31" s="3" t="s">
        <v>112</v>
      </c>
      <c r="D31" s="6" t="s">
        <v>118</v>
      </c>
      <c r="E31" t="s">
        <v>64</v>
      </c>
      <c r="F31" t="s">
        <v>65</v>
      </c>
      <c r="G31" s="7">
        <v>15550100112306</v>
      </c>
      <c r="H31" s="7" t="s">
        <v>157</v>
      </c>
      <c r="I31" s="7">
        <v>101923719120</v>
      </c>
      <c r="K31" s="8" t="s">
        <v>254</v>
      </c>
      <c r="L31" s="3" t="s">
        <v>288</v>
      </c>
      <c r="M31">
        <v>31</v>
      </c>
      <c r="N31">
        <v>0</v>
      </c>
      <c r="O31" s="8" t="s">
        <v>221</v>
      </c>
      <c r="P31" s="13">
        <v>7500</v>
      </c>
      <c r="Q31" s="13">
        <v>7500</v>
      </c>
      <c r="R31" s="13">
        <v>3750</v>
      </c>
      <c r="S31" s="13">
        <v>3750</v>
      </c>
      <c r="T31" s="13">
        <v>1600</v>
      </c>
      <c r="U31" s="13">
        <v>1600</v>
      </c>
      <c r="V31" s="12">
        <v>889</v>
      </c>
      <c r="W31" s="12">
        <v>889</v>
      </c>
      <c r="X31" s="13">
        <v>13739</v>
      </c>
      <c r="Y31" s="13">
        <v>13739</v>
      </c>
      <c r="Z31" s="12">
        <v>900</v>
      </c>
      <c r="AA31" s="12">
        <v>150</v>
      </c>
      <c r="AB31" s="15" t="s">
        <v>180</v>
      </c>
      <c r="AC31" s="13">
        <v>1050</v>
      </c>
      <c r="AD31" s="12">
        <v>900</v>
      </c>
      <c r="AE31" s="12">
        <v>361</v>
      </c>
      <c r="AF31" s="13">
        <v>1261</v>
      </c>
      <c r="AG31" s="13">
        <v>15000</v>
      </c>
      <c r="AH31" s="13">
        <v>12689</v>
      </c>
      <c r="AI31" t="str">
        <f t="shared" si="2"/>
        <v>Twelve Thousand Six Hundred and Eighty Nine</v>
      </c>
    </row>
    <row r="32" spans="1:35" x14ac:dyDescent="0.35">
      <c r="A32" s="5" t="s">
        <v>94</v>
      </c>
      <c r="B32" s="5" t="s">
        <v>95</v>
      </c>
      <c r="C32" s="3" t="s">
        <v>112</v>
      </c>
      <c r="D32" s="6" t="s">
        <v>118</v>
      </c>
      <c r="E32" t="s">
        <v>64</v>
      </c>
      <c r="F32" t="s">
        <v>65</v>
      </c>
      <c r="G32" s="7">
        <v>15550100112298</v>
      </c>
      <c r="H32" s="7" t="s">
        <v>157</v>
      </c>
      <c r="I32" s="7">
        <v>102273733458</v>
      </c>
      <c r="K32" s="8" t="s">
        <v>255</v>
      </c>
      <c r="L32" s="3" t="s">
        <v>288</v>
      </c>
      <c r="M32">
        <v>31</v>
      </c>
      <c r="N32">
        <v>0</v>
      </c>
      <c r="O32" s="8" t="s">
        <v>221</v>
      </c>
      <c r="P32" s="13">
        <v>7500</v>
      </c>
      <c r="Q32" s="13">
        <v>7500</v>
      </c>
      <c r="R32" s="13">
        <v>3750</v>
      </c>
      <c r="S32" s="13">
        <v>3750</v>
      </c>
      <c r="T32" s="13">
        <v>1600</v>
      </c>
      <c r="U32" s="13">
        <v>1600</v>
      </c>
      <c r="V32" s="12">
        <v>889</v>
      </c>
      <c r="W32" s="12">
        <v>889</v>
      </c>
      <c r="X32" s="13">
        <v>13739</v>
      </c>
      <c r="Y32" s="13">
        <v>13739</v>
      </c>
      <c r="Z32" s="12">
        <v>900</v>
      </c>
      <c r="AA32" s="12">
        <v>150</v>
      </c>
      <c r="AB32" s="15" t="s">
        <v>180</v>
      </c>
      <c r="AC32" s="13">
        <v>1050</v>
      </c>
      <c r="AD32" s="12">
        <v>900</v>
      </c>
      <c r="AE32" s="12">
        <v>361</v>
      </c>
      <c r="AF32" s="13">
        <v>1261</v>
      </c>
      <c r="AG32" s="13">
        <v>15000</v>
      </c>
      <c r="AH32" s="13">
        <v>12689</v>
      </c>
      <c r="AI32" t="str">
        <f t="shared" si="2"/>
        <v>Twelve Thousand Six Hundred and Eighty Nine</v>
      </c>
    </row>
    <row r="33" spans="1:35" x14ac:dyDescent="0.35">
      <c r="A33" s="5" t="s">
        <v>98</v>
      </c>
      <c r="B33" s="5" t="s">
        <v>99</v>
      </c>
      <c r="C33" s="3" t="s">
        <v>112</v>
      </c>
      <c r="D33" s="6" t="s">
        <v>59</v>
      </c>
      <c r="E33" t="s">
        <v>64</v>
      </c>
      <c r="F33" t="s">
        <v>65</v>
      </c>
      <c r="G33" s="7">
        <v>37097117593</v>
      </c>
      <c r="H33" s="7" t="s">
        <v>185</v>
      </c>
      <c r="I33" s="7">
        <v>102318333072</v>
      </c>
      <c r="K33" s="8" t="s">
        <v>256</v>
      </c>
      <c r="L33" s="3" t="s">
        <v>288</v>
      </c>
      <c r="M33">
        <v>31</v>
      </c>
      <c r="N33">
        <v>0</v>
      </c>
      <c r="O33" s="8" t="s">
        <v>221</v>
      </c>
      <c r="P33" s="13">
        <v>22500</v>
      </c>
      <c r="Q33" s="13">
        <v>22500</v>
      </c>
      <c r="R33" s="13">
        <v>11250</v>
      </c>
      <c r="S33" s="13">
        <v>11250</v>
      </c>
      <c r="T33" s="13">
        <v>1600</v>
      </c>
      <c r="U33" s="13">
        <v>1600</v>
      </c>
      <c r="V33" s="13">
        <v>6768</v>
      </c>
      <c r="W33" s="13">
        <v>6768</v>
      </c>
      <c r="X33" s="13">
        <v>42118</v>
      </c>
      <c r="Y33" s="13">
        <v>42118</v>
      </c>
      <c r="Z33" s="13">
        <v>1800</v>
      </c>
      <c r="AA33" s="12">
        <v>200</v>
      </c>
      <c r="AB33" s="15" t="s">
        <v>180</v>
      </c>
      <c r="AC33" s="13">
        <v>2000</v>
      </c>
      <c r="AD33" s="13">
        <v>1800</v>
      </c>
      <c r="AE33" s="13">
        <v>1082</v>
      </c>
      <c r="AF33" s="13">
        <v>2882</v>
      </c>
      <c r="AG33" s="13">
        <v>45000</v>
      </c>
      <c r="AH33" s="13">
        <v>40118</v>
      </c>
      <c r="AI33" t="str">
        <f t="shared" si="2"/>
        <v>Forty  Thousand One Hundred and Eighteen</v>
      </c>
    </row>
    <row r="34" spans="1:35" x14ac:dyDescent="0.35">
      <c r="A34" s="5" t="s">
        <v>100</v>
      </c>
      <c r="B34" s="5" t="s">
        <v>101</v>
      </c>
      <c r="C34" s="3" t="s">
        <v>112</v>
      </c>
      <c r="D34" s="6" t="s">
        <v>120</v>
      </c>
      <c r="E34" t="s">
        <v>64</v>
      </c>
      <c r="F34" t="s">
        <v>65</v>
      </c>
      <c r="G34" s="7">
        <v>99980130961779</v>
      </c>
      <c r="H34" s="7" t="s">
        <v>157</v>
      </c>
      <c r="I34" s="7">
        <v>102319543030</v>
      </c>
      <c r="K34" s="8" t="s">
        <v>257</v>
      </c>
      <c r="L34" s="3" t="s">
        <v>288</v>
      </c>
      <c r="M34">
        <v>31</v>
      </c>
      <c r="N34">
        <v>0</v>
      </c>
      <c r="O34" s="8" t="s">
        <v>221</v>
      </c>
      <c r="P34" s="13">
        <v>15000</v>
      </c>
      <c r="Q34" s="13">
        <v>15000</v>
      </c>
      <c r="R34" s="13">
        <v>7500</v>
      </c>
      <c r="S34" s="13">
        <v>7500</v>
      </c>
      <c r="T34" s="13">
        <v>1600</v>
      </c>
      <c r="U34" s="13">
        <v>1600</v>
      </c>
      <c r="V34" s="13">
        <v>3379</v>
      </c>
      <c r="W34" s="13">
        <v>3379</v>
      </c>
      <c r="X34" s="13">
        <v>27479</v>
      </c>
      <c r="Y34" s="13">
        <v>27479</v>
      </c>
      <c r="Z34" s="13">
        <v>1800</v>
      </c>
      <c r="AA34" s="12">
        <v>200</v>
      </c>
      <c r="AB34" s="15" t="s">
        <v>180</v>
      </c>
      <c r="AC34" s="13">
        <v>2000</v>
      </c>
      <c r="AD34" s="13">
        <v>1800</v>
      </c>
      <c r="AE34" s="12">
        <v>721</v>
      </c>
      <c r="AF34" s="13">
        <v>2521</v>
      </c>
      <c r="AG34" s="13">
        <v>30000</v>
      </c>
      <c r="AH34" s="13">
        <v>25479</v>
      </c>
      <c r="AI34" t="str">
        <f t="shared" si="2"/>
        <v>Twenty Five Thousand Four Hundred and Seventy Nine</v>
      </c>
    </row>
    <row r="35" spans="1:35" x14ac:dyDescent="0.35">
      <c r="A35" s="5" t="s">
        <v>102</v>
      </c>
      <c r="B35" s="5" t="s">
        <v>103</v>
      </c>
      <c r="C35" s="3" t="s">
        <v>112</v>
      </c>
      <c r="D35" s="6" t="s">
        <v>119</v>
      </c>
      <c r="E35" t="s">
        <v>64</v>
      </c>
      <c r="F35" t="s">
        <v>65</v>
      </c>
      <c r="G35" s="7">
        <v>23520100016377</v>
      </c>
      <c r="H35" s="7" t="s">
        <v>159</v>
      </c>
      <c r="I35" s="7">
        <v>101662232168</v>
      </c>
      <c r="K35" s="8" t="s">
        <v>258</v>
      </c>
      <c r="L35" s="3" t="s">
        <v>288</v>
      </c>
      <c r="M35">
        <v>31</v>
      </c>
      <c r="N35">
        <v>0</v>
      </c>
      <c r="O35" s="8" t="s">
        <v>221</v>
      </c>
      <c r="P35" s="13">
        <v>7500</v>
      </c>
      <c r="Q35" s="13">
        <v>7500</v>
      </c>
      <c r="R35" s="13">
        <v>3750</v>
      </c>
      <c r="S35" s="13">
        <v>3750</v>
      </c>
      <c r="T35" s="13">
        <v>1600</v>
      </c>
      <c r="U35" s="13">
        <v>1600</v>
      </c>
      <c r="V35" s="12">
        <v>889</v>
      </c>
      <c r="W35" s="12">
        <v>889</v>
      </c>
      <c r="X35" s="13">
        <v>13739</v>
      </c>
      <c r="Y35" s="13">
        <v>13739</v>
      </c>
      <c r="Z35" s="12">
        <v>900</v>
      </c>
      <c r="AA35" s="12">
        <v>150</v>
      </c>
      <c r="AB35" s="15" t="s">
        <v>180</v>
      </c>
      <c r="AC35" s="13">
        <v>1050</v>
      </c>
      <c r="AD35" s="12">
        <v>900</v>
      </c>
      <c r="AE35" s="12">
        <v>361</v>
      </c>
      <c r="AF35" s="13">
        <v>1261</v>
      </c>
      <c r="AG35" s="13">
        <v>15000</v>
      </c>
      <c r="AH35" s="13">
        <v>12689</v>
      </c>
      <c r="AI35" t="str">
        <f t="shared" si="2"/>
        <v>Twelve Thousand Six Hundred and Eighty Nine</v>
      </c>
    </row>
    <row r="36" spans="1:35" x14ac:dyDescent="0.35">
      <c r="A36" s="11" t="s">
        <v>104</v>
      </c>
      <c r="B36" s="5" t="s">
        <v>105</v>
      </c>
      <c r="C36" s="3" t="s">
        <v>112</v>
      </c>
      <c r="D36" s="6" t="s">
        <v>119</v>
      </c>
      <c r="E36" t="s">
        <v>64</v>
      </c>
      <c r="F36" t="s">
        <v>65</v>
      </c>
      <c r="G36" s="7">
        <v>15550100112322</v>
      </c>
      <c r="H36" s="7" t="s">
        <v>157</v>
      </c>
      <c r="I36" s="7">
        <v>102253787902</v>
      </c>
      <c r="K36" s="8" t="s">
        <v>259</v>
      </c>
      <c r="L36" s="3" t="s">
        <v>288</v>
      </c>
      <c r="M36">
        <v>31</v>
      </c>
      <c r="N36">
        <v>0</v>
      </c>
      <c r="O36" s="8" t="s">
        <v>221</v>
      </c>
      <c r="P36" s="13">
        <v>7500</v>
      </c>
      <c r="Q36" s="13">
        <v>7500</v>
      </c>
      <c r="R36" s="13">
        <v>3750</v>
      </c>
      <c r="S36" s="13">
        <v>3750</v>
      </c>
      <c r="T36" s="13">
        <v>1600</v>
      </c>
      <c r="U36" s="13">
        <v>1600</v>
      </c>
      <c r="V36" s="12">
        <v>889</v>
      </c>
      <c r="W36" s="12">
        <v>889</v>
      </c>
      <c r="X36" s="13">
        <v>13739</v>
      </c>
      <c r="Y36" s="13">
        <v>13739</v>
      </c>
      <c r="Z36" s="12">
        <v>900</v>
      </c>
      <c r="AA36" s="12">
        <v>150</v>
      </c>
      <c r="AB36" s="15" t="s">
        <v>180</v>
      </c>
      <c r="AC36" s="13">
        <v>1050</v>
      </c>
      <c r="AD36" s="12">
        <v>900</v>
      </c>
      <c r="AE36" s="12">
        <v>361</v>
      </c>
      <c r="AF36" s="13">
        <v>1261</v>
      </c>
      <c r="AG36" s="13">
        <v>15000</v>
      </c>
      <c r="AH36" s="13">
        <v>12689</v>
      </c>
      <c r="AI36" t="str">
        <f t="shared" si="2"/>
        <v>Twelve Thousand Six Hundred and Eighty Nine</v>
      </c>
    </row>
    <row r="37" spans="1:35" x14ac:dyDescent="0.35">
      <c r="A37" s="11" t="s">
        <v>108</v>
      </c>
      <c r="B37" s="5" t="s">
        <v>109</v>
      </c>
      <c r="C37" s="3" t="s">
        <v>68</v>
      </c>
      <c r="D37" s="6" t="s">
        <v>118</v>
      </c>
      <c r="E37" t="s">
        <v>64</v>
      </c>
      <c r="F37" t="s">
        <v>65</v>
      </c>
      <c r="G37" s="7">
        <v>15550100112363</v>
      </c>
      <c r="H37" s="7" t="s">
        <v>157</v>
      </c>
      <c r="I37" s="7">
        <v>102241103345</v>
      </c>
      <c r="K37" s="8" t="s">
        <v>260</v>
      </c>
      <c r="L37" s="3" t="s">
        <v>288</v>
      </c>
      <c r="M37">
        <v>31</v>
      </c>
      <c r="N37">
        <v>0</v>
      </c>
      <c r="O37" s="8" t="s">
        <v>221</v>
      </c>
      <c r="P37" s="13">
        <v>12000</v>
      </c>
      <c r="Q37" s="13">
        <v>12000</v>
      </c>
      <c r="R37" s="13">
        <v>6000</v>
      </c>
      <c r="S37" s="13">
        <v>6000</v>
      </c>
      <c r="T37" s="13">
        <v>1600</v>
      </c>
      <c r="U37" s="13">
        <v>1600</v>
      </c>
      <c r="V37" s="13">
        <v>2383</v>
      </c>
      <c r="W37" s="13">
        <v>2383</v>
      </c>
      <c r="X37" s="13">
        <v>21983</v>
      </c>
      <c r="Y37" s="13">
        <v>21983</v>
      </c>
      <c r="Z37" s="13">
        <v>1440</v>
      </c>
      <c r="AA37" s="12">
        <v>200</v>
      </c>
      <c r="AB37" s="15" t="s">
        <v>180</v>
      </c>
      <c r="AC37" s="13">
        <v>1640</v>
      </c>
      <c r="AD37" s="13">
        <v>1440</v>
      </c>
      <c r="AE37" s="12">
        <v>577</v>
      </c>
      <c r="AF37" s="13">
        <v>2017</v>
      </c>
      <c r="AG37" s="13">
        <v>24000</v>
      </c>
      <c r="AH37" s="13">
        <v>20343</v>
      </c>
      <c r="AI37" t="str">
        <f t="shared" si="2"/>
        <v>Twenty  Thousand Three Hundred and Forty Three</v>
      </c>
    </row>
    <row r="38" spans="1:35" x14ac:dyDescent="0.35">
      <c r="A38" s="9" t="s">
        <v>127</v>
      </c>
      <c r="B38" t="s">
        <v>143</v>
      </c>
      <c r="C38" s="3" t="s">
        <v>181</v>
      </c>
      <c r="D38" t="str">
        <f>VLOOKUP($A38,'[1]Tech Employee'!$B$2:$AM$52,6,0)</f>
        <v>Software Engineer – I</v>
      </c>
      <c r="E38" t="s">
        <v>64</v>
      </c>
      <c r="F38" t="s">
        <v>65</v>
      </c>
      <c r="G38" s="7">
        <v>99980130961803</v>
      </c>
      <c r="H38" s="7" t="s">
        <v>157</v>
      </c>
      <c r="I38" s="7">
        <v>102330613460</v>
      </c>
      <c r="K38" s="8" t="s">
        <v>261</v>
      </c>
      <c r="L38" s="3" t="s">
        <v>288</v>
      </c>
      <c r="M38">
        <v>31</v>
      </c>
      <c r="N38">
        <v>0</v>
      </c>
      <c r="O38" s="8" t="s">
        <v>221</v>
      </c>
      <c r="P38" s="12">
        <v>17500</v>
      </c>
      <c r="Q38" s="13">
        <v>17500</v>
      </c>
      <c r="R38" s="12">
        <v>8750</v>
      </c>
      <c r="S38" s="13">
        <v>8750</v>
      </c>
      <c r="T38" s="12">
        <v>1600</v>
      </c>
      <c r="U38" s="13">
        <v>1600</v>
      </c>
      <c r="V38" s="12">
        <v>4508</v>
      </c>
      <c r="W38" s="13">
        <v>4508</v>
      </c>
      <c r="X38" s="12">
        <v>32358</v>
      </c>
      <c r="Y38" s="13">
        <v>32358</v>
      </c>
      <c r="Z38" s="13">
        <v>1800</v>
      </c>
      <c r="AA38" s="12">
        <v>200</v>
      </c>
      <c r="AB38" s="15" t="s">
        <v>180</v>
      </c>
      <c r="AC38" s="13">
        <v>2000</v>
      </c>
      <c r="AD38" s="13">
        <v>1800</v>
      </c>
      <c r="AE38" s="12">
        <v>842</v>
      </c>
      <c r="AF38" s="13">
        <v>2642</v>
      </c>
      <c r="AG38" s="12">
        <v>35000</v>
      </c>
      <c r="AH38" s="13">
        <v>30358</v>
      </c>
      <c r="AI38" t="str">
        <f t="shared" ref="AI38:AI64" si="3">CHOOSE(--LEFT(TEXT(AH38,"000000.00"))+1,,"One","Two","Three","Four","Five","Six","Seven","Eight","Nine")&amp;IF(--LEFT(TEXT(AH38,"000000.00"))=0,""," Lakh ")&amp;IF(--MID(TEXT(AH38,"000000.00"),2,1)&lt;&gt;1,CHOOSE(--MID(TEXT(AH38,"000000.00"),2,1)+1,,"","Twenty ","Thirty ","Forty ","Fifty ","Sixty ","Seventy ","Eighty ","Ninety "),"")&amp;IF(--MID(TEXT(AH38,"000000.00"),2,1)&lt;&gt;1,CHOOSE(--MID(TEXT(AH38,"000000.00"),3,1)+1,,"One","Two","Three","Four","Five","Six","Seven","Eight","Nine"),CHOOSE(--MID(TEXT(AH38,"000000.00"),3,1)+1,"Ten","Eleven","Twelve","Thirteen","Fourteen","Fifteen","Sixteen","Seventeen","Eighteen","Nineteen"))&amp;IF((--MID(TEXT(AH38,"000000.00"),2,1)+--MID(TEXT(AH38,"000000.00"),3,1))=0,""," Thousand ")&amp;CHOOSE(--MID(TEXT(AH38,"000000.00"),4,1)+1,,"One","Two","Three","Four","Five","Six","Seven","Eight","Nine")&amp;IF(--MID(TEXT(AH38,"000000.00"),4,1)=0,"",IF(AND(--MID(TEXT(AH38,"000000.00"),5,1)=0,--MID(TEXT(AH38,"000000.00"),6,1)=0)," Hundred"," Hundred and "))&amp;IF(--MID(TEXT(AH38,"000000.00"),5,1)&lt;&gt;1,CHOOSE(--MID(TEXT(AH38,"000000.00"),5,1)+1,,"","Twenty ","Thirty ","Forty ","Fifty ","Sixty ","Seventy ","Eighty ","Ninety "),"")&amp;IF(--MID(TEXT(AH38,"000000.00"),5,1)&lt;&gt;1,CHOOSE(--MID(TEXT(AH38,"000000.00"),6,1)+1,,"One","Two","Three","Four","Five","Six","Seven","Eight","Nine"),CHOOSE(--MID(TEXT(AH38,"000000.00"),6,1)+1,"Ten","Eleven","Twelve","Thirteen","Fourteen","Fifteen","Sixteen","Seventeen","Eighteen","Nineteen"))</f>
        <v>Thirty  Thousand Three Hundred and Fifty Eight</v>
      </c>
    </row>
    <row r="39" spans="1:35" x14ac:dyDescent="0.35">
      <c r="A39" s="9" t="s">
        <v>128</v>
      </c>
      <c r="B39" t="s">
        <v>144</v>
      </c>
      <c r="C39" s="3" t="s">
        <v>181</v>
      </c>
      <c r="D39" t="str">
        <f>VLOOKUP($A39,'[1]Tech Employee'!$B$2:$AM$52,6,0)</f>
        <v>Associate Software Engineer</v>
      </c>
      <c r="E39" t="s">
        <v>64</v>
      </c>
      <c r="F39" t="s">
        <v>65</v>
      </c>
      <c r="G39" s="7">
        <v>55560103622913</v>
      </c>
      <c r="H39" s="7" t="s">
        <v>115</v>
      </c>
      <c r="I39" s="7"/>
      <c r="K39" s="8" t="s">
        <v>262</v>
      </c>
      <c r="L39" s="3" t="s">
        <v>288</v>
      </c>
      <c r="M39">
        <v>31</v>
      </c>
      <c r="N39">
        <v>0</v>
      </c>
      <c r="O39" s="8" t="s">
        <v>221</v>
      </c>
      <c r="P39" s="12">
        <v>7500</v>
      </c>
      <c r="Q39" s="13">
        <v>7500</v>
      </c>
      <c r="R39" s="12">
        <v>3750</v>
      </c>
      <c r="S39" s="13">
        <v>3750</v>
      </c>
      <c r="T39" s="12">
        <v>1600</v>
      </c>
      <c r="U39" s="13">
        <v>1600</v>
      </c>
      <c r="V39" s="12">
        <v>889</v>
      </c>
      <c r="W39" s="12">
        <v>889</v>
      </c>
      <c r="X39" s="12">
        <v>13739</v>
      </c>
      <c r="Y39" s="13">
        <v>13739</v>
      </c>
      <c r="Z39" s="12">
        <v>900</v>
      </c>
      <c r="AA39" s="12">
        <v>150</v>
      </c>
      <c r="AB39" s="15" t="s">
        <v>180</v>
      </c>
      <c r="AC39" s="13">
        <v>1050</v>
      </c>
      <c r="AD39" s="12">
        <v>900</v>
      </c>
      <c r="AE39" s="12">
        <v>361</v>
      </c>
      <c r="AF39" s="13">
        <v>1261</v>
      </c>
      <c r="AG39" s="12">
        <v>15000</v>
      </c>
      <c r="AH39" s="13">
        <v>12689</v>
      </c>
      <c r="AI39" t="str">
        <f t="shared" si="3"/>
        <v>Twelve Thousand Six Hundred and Eighty Nine</v>
      </c>
    </row>
    <row r="40" spans="1:35" x14ac:dyDescent="0.35">
      <c r="A40" s="9" t="s">
        <v>129</v>
      </c>
      <c r="B40" t="s">
        <v>145</v>
      </c>
      <c r="C40" s="3" t="s">
        <v>181</v>
      </c>
      <c r="D40" t="str">
        <f>VLOOKUP($A40,'[1]Tech Employee'!$B$2:$AM$52,6,0)</f>
        <v>Associate Software Engineer</v>
      </c>
      <c r="E40" t="s">
        <v>64</v>
      </c>
      <c r="F40" t="s">
        <v>65</v>
      </c>
      <c r="G40" s="7">
        <v>99980130961811</v>
      </c>
      <c r="H40" s="7" t="s">
        <v>157</v>
      </c>
      <c r="I40" s="7">
        <v>102182920805</v>
      </c>
      <c r="K40" s="8" t="s">
        <v>263</v>
      </c>
      <c r="L40" s="3" t="s">
        <v>288</v>
      </c>
      <c r="M40">
        <v>31</v>
      </c>
      <c r="N40">
        <v>0</v>
      </c>
      <c r="O40" s="8" t="s">
        <v>221</v>
      </c>
      <c r="P40" s="12">
        <v>11500</v>
      </c>
      <c r="Q40" s="13">
        <v>11500</v>
      </c>
      <c r="R40" s="12">
        <v>5750</v>
      </c>
      <c r="S40" s="13">
        <v>5750</v>
      </c>
      <c r="T40" s="12">
        <v>1600</v>
      </c>
      <c r="U40" s="13">
        <v>1600</v>
      </c>
      <c r="V40" s="12">
        <v>2217</v>
      </c>
      <c r="W40" s="13">
        <v>2217</v>
      </c>
      <c r="X40" s="12">
        <v>21067</v>
      </c>
      <c r="Y40" s="13">
        <v>21067</v>
      </c>
      <c r="Z40" s="13">
        <v>1380</v>
      </c>
      <c r="AA40" s="12">
        <v>200</v>
      </c>
      <c r="AB40" s="15" t="s">
        <v>180</v>
      </c>
      <c r="AC40" s="13">
        <v>1580</v>
      </c>
      <c r="AD40" s="13">
        <v>1380</v>
      </c>
      <c r="AE40" s="12">
        <v>553</v>
      </c>
      <c r="AF40" s="13">
        <v>1933</v>
      </c>
      <c r="AG40" s="12">
        <v>23000</v>
      </c>
      <c r="AH40" s="13">
        <v>19487</v>
      </c>
      <c r="AI40" t="str">
        <f t="shared" si="3"/>
        <v>Nineteen Thousand Four Hundred and Eighty Seven</v>
      </c>
    </row>
    <row r="41" spans="1:35" x14ac:dyDescent="0.35">
      <c r="A41" s="9" t="s">
        <v>130</v>
      </c>
      <c r="B41" t="s">
        <v>146</v>
      </c>
      <c r="C41" s="3" t="s">
        <v>181</v>
      </c>
      <c r="D41" t="str">
        <f>VLOOKUP($A41,'[1]Tech Employee'!$B$2:$AM$52,6,0)</f>
        <v>Software Engineer – I</v>
      </c>
      <c r="E41" t="s">
        <v>64</v>
      </c>
      <c r="F41" t="s">
        <v>65</v>
      </c>
      <c r="G41" s="7">
        <v>15550100112413</v>
      </c>
      <c r="H41" s="7" t="s">
        <v>157</v>
      </c>
      <c r="I41" s="7">
        <v>102254221664</v>
      </c>
      <c r="K41" s="8" t="s">
        <v>264</v>
      </c>
      <c r="L41" s="3" t="s">
        <v>288</v>
      </c>
      <c r="M41">
        <v>31</v>
      </c>
      <c r="N41">
        <v>0</v>
      </c>
      <c r="O41" s="8" t="s">
        <v>221</v>
      </c>
      <c r="P41" s="12">
        <v>15000</v>
      </c>
      <c r="Q41" s="13">
        <v>15000</v>
      </c>
      <c r="R41" s="12">
        <v>7500</v>
      </c>
      <c r="S41" s="13">
        <v>7500</v>
      </c>
      <c r="T41" s="12">
        <v>1600</v>
      </c>
      <c r="U41" s="13">
        <v>1600</v>
      </c>
      <c r="V41" s="12">
        <v>3379</v>
      </c>
      <c r="W41" s="13">
        <v>3379</v>
      </c>
      <c r="X41" s="12">
        <v>27479</v>
      </c>
      <c r="Y41" s="13">
        <v>27479</v>
      </c>
      <c r="Z41" s="13">
        <v>1800</v>
      </c>
      <c r="AA41" s="12">
        <v>200</v>
      </c>
      <c r="AB41" s="15" t="s">
        <v>180</v>
      </c>
      <c r="AC41" s="13">
        <v>2000</v>
      </c>
      <c r="AD41" s="13">
        <v>1800</v>
      </c>
      <c r="AE41" s="12">
        <v>721</v>
      </c>
      <c r="AF41" s="13">
        <v>2521</v>
      </c>
      <c r="AG41" s="12">
        <v>30000</v>
      </c>
      <c r="AH41" s="13">
        <v>25479</v>
      </c>
      <c r="AI41" t="str">
        <f t="shared" si="3"/>
        <v>Twenty Five Thousand Four Hundred and Seventy Nine</v>
      </c>
    </row>
    <row r="42" spans="1:35" x14ac:dyDescent="0.35">
      <c r="A42" s="9" t="s">
        <v>131</v>
      </c>
      <c r="B42" t="s">
        <v>147</v>
      </c>
      <c r="C42" s="3" t="s">
        <v>181</v>
      </c>
      <c r="D42" t="str">
        <f>VLOOKUP($A42,'[1]Tech Employee'!$B$2:$AM$52,6,0)</f>
        <v>Software Engineer – II</v>
      </c>
      <c r="E42" t="s">
        <v>64</v>
      </c>
      <c r="F42" t="s">
        <v>65</v>
      </c>
      <c r="G42" s="7" t="s">
        <v>167</v>
      </c>
      <c r="H42" s="7" t="s">
        <v>168</v>
      </c>
      <c r="I42" s="7">
        <v>102012942344</v>
      </c>
      <c r="K42" s="8" t="s">
        <v>265</v>
      </c>
      <c r="L42" s="3" t="s">
        <v>288</v>
      </c>
      <c r="M42">
        <v>31</v>
      </c>
      <c r="N42">
        <v>0</v>
      </c>
      <c r="O42" s="8" t="s">
        <v>221</v>
      </c>
      <c r="P42" s="12">
        <v>22500</v>
      </c>
      <c r="Q42" s="13">
        <v>22500</v>
      </c>
      <c r="R42" s="12">
        <v>11250</v>
      </c>
      <c r="S42" s="13">
        <v>11250</v>
      </c>
      <c r="T42" s="12">
        <v>1600</v>
      </c>
      <c r="U42" s="13">
        <v>1600</v>
      </c>
      <c r="V42" s="12">
        <v>6768</v>
      </c>
      <c r="W42" s="13">
        <v>6768</v>
      </c>
      <c r="X42" s="12">
        <v>42118</v>
      </c>
      <c r="Y42" s="13">
        <v>42118</v>
      </c>
      <c r="Z42" s="13">
        <v>1800</v>
      </c>
      <c r="AA42" s="12">
        <v>200</v>
      </c>
      <c r="AB42" s="15" t="s">
        <v>180</v>
      </c>
      <c r="AC42" s="13">
        <v>2000</v>
      </c>
      <c r="AD42" s="13">
        <v>1800</v>
      </c>
      <c r="AE42" s="13">
        <v>1082</v>
      </c>
      <c r="AF42" s="13">
        <v>2882</v>
      </c>
      <c r="AG42" s="12">
        <v>45000</v>
      </c>
      <c r="AH42" s="13">
        <v>40118</v>
      </c>
      <c r="AI42" t="str">
        <f t="shared" si="3"/>
        <v>Forty  Thousand One Hundred and Eighteen</v>
      </c>
    </row>
    <row r="43" spans="1:35" x14ac:dyDescent="0.35">
      <c r="A43" s="9" t="s">
        <v>132</v>
      </c>
      <c r="B43" t="s">
        <v>148</v>
      </c>
      <c r="C43" s="3" t="s">
        <v>181</v>
      </c>
      <c r="D43" t="str">
        <f>VLOOKUP($A43,'[1]Tech Employee'!$B$2:$AM$52,6,0)</f>
        <v>Associate Software Engineer</v>
      </c>
      <c r="E43" t="s">
        <v>64</v>
      </c>
      <c r="F43" t="s">
        <v>65</v>
      </c>
      <c r="G43" s="7" t="s">
        <v>169</v>
      </c>
      <c r="H43" s="7" t="s">
        <v>170</v>
      </c>
      <c r="I43" s="7">
        <v>102284526119</v>
      </c>
      <c r="K43" s="8" t="s">
        <v>266</v>
      </c>
      <c r="L43" s="3" t="s">
        <v>288</v>
      </c>
      <c r="M43">
        <v>31</v>
      </c>
      <c r="N43">
        <v>0</v>
      </c>
      <c r="O43" s="8" t="s">
        <v>221</v>
      </c>
      <c r="P43" s="12">
        <v>7500</v>
      </c>
      <c r="Q43" s="13">
        <v>7500</v>
      </c>
      <c r="R43" s="12">
        <v>3750</v>
      </c>
      <c r="S43" s="13">
        <v>3750</v>
      </c>
      <c r="T43" s="12">
        <v>1600</v>
      </c>
      <c r="U43" s="13">
        <v>1600</v>
      </c>
      <c r="V43" s="12">
        <v>889</v>
      </c>
      <c r="W43" s="12">
        <v>889</v>
      </c>
      <c r="X43" s="12">
        <v>13739</v>
      </c>
      <c r="Y43" s="13">
        <v>13739</v>
      </c>
      <c r="Z43" s="12">
        <v>900</v>
      </c>
      <c r="AA43" s="12">
        <v>150</v>
      </c>
      <c r="AB43" s="15" t="s">
        <v>180</v>
      </c>
      <c r="AC43" s="13">
        <v>1050</v>
      </c>
      <c r="AD43" s="12">
        <v>900</v>
      </c>
      <c r="AE43" s="12">
        <v>361</v>
      </c>
      <c r="AF43" s="13">
        <v>1261</v>
      </c>
      <c r="AG43" s="12">
        <v>15000</v>
      </c>
      <c r="AH43" s="13">
        <v>12689</v>
      </c>
      <c r="AI43" t="str">
        <f t="shared" si="3"/>
        <v>Twelve Thousand Six Hundred and Eighty Nine</v>
      </c>
    </row>
    <row r="44" spans="1:35" x14ac:dyDescent="0.35">
      <c r="A44" s="9" t="s">
        <v>133</v>
      </c>
      <c r="B44" t="s">
        <v>149</v>
      </c>
      <c r="C44" s="3" t="s">
        <v>181</v>
      </c>
      <c r="D44" t="str">
        <f>VLOOKUP($A44,'[1]Tech Employee'!$B$2:$AM$52,6,0)</f>
        <v>Associate Software Engineer</v>
      </c>
      <c r="E44" t="s">
        <v>64</v>
      </c>
      <c r="F44" t="s">
        <v>65</v>
      </c>
      <c r="G44" s="7" t="s">
        <v>171</v>
      </c>
      <c r="H44" s="7" t="s">
        <v>172</v>
      </c>
      <c r="I44" s="7">
        <v>102273842210</v>
      </c>
      <c r="K44" s="8" t="s">
        <v>267</v>
      </c>
      <c r="L44" s="3" t="s">
        <v>288</v>
      </c>
      <c r="M44">
        <v>31</v>
      </c>
      <c r="N44">
        <v>0</v>
      </c>
      <c r="O44" s="8" t="s">
        <v>221</v>
      </c>
      <c r="P44" s="12">
        <v>7500</v>
      </c>
      <c r="Q44" s="13">
        <v>7500</v>
      </c>
      <c r="R44" s="12">
        <v>3750</v>
      </c>
      <c r="S44" s="13">
        <v>3750</v>
      </c>
      <c r="T44" s="12">
        <v>1600</v>
      </c>
      <c r="U44" s="13">
        <v>1600</v>
      </c>
      <c r="V44" s="12">
        <v>889</v>
      </c>
      <c r="W44" s="12">
        <v>889</v>
      </c>
      <c r="X44" s="12">
        <v>13739</v>
      </c>
      <c r="Y44" s="13">
        <v>13739</v>
      </c>
      <c r="Z44" s="12">
        <v>900</v>
      </c>
      <c r="AA44" s="12">
        <v>150</v>
      </c>
      <c r="AB44" s="15" t="s">
        <v>180</v>
      </c>
      <c r="AC44" s="13">
        <v>1050</v>
      </c>
      <c r="AD44" s="12">
        <v>900</v>
      </c>
      <c r="AE44" s="12">
        <v>361</v>
      </c>
      <c r="AF44" s="13">
        <v>1261</v>
      </c>
      <c r="AG44" s="12">
        <v>15000</v>
      </c>
      <c r="AH44" s="13">
        <v>12689</v>
      </c>
      <c r="AI44" t="str">
        <f t="shared" si="3"/>
        <v>Twelve Thousand Six Hundred and Eighty Nine</v>
      </c>
    </row>
    <row r="45" spans="1:35" x14ac:dyDescent="0.35">
      <c r="A45" s="9" t="s">
        <v>134</v>
      </c>
      <c r="B45" t="s">
        <v>150</v>
      </c>
      <c r="C45" s="3" t="s">
        <v>181</v>
      </c>
      <c r="D45" t="str">
        <f>VLOOKUP($A45,'[1]Tech Employee'!$B$2:$AM$52,6,0)</f>
        <v>Associate Software Engineer</v>
      </c>
      <c r="E45" t="s">
        <v>64</v>
      </c>
      <c r="F45" t="s">
        <v>65</v>
      </c>
      <c r="G45" s="7" t="s">
        <v>173</v>
      </c>
      <c r="H45" s="7" t="s">
        <v>174</v>
      </c>
      <c r="I45" s="7">
        <v>101487108722</v>
      </c>
      <c r="K45" s="8" t="s">
        <v>268</v>
      </c>
      <c r="L45" s="3" t="s">
        <v>288</v>
      </c>
      <c r="M45">
        <v>31</v>
      </c>
      <c r="N45">
        <v>0</v>
      </c>
      <c r="O45" s="8" t="s">
        <v>221</v>
      </c>
      <c r="P45" s="12">
        <v>22500</v>
      </c>
      <c r="Q45" s="13">
        <v>22500</v>
      </c>
      <c r="R45" s="12">
        <v>11250</v>
      </c>
      <c r="S45" s="13">
        <v>11250</v>
      </c>
      <c r="T45" s="12">
        <v>1600</v>
      </c>
      <c r="U45" s="13">
        <v>1600</v>
      </c>
      <c r="V45" s="12">
        <v>6768</v>
      </c>
      <c r="W45" s="13">
        <v>6768</v>
      </c>
      <c r="X45" s="12">
        <v>42118</v>
      </c>
      <c r="Y45" s="13">
        <v>42118</v>
      </c>
      <c r="Z45" s="13">
        <v>1800</v>
      </c>
      <c r="AA45" s="12">
        <v>200</v>
      </c>
      <c r="AB45" s="15" t="s">
        <v>180</v>
      </c>
      <c r="AC45" s="13">
        <v>2000</v>
      </c>
      <c r="AD45" s="13">
        <v>1800</v>
      </c>
      <c r="AE45" s="13">
        <v>1082</v>
      </c>
      <c r="AF45" s="13">
        <v>2882</v>
      </c>
      <c r="AG45" s="12">
        <v>45000</v>
      </c>
      <c r="AH45" s="13">
        <v>40118</v>
      </c>
      <c r="AI45" t="str">
        <f t="shared" si="3"/>
        <v>Forty  Thousand One Hundred and Eighteen</v>
      </c>
    </row>
    <row r="46" spans="1:35" x14ac:dyDescent="0.35">
      <c r="A46" s="10" t="s">
        <v>135</v>
      </c>
      <c r="B46" t="s">
        <v>151</v>
      </c>
      <c r="C46" s="3" t="s">
        <v>181</v>
      </c>
      <c r="D46" t="str">
        <f>VLOOKUP($A46,'[1]Tech Employee'!$B$2:$AM$52,6,0)</f>
        <v>Software Engineer – I</v>
      </c>
      <c r="E46" t="s">
        <v>64</v>
      </c>
      <c r="F46" t="s">
        <v>65</v>
      </c>
      <c r="G46" s="7">
        <v>99980130963841</v>
      </c>
      <c r="H46" s="7" t="s">
        <v>157</v>
      </c>
      <c r="I46" s="7">
        <v>102330619749</v>
      </c>
      <c r="K46" s="8" t="s">
        <v>269</v>
      </c>
      <c r="L46" s="3" t="s">
        <v>288</v>
      </c>
      <c r="M46">
        <v>31</v>
      </c>
      <c r="N46">
        <v>0</v>
      </c>
      <c r="O46" s="8" t="s">
        <v>221</v>
      </c>
      <c r="P46" s="12">
        <v>17500</v>
      </c>
      <c r="Q46" s="13">
        <v>17500</v>
      </c>
      <c r="R46" s="12">
        <v>8750</v>
      </c>
      <c r="S46" s="13">
        <v>8750</v>
      </c>
      <c r="T46" s="12">
        <v>1600</v>
      </c>
      <c r="U46" s="13">
        <v>1600</v>
      </c>
      <c r="V46" s="12">
        <v>4508</v>
      </c>
      <c r="W46" s="13">
        <v>4508</v>
      </c>
      <c r="X46" s="12">
        <v>32358</v>
      </c>
      <c r="Y46" s="13">
        <v>32358</v>
      </c>
      <c r="Z46" s="13">
        <v>1800</v>
      </c>
      <c r="AA46" s="12">
        <v>200</v>
      </c>
      <c r="AB46" s="15" t="s">
        <v>180</v>
      </c>
      <c r="AC46" s="13">
        <v>2000</v>
      </c>
      <c r="AD46" s="13">
        <v>1800</v>
      </c>
      <c r="AE46" s="12">
        <v>842</v>
      </c>
      <c r="AF46" s="13">
        <v>2642</v>
      </c>
      <c r="AG46" s="12">
        <v>35000</v>
      </c>
      <c r="AH46" s="13">
        <v>30358</v>
      </c>
      <c r="AI46" t="str">
        <f t="shared" si="3"/>
        <v>Thirty  Thousand Three Hundred and Fifty Eight</v>
      </c>
    </row>
    <row r="47" spans="1:35" x14ac:dyDescent="0.35">
      <c r="A47" s="10" t="s">
        <v>136</v>
      </c>
      <c r="B47" t="s">
        <v>152</v>
      </c>
      <c r="C47" s="3" t="s">
        <v>181</v>
      </c>
      <c r="D47" t="str">
        <f>VLOOKUP($A47,'[1]Tech Employee'!$B$2:$AM$52,6,0)</f>
        <v>Software Engineer – I</v>
      </c>
      <c r="E47" t="s">
        <v>64</v>
      </c>
      <c r="F47" t="s">
        <v>65</v>
      </c>
      <c r="G47" s="7">
        <v>15550100112397</v>
      </c>
      <c r="H47" s="7" t="s">
        <v>157</v>
      </c>
      <c r="I47" s="7">
        <v>101728087496</v>
      </c>
      <c r="K47" s="8" t="s">
        <v>270</v>
      </c>
      <c r="L47" s="3" t="s">
        <v>288</v>
      </c>
      <c r="M47">
        <v>31</v>
      </c>
      <c r="N47">
        <v>0</v>
      </c>
      <c r="O47" s="8" t="s">
        <v>221</v>
      </c>
      <c r="P47" s="12">
        <v>7500</v>
      </c>
      <c r="Q47" s="13">
        <v>7500</v>
      </c>
      <c r="R47" s="12">
        <v>3750</v>
      </c>
      <c r="S47" s="13">
        <v>3750</v>
      </c>
      <c r="T47" s="12">
        <v>1600</v>
      </c>
      <c r="U47" s="13">
        <v>1600</v>
      </c>
      <c r="V47" s="12">
        <v>889</v>
      </c>
      <c r="W47" s="12">
        <v>889</v>
      </c>
      <c r="X47" s="12">
        <v>13739</v>
      </c>
      <c r="Y47" s="13">
        <v>13739</v>
      </c>
      <c r="Z47" s="12">
        <v>900</v>
      </c>
      <c r="AA47" s="12">
        <v>150</v>
      </c>
      <c r="AB47" s="15" t="s">
        <v>180</v>
      </c>
      <c r="AC47" s="13">
        <v>1050</v>
      </c>
      <c r="AD47" s="12">
        <v>900</v>
      </c>
      <c r="AE47" s="12">
        <v>361</v>
      </c>
      <c r="AF47" s="13">
        <v>1347</v>
      </c>
      <c r="AG47" s="12">
        <v>15000</v>
      </c>
      <c r="AH47" s="13">
        <v>12689</v>
      </c>
      <c r="AI47" t="str">
        <f t="shared" si="3"/>
        <v>Twelve Thousand Six Hundred and Eighty Nine</v>
      </c>
    </row>
    <row r="48" spans="1:35" x14ac:dyDescent="0.35">
      <c r="A48" s="10" t="s">
        <v>137</v>
      </c>
      <c r="B48" t="s">
        <v>153</v>
      </c>
      <c r="C48" s="3" t="s">
        <v>181</v>
      </c>
      <c r="D48" t="str">
        <f>VLOOKUP($A48,'[1]Tech Employee'!$B$2:$AM$52,6,0)</f>
        <v>Associate Software Engineer</v>
      </c>
      <c r="E48" t="s">
        <v>64</v>
      </c>
      <c r="F48" t="s">
        <v>65</v>
      </c>
      <c r="G48" s="7" t="s">
        <v>175</v>
      </c>
      <c r="H48" s="7" t="s">
        <v>224</v>
      </c>
      <c r="I48" s="7">
        <v>102295219726</v>
      </c>
      <c r="K48" s="8" t="s">
        <v>271</v>
      </c>
      <c r="L48" s="3" t="s">
        <v>288</v>
      </c>
      <c r="M48">
        <v>31</v>
      </c>
      <c r="N48">
        <v>0</v>
      </c>
      <c r="O48" s="8" t="s">
        <v>221</v>
      </c>
      <c r="P48" s="12">
        <v>7500</v>
      </c>
      <c r="Q48" s="13">
        <v>7500</v>
      </c>
      <c r="R48" s="12">
        <v>3750</v>
      </c>
      <c r="S48" s="13">
        <v>3750</v>
      </c>
      <c r="T48" s="12">
        <v>1600</v>
      </c>
      <c r="U48" s="13">
        <v>1600</v>
      </c>
      <c r="V48" s="12">
        <v>889</v>
      </c>
      <c r="W48" s="12">
        <v>889</v>
      </c>
      <c r="X48" s="12">
        <v>13739</v>
      </c>
      <c r="Y48" s="13">
        <v>13739</v>
      </c>
      <c r="Z48" s="12">
        <v>900</v>
      </c>
      <c r="AA48" s="12">
        <v>150</v>
      </c>
      <c r="AB48" s="15" t="s">
        <v>180</v>
      </c>
      <c r="AC48" s="13">
        <v>1050</v>
      </c>
      <c r="AD48" s="12">
        <v>900</v>
      </c>
      <c r="AE48" s="12">
        <v>361</v>
      </c>
      <c r="AF48" s="13">
        <v>1347</v>
      </c>
      <c r="AG48" s="12">
        <v>15000</v>
      </c>
      <c r="AH48" s="13">
        <v>12689</v>
      </c>
      <c r="AI48" t="str">
        <f t="shared" si="3"/>
        <v>Twelve Thousand Six Hundred and Eighty Nine</v>
      </c>
    </row>
    <row r="49" spans="1:35" x14ac:dyDescent="0.35">
      <c r="A49" s="10" t="s">
        <v>138</v>
      </c>
      <c r="B49" t="s">
        <v>154</v>
      </c>
      <c r="C49" s="3" t="s">
        <v>112</v>
      </c>
      <c r="D49" t="s">
        <v>118</v>
      </c>
      <c r="E49" t="s">
        <v>64</v>
      </c>
      <c r="F49" t="s">
        <v>65</v>
      </c>
      <c r="G49" s="7">
        <v>180701000002091</v>
      </c>
      <c r="H49" s="7" t="s">
        <v>179</v>
      </c>
      <c r="I49" s="7"/>
      <c r="K49" s="8" t="s">
        <v>272</v>
      </c>
      <c r="L49" s="3" t="s">
        <v>288</v>
      </c>
      <c r="M49">
        <v>31</v>
      </c>
      <c r="N49">
        <v>0</v>
      </c>
      <c r="O49" s="8" t="s">
        <v>221</v>
      </c>
      <c r="P49" s="12">
        <v>16666</v>
      </c>
      <c r="Q49" s="13">
        <v>16666</v>
      </c>
      <c r="R49" s="12">
        <v>8333</v>
      </c>
      <c r="S49" s="13">
        <v>8333</v>
      </c>
      <c r="T49" s="12">
        <v>1600</v>
      </c>
      <c r="U49" s="13">
        <v>1600</v>
      </c>
      <c r="V49" s="12">
        <v>4132</v>
      </c>
      <c r="W49" s="13">
        <v>4132</v>
      </c>
      <c r="X49" s="12">
        <v>30731</v>
      </c>
      <c r="Y49" s="13">
        <v>30731</v>
      </c>
      <c r="Z49" s="13">
        <v>1800</v>
      </c>
      <c r="AA49" s="12">
        <v>200</v>
      </c>
      <c r="AB49" s="15" t="s">
        <v>180</v>
      </c>
      <c r="AC49" s="13">
        <v>2000</v>
      </c>
      <c r="AD49" s="13">
        <v>1800</v>
      </c>
      <c r="AE49" s="12">
        <v>802</v>
      </c>
      <c r="AF49" s="13">
        <v>2602</v>
      </c>
      <c r="AG49" s="12">
        <v>33333</v>
      </c>
      <c r="AH49" s="13">
        <v>28731</v>
      </c>
      <c r="AI49" t="str">
        <f t="shared" si="3"/>
        <v>Twenty Eight Thousand Seven Hundred and Thirty One</v>
      </c>
    </row>
    <row r="50" spans="1:35" ht="16.5" customHeight="1" x14ac:dyDescent="0.35">
      <c r="A50" s="10" t="s">
        <v>139</v>
      </c>
      <c r="B50" t="s">
        <v>155</v>
      </c>
      <c r="C50" s="3" t="s">
        <v>112</v>
      </c>
      <c r="D50" s="6" t="s">
        <v>178</v>
      </c>
      <c r="E50" t="s">
        <v>64</v>
      </c>
      <c r="F50" t="s">
        <v>65</v>
      </c>
      <c r="G50" s="7">
        <v>38613963272</v>
      </c>
      <c r="H50" s="7" t="s">
        <v>177</v>
      </c>
      <c r="I50" s="7"/>
      <c r="K50" s="8" t="s">
        <v>273</v>
      </c>
      <c r="L50" s="3" t="s">
        <v>288</v>
      </c>
      <c r="M50">
        <v>31</v>
      </c>
      <c r="N50">
        <v>0</v>
      </c>
      <c r="O50" s="8" t="s">
        <v>221</v>
      </c>
      <c r="P50" s="12">
        <v>50000</v>
      </c>
      <c r="Q50" s="13">
        <v>50000</v>
      </c>
      <c r="R50" s="12">
        <v>25000</v>
      </c>
      <c r="S50" s="13">
        <v>25000</v>
      </c>
      <c r="T50" s="12">
        <v>1600</v>
      </c>
      <c r="U50" s="13">
        <v>1600</v>
      </c>
      <c r="V50" s="12">
        <v>19195</v>
      </c>
      <c r="W50" s="13">
        <v>19195</v>
      </c>
      <c r="X50" s="12">
        <v>95795</v>
      </c>
      <c r="Y50" s="13">
        <v>95795</v>
      </c>
      <c r="Z50" s="13">
        <v>1800</v>
      </c>
      <c r="AA50" s="12">
        <v>200</v>
      </c>
      <c r="AB50" s="15" t="s">
        <v>180</v>
      </c>
      <c r="AC50" s="13">
        <v>2000</v>
      </c>
      <c r="AD50" s="13">
        <v>1800</v>
      </c>
      <c r="AE50" s="13">
        <v>2405</v>
      </c>
      <c r="AF50" s="13">
        <v>4205</v>
      </c>
      <c r="AG50" s="12">
        <v>100000</v>
      </c>
      <c r="AH50" s="13">
        <v>93795</v>
      </c>
      <c r="AI50" t="str">
        <f t="shared" si="3"/>
        <v>Ninety Three Thousand Seven Hundred and Ninety Five</v>
      </c>
    </row>
    <row r="51" spans="1:35" x14ac:dyDescent="0.35">
      <c r="A51" s="10" t="s">
        <v>140</v>
      </c>
      <c r="B51" t="s">
        <v>156</v>
      </c>
      <c r="C51" s="3" t="s">
        <v>182</v>
      </c>
      <c r="D51" t="s">
        <v>118</v>
      </c>
      <c r="E51" t="s">
        <v>64</v>
      </c>
      <c r="F51" t="s">
        <v>65</v>
      </c>
      <c r="G51" s="7" t="s">
        <v>176</v>
      </c>
      <c r="H51" s="7" t="s">
        <v>115</v>
      </c>
      <c r="I51" s="7">
        <v>102076060789</v>
      </c>
      <c r="K51" s="8" t="s">
        <v>274</v>
      </c>
      <c r="L51" s="3" t="s">
        <v>288</v>
      </c>
      <c r="M51">
        <v>31</v>
      </c>
      <c r="N51">
        <v>0</v>
      </c>
      <c r="O51" s="8" t="s">
        <v>221</v>
      </c>
      <c r="P51" s="12">
        <v>7500</v>
      </c>
      <c r="Q51" s="13">
        <v>7500</v>
      </c>
      <c r="R51" s="12">
        <v>3750</v>
      </c>
      <c r="S51" s="13">
        <v>3750</v>
      </c>
      <c r="T51" s="12">
        <v>1600</v>
      </c>
      <c r="U51" s="13">
        <v>1600</v>
      </c>
      <c r="V51" s="12">
        <v>889</v>
      </c>
      <c r="W51" s="12">
        <v>889</v>
      </c>
      <c r="X51" s="12">
        <v>13739</v>
      </c>
      <c r="Y51" s="13">
        <v>13739</v>
      </c>
      <c r="Z51" s="12">
        <v>900</v>
      </c>
      <c r="AA51" s="12">
        <v>150</v>
      </c>
      <c r="AB51" s="15" t="s">
        <v>180</v>
      </c>
      <c r="AC51" s="13">
        <v>1050</v>
      </c>
      <c r="AD51" s="12">
        <v>900</v>
      </c>
      <c r="AE51" s="12">
        <v>361</v>
      </c>
      <c r="AF51" s="13">
        <v>1203</v>
      </c>
      <c r="AG51" s="12">
        <v>15000</v>
      </c>
      <c r="AH51" s="13">
        <v>12689</v>
      </c>
      <c r="AI51" t="str">
        <f t="shared" si="3"/>
        <v>Twelve Thousand Six Hundred and Eighty Nine</v>
      </c>
    </row>
    <row r="52" spans="1:35" x14ac:dyDescent="0.35">
      <c r="A52" s="14" t="s">
        <v>186</v>
      </c>
      <c r="B52" s="14" t="s">
        <v>187</v>
      </c>
      <c r="C52" s="3" t="s">
        <v>212</v>
      </c>
      <c r="D52" t="s">
        <v>213</v>
      </c>
      <c r="E52" t="s">
        <v>223</v>
      </c>
      <c r="F52" t="s">
        <v>65</v>
      </c>
      <c r="G52" s="7">
        <f>VLOOKUP(A52,[2]Salaries!$A$2:$G$71,5,0)</f>
        <v>23240100021018</v>
      </c>
      <c r="H52" t="str">
        <f>VLOOKUP(A52,[2]Salaries!$A$2:$G$71,6,0)</f>
        <v>FDRL0002324</v>
      </c>
      <c r="K52" s="8" t="s">
        <v>275</v>
      </c>
      <c r="L52" s="3" t="s">
        <v>288</v>
      </c>
      <c r="M52">
        <v>31</v>
      </c>
      <c r="N52">
        <v>0</v>
      </c>
      <c r="O52" s="8" t="s">
        <v>221</v>
      </c>
      <c r="P52" s="12">
        <v>9222</v>
      </c>
      <c r="Q52" s="13">
        <v>9222</v>
      </c>
      <c r="R52" s="12">
        <v>4611</v>
      </c>
      <c r="S52" s="13">
        <v>4611</v>
      </c>
      <c r="T52" s="12">
        <v>1600</v>
      </c>
      <c r="U52" s="13">
        <v>1600</v>
      </c>
      <c r="V52" s="12">
        <v>2567</v>
      </c>
      <c r="W52" s="13">
        <v>2567</v>
      </c>
      <c r="X52" s="12">
        <v>18000</v>
      </c>
      <c r="Y52" s="13">
        <v>18000</v>
      </c>
      <c r="Z52" s="12">
        <v>0</v>
      </c>
      <c r="AA52" s="12">
        <v>200</v>
      </c>
      <c r="AB52" s="15" t="s">
        <v>180</v>
      </c>
      <c r="AC52" s="12">
        <v>200</v>
      </c>
      <c r="AD52" s="12">
        <v>0</v>
      </c>
      <c r="AE52" s="12">
        <v>444</v>
      </c>
      <c r="AF52" s="12">
        <v>444</v>
      </c>
      <c r="AG52" s="12">
        <v>18444</v>
      </c>
      <c r="AH52" s="13">
        <v>18300</v>
      </c>
      <c r="AI52" t="str">
        <f t="shared" si="3"/>
        <v>Eighteen Thousand Three Hundred</v>
      </c>
    </row>
    <row r="53" spans="1:35" x14ac:dyDescent="0.35">
      <c r="A53" s="14" t="s">
        <v>188</v>
      </c>
      <c r="B53" s="14" t="s">
        <v>189</v>
      </c>
      <c r="C53" s="3" t="s">
        <v>212</v>
      </c>
      <c r="D53" t="s">
        <v>214</v>
      </c>
      <c r="E53" t="s">
        <v>222</v>
      </c>
      <c r="F53" t="s">
        <v>65</v>
      </c>
      <c r="G53" s="7">
        <f>VLOOKUP(A53,[2]Salaries!$A$2:$G$71,5,0)</f>
        <v>23701000029541</v>
      </c>
      <c r="H53" t="str">
        <f>VLOOKUP(A53,[2]Salaries!$A$2:$G$71,6,0)</f>
        <v>FDRL0002307</v>
      </c>
      <c r="K53" s="8" t="s">
        <v>276</v>
      </c>
      <c r="L53" s="3" t="s">
        <v>288</v>
      </c>
      <c r="M53">
        <v>31</v>
      </c>
      <c r="N53">
        <v>0</v>
      </c>
      <c r="O53" s="8" t="s">
        <v>221</v>
      </c>
      <c r="P53" s="12">
        <v>7685</v>
      </c>
      <c r="Q53" s="13">
        <v>7685</v>
      </c>
      <c r="R53" s="12">
        <v>3842</v>
      </c>
      <c r="S53" s="13">
        <v>3842</v>
      </c>
      <c r="T53" s="12">
        <v>1600</v>
      </c>
      <c r="U53" s="13">
        <v>1600</v>
      </c>
      <c r="V53" s="12">
        <v>1873</v>
      </c>
      <c r="W53" s="13">
        <v>1873</v>
      </c>
      <c r="X53" s="12">
        <v>15000</v>
      </c>
      <c r="Y53" s="13">
        <v>15000</v>
      </c>
      <c r="Z53" s="12">
        <v>0</v>
      </c>
      <c r="AA53" s="12">
        <v>200</v>
      </c>
      <c r="AB53" s="15" t="s">
        <v>180</v>
      </c>
      <c r="AC53" s="12">
        <v>200</v>
      </c>
      <c r="AD53" s="12">
        <v>0</v>
      </c>
      <c r="AE53" s="12">
        <v>370</v>
      </c>
      <c r="AF53" s="12">
        <v>370</v>
      </c>
      <c r="AG53" s="12">
        <v>15370</v>
      </c>
      <c r="AH53" s="13">
        <v>14800</v>
      </c>
      <c r="AI53" t="str">
        <f t="shared" si="3"/>
        <v>Fourteen Thousand Eight Hundred</v>
      </c>
    </row>
    <row r="54" spans="1:35" x14ac:dyDescent="0.35">
      <c r="A54" s="14" t="s">
        <v>190</v>
      </c>
      <c r="B54" s="14" t="s">
        <v>191</v>
      </c>
      <c r="C54" s="3" t="s">
        <v>212</v>
      </c>
      <c r="D54" t="s">
        <v>215</v>
      </c>
      <c r="E54" t="s">
        <v>222</v>
      </c>
      <c r="F54" t="s">
        <v>65</v>
      </c>
      <c r="G54" s="7">
        <f>VLOOKUP(A54,[2]Salaries!$A$2:$G$71,5,0)</f>
        <v>17560100050974</v>
      </c>
      <c r="H54" t="str">
        <f>VLOOKUP(A54,[2]Salaries!$A$2:$G$71,6,0)</f>
        <v>FDRL0001756</v>
      </c>
      <c r="K54" s="8" t="s">
        <v>277</v>
      </c>
      <c r="L54" s="3" t="s">
        <v>288</v>
      </c>
      <c r="M54">
        <v>31</v>
      </c>
      <c r="N54">
        <v>0</v>
      </c>
      <c r="O54" s="8" t="s">
        <v>221</v>
      </c>
      <c r="P54" s="12">
        <v>9222</v>
      </c>
      <c r="Q54" s="13">
        <v>9222</v>
      </c>
      <c r="R54" s="12">
        <v>4611</v>
      </c>
      <c r="S54" s="13">
        <v>4611</v>
      </c>
      <c r="T54" s="12">
        <v>1600</v>
      </c>
      <c r="U54" s="13">
        <v>1600</v>
      </c>
      <c r="V54" s="12">
        <v>2567</v>
      </c>
      <c r="W54" s="13">
        <v>2567</v>
      </c>
      <c r="X54" s="12">
        <v>18000</v>
      </c>
      <c r="Y54" s="13">
        <v>18000</v>
      </c>
      <c r="Z54" s="12">
        <v>0</v>
      </c>
      <c r="AA54" s="12">
        <v>200</v>
      </c>
      <c r="AB54" s="15" t="s">
        <v>180</v>
      </c>
      <c r="AC54" s="12">
        <v>200</v>
      </c>
      <c r="AD54" s="12">
        <v>0</v>
      </c>
      <c r="AE54" s="12">
        <v>444</v>
      </c>
      <c r="AF54" s="12">
        <v>444</v>
      </c>
      <c r="AG54" s="12">
        <v>18444</v>
      </c>
      <c r="AH54" s="13">
        <v>17800</v>
      </c>
      <c r="AI54" t="str">
        <f t="shared" si="3"/>
        <v>Seventeen Thousand Eight Hundred</v>
      </c>
    </row>
    <row r="55" spans="1:35" x14ac:dyDescent="0.35">
      <c r="A55" s="14" t="s">
        <v>192</v>
      </c>
      <c r="B55" s="14" t="s">
        <v>193</v>
      </c>
      <c r="C55" s="3" t="s">
        <v>212</v>
      </c>
      <c r="D55" t="s">
        <v>214</v>
      </c>
      <c r="E55" t="s">
        <v>222</v>
      </c>
      <c r="F55" t="s">
        <v>65</v>
      </c>
      <c r="G55" s="7">
        <f>VLOOKUP(A55,[2]Salaries!$A$2:$G$71,5,0)</f>
        <v>24570100002876</v>
      </c>
      <c r="H55" t="str">
        <f>VLOOKUP(A55,[2]Salaries!$A$2:$G$71,6,0)</f>
        <v>FDRL0002457</v>
      </c>
      <c r="K55" s="8" t="s">
        <v>278</v>
      </c>
      <c r="L55" s="3" t="s">
        <v>288</v>
      </c>
      <c r="M55">
        <v>31</v>
      </c>
      <c r="N55">
        <v>0</v>
      </c>
      <c r="O55" s="8" t="s">
        <v>221</v>
      </c>
      <c r="P55" s="12">
        <v>7685</v>
      </c>
      <c r="Q55" s="13">
        <v>7685</v>
      </c>
      <c r="R55" s="12">
        <v>3842</v>
      </c>
      <c r="S55" s="13">
        <v>3842</v>
      </c>
      <c r="T55" s="12">
        <v>1600</v>
      </c>
      <c r="U55" s="13">
        <v>1600</v>
      </c>
      <c r="V55" s="12">
        <v>1873</v>
      </c>
      <c r="W55" s="13">
        <v>1873</v>
      </c>
      <c r="X55" s="12">
        <v>15000</v>
      </c>
      <c r="Y55" s="13">
        <v>15000</v>
      </c>
      <c r="Z55" s="12">
        <v>0</v>
      </c>
      <c r="AA55" s="12">
        <v>200</v>
      </c>
      <c r="AB55" s="15" t="s">
        <v>180</v>
      </c>
      <c r="AC55" s="12">
        <v>200</v>
      </c>
      <c r="AD55" s="12">
        <v>0</v>
      </c>
      <c r="AE55" s="12">
        <v>370</v>
      </c>
      <c r="AF55" s="12">
        <v>370</v>
      </c>
      <c r="AG55" s="12">
        <v>15370</v>
      </c>
      <c r="AH55" s="13">
        <v>14800</v>
      </c>
      <c r="AI55" t="str">
        <f t="shared" si="3"/>
        <v>Fourteen Thousand Eight Hundred</v>
      </c>
    </row>
    <row r="56" spans="1:35" x14ac:dyDescent="0.35">
      <c r="A56" s="14" t="s">
        <v>194</v>
      </c>
      <c r="B56" s="14" t="s">
        <v>195</v>
      </c>
      <c r="C56" s="3" t="s">
        <v>212</v>
      </c>
      <c r="D56" t="s">
        <v>215</v>
      </c>
      <c r="E56" t="s">
        <v>222</v>
      </c>
      <c r="F56" t="s">
        <v>65</v>
      </c>
      <c r="G56" s="7">
        <f>VLOOKUP(A56,[2]Salaries!$A$2:$G$71,5,0)</f>
        <v>924010050412952</v>
      </c>
      <c r="H56" t="str">
        <f>VLOOKUP(A56,[2]Salaries!$A$2:$G$71,6,0)</f>
        <v>UTIB0002158</v>
      </c>
      <c r="K56" s="8" t="s">
        <v>279</v>
      </c>
      <c r="L56" s="3" t="s">
        <v>288</v>
      </c>
      <c r="M56">
        <v>31</v>
      </c>
      <c r="N56">
        <v>0</v>
      </c>
      <c r="O56" s="8" t="s">
        <v>221</v>
      </c>
      <c r="P56" s="12">
        <v>6660</v>
      </c>
      <c r="Q56" s="13">
        <v>6660</v>
      </c>
      <c r="R56" s="12">
        <v>3330</v>
      </c>
      <c r="S56" s="13">
        <v>3330</v>
      </c>
      <c r="T56" s="12">
        <v>1600</v>
      </c>
      <c r="U56" s="13">
        <v>1600</v>
      </c>
      <c r="V56" s="12">
        <v>1410</v>
      </c>
      <c r="W56" s="13">
        <v>1410</v>
      </c>
      <c r="X56" s="12">
        <v>13000</v>
      </c>
      <c r="Y56" s="13">
        <v>13000</v>
      </c>
      <c r="Z56" s="12">
        <v>0</v>
      </c>
      <c r="AA56" s="12">
        <v>150</v>
      </c>
      <c r="AB56" s="15" t="s">
        <v>180</v>
      </c>
      <c r="AC56" s="12">
        <v>150</v>
      </c>
      <c r="AD56" s="12">
        <v>0</v>
      </c>
      <c r="AE56" s="12">
        <v>320</v>
      </c>
      <c r="AF56" s="12">
        <v>320</v>
      </c>
      <c r="AG56" s="12">
        <v>13320</v>
      </c>
      <c r="AH56" s="13">
        <v>12850</v>
      </c>
      <c r="AI56" t="str">
        <f t="shared" si="3"/>
        <v xml:space="preserve">Twelve Thousand Eight Hundred and Fifty </v>
      </c>
    </row>
    <row r="57" spans="1:35" x14ac:dyDescent="0.35">
      <c r="A57" s="14" t="s">
        <v>196</v>
      </c>
      <c r="B57" s="14" t="s">
        <v>197</v>
      </c>
      <c r="C57" s="3" t="s">
        <v>212</v>
      </c>
      <c r="D57" t="s">
        <v>214</v>
      </c>
      <c r="E57" t="s">
        <v>222</v>
      </c>
      <c r="F57" t="s">
        <v>65</v>
      </c>
      <c r="G57" s="7">
        <f>VLOOKUP(A57,[2]Salaries!$A$2:$G$71,5,0)</f>
        <v>25140100010136</v>
      </c>
      <c r="H57" t="str">
        <f>VLOOKUP(A57,[2]Salaries!$A$2:$G$71,6,0)</f>
        <v>FDRL0002514</v>
      </c>
      <c r="K57" s="8" t="s">
        <v>280</v>
      </c>
      <c r="L57" s="3" t="s">
        <v>288</v>
      </c>
      <c r="M57">
        <v>31</v>
      </c>
      <c r="N57">
        <v>0</v>
      </c>
      <c r="O57" s="8" t="s">
        <v>221</v>
      </c>
      <c r="P57" s="12">
        <v>6148</v>
      </c>
      <c r="Q57" s="13">
        <v>6148</v>
      </c>
      <c r="R57" s="12">
        <v>3074</v>
      </c>
      <c r="S57" s="13">
        <v>3074</v>
      </c>
      <c r="T57" s="12">
        <v>1600</v>
      </c>
      <c r="U57" s="13">
        <v>1600</v>
      </c>
      <c r="V57" s="12">
        <v>1178</v>
      </c>
      <c r="W57" s="13">
        <v>1178</v>
      </c>
      <c r="X57" s="12">
        <v>12000</v>
      </c>
      <c r="Y57" s="13">
        <v>12000</v>
      </c>
      <c r="Z57" s="12">
        <v>0</v>
      </c>
      <c r="AA57" s="12">
        <v>150</v>
      </c>
      <c r="AB57" s="15" t="s">
        <v>180</v>
      </c>
      <c r="AC57" s="12">
        <v>150</v>
      </c>
      <c r="AD57" s="12">
        <v>0</v>
      </c>
      <c r="AE57" s="12">
        <v>296</v>
      </c>
      <c r="AF57" s="12">
        <v>296</v>
      </c>
      <c r="AG57" s="12">
        <v>12296</v>
      </c>
      <c r="AH57" s="13">
        <v>11850</v>
      </c>
      <c r="AI57" t="str">
        <f t="shared" si="3"/>
        <v xml:space="preserve">Eleven Thousand Eight Hundred and Fifty </v>
      </c>
    </row>
    <row r="58" spans="1:35" x14ac:dyDescent="0.35">
      <c r="A58" s="14" t="s">
        <v>198</v>
      </c>
      <c r="B58" s="14" t="s">
        <v>199</v>
      </c>
      <c r="C58" s="3" t="s">
        <v>212</v>
      </c>
      <c r="D58" t="s">
        <v>216</v>
      </c>
      <c r="E58" t="s">
        <v>223</v>
      </c>
      <c r="F58" t="s">
        <v>65</v>
      </c>
      <c r="G58" s="7">
        <f>VLOOKUP(A58,[2]Salaries!$A$2:$G$71,5,0)</f>
        <v>23710100006391</v>
      </c>
      <c r="H58" t="str">
        <f>VLOOKUP(A58,[2]Salaries!$A$2:$G$71,6,0)</f>
        <v>FDRL0002371</v>
      </c>
      <c r="K58" s="8" t="s">
        <v>281</v>
      </c>
      <c r="L58" s="3" t="s">
        <v>288</v>
      </c>
      <c r="M58">
        <v>31</v>
      </c>
      <c r="N58">
        <v>0</v>
      </c>
      <c r="O58" s="8" t="s">
        <v>221</v>
      </c>
      <c r="P58" s="12">
        <v>6660</v>
      </c>
      <c r="Q58" s="13">
        <v>6660</v>
      </c>
      <c r="R58" s="12">
        <v>3330</v>
      </c>
      <c r="S58" s="13">
        <v>3330</v>
      </c>
      <c r="T58" s="12">
        <v>1600</v>
      </c>
      <c r="U58" s="13">
        <v>1600</v>
      </c>
      <c r="V58" s="12">
        <v>1410</v>
      </c>
      <c r="W58" s="13">
        <v>1410</v>
      </c>
      <c r="X58" s="12">
        <v>13000</v>
      </c>
      <c r="Y58" s="13">
        <v>13000</v>
      </c>
      <c r="Z58" s="12">
        <v>0</v>
      </c>
      <c r="AA58" s="12">
        <v>150</v>
      </c>
      <c r="AB58" s="15" t="s">
        <v>180</v>
      </c>
      <c r="AC58" s="12">
        <v>150</v>
      </c>
      <c r="AD58" s="12">
        <v>0</v>
      </c>
      <c r="AE58" s="12">
        <v>320</v>
      </c>
      <c r="AF58" s="12">
        <v>320</v>
      </c>
      <c r="AG58" s="12">
        <v>13320</v>
      </c>
      <c r="AH58" s="13">
        <v>12850</v>
      </c>
      <c r="AI58" t="str">
        <f t="shared" si="3"/>
        <v xml:space="preserve">Twelve Thousand Eight Hundred and Fifty </v>
      </c>
    </row>
    <row r="59" spans="1:35" x14ac:dyDescent="0.35">
      <c r="A59" s="14" t="s">
        <v>200</v>
      </c>
      <c r="B59" s="14" t="s">
        <v>201</v>
      </c>
      <c r="C59" s="3" t="s">
        <v>212</v>
      </c>
      <c r="D59" t="s">
        <v>215</v>
      </c>
      <c r="E59" t="s">
        <v>222</v>
      </c>
      <c r="F59" t="s">
        <v>65</v>
      </c>
      <c r="G59" s="7">
        <f>VLOOKUP(A59,[2]Salaries!$A$2:$G$71,5,0)</f>
        <v>24570100005333</v>
      </c>
      <c r="H59" t="str">
        <f>VLOOKUP(A59,[2]Salaries!$A$2:$G$71,6,0)</f>
        <v>FDRL0002457</v>
      </c>
      <c r="K59" s="8" t="s">
        <v>282</v>
      </c>
      <c r="L59" s="3" t="s">
        <v>288</v>
      </c>
      <c r="M59">
        <v>31</v>
      </c>
      <c r="N59">
        <v>0</v>
      </c>
      <c r="O59" s="8" t="s">
        <v>221</v>
      </c>
      <c r="P59" s="12">
        <v>14345</v>
      </c>
      <c r="Q59" s="13">
        <v>14345</v>
      </c>
      <c r="R59" s="12">
        <v>7172</v>
      </c>
      <c r="S59" s="13">
        <v>7172</v>
      </c>
      <c r="T59" s="12">
        <v>1600</v>
      </c>
      <c r="U59" s="13">
        <v>1600</v>
      </c>
      <c r="V59" s="12">
        <v>4883</v>
      </c>
      <c r="W59" s="13">
        <v>4883</v>
      </c>
      <c r="X59" s="12">
        <v>28000</v>
      </c>
      <c r="Y59" s="13">
        <v>28000</v>
      </c>
      <c r="Z59" s="12">
        <v>0</v>
      </c>
      <c r="AA59" s="12">
        <v>200</v>
      </c>
      <c r="AB59" s="15" t="s">
        <v>180</v>
      </c>
      <c r="AC59" s="12">
        <v>200</v>
      </c>
      <c r="AD59" s="12">
        <v>0</v>
      </c>
      <c r="AE59" s="12">
        <v>690</v>
      </c>
      <c r="AF59" s="12">
        <v>690</v>
      </c>
      <c r="AG59" s="12">
        <v>28690</v>
      </c>
      <c r="AH59" s="13">
        <v>27800</v>
      </c>
      <c r="AI59" t="str">
        <f t="shared" si="3"/>
        <v>Twenty Seven Thousand Eight Hundred</v>
      </c>
    </row>
    <row r="60" spans="1:35" x14ac:dyDescent="0.35">
      <c r="A60" s="14" t="s">
        <v>202</v>
      </c>
      <c r="B60" s="14" t="s">
        <v>203</v>
      </c>
      <c r="C60" s="3" t="s">
        <v>212</v>
      </c>
      <c r="D60" t="s">
        <v>217</v>
      </c>
      <c r="E60" t="s">
        <v>222</v>
      </c>
      <c r="F60" t="s">
        <v>65</v>
      </c>
      <c r="G60" s="7">
        <f>VLOOKUP(A60,[2]Salaries!$A$2:$G$71,5,0)</f>
        <v>99980128937682</v>
      </c>
      <c r="H60" t="str">
        <f>VLOOKUP(A60,[2]Salaries!$A$2:$G$71,6,0)</f>
        <v>FDRL0001555</v>
      </c>
      <c r="K60" s="8" t="s">
        <v>283</v>
      </c>
      <c r="L60" s="3" t="s">
        <v>288</v>
      </c>
      <c r="M60">
        <v>31</v>
      </c>
      <c r="N60">
        <v>0</v>
      </c>
      <c r="O60" s="8" t="s">
        <v>221</v>
      </c>
      <c r="P60" s="12">
        <v>12808</v>
      </c>
      <c r="Q60" s="13">
        <v>12808</v>
      </c>
      <c r="R60" s="12">
        <v>6404</v>
      </c>
      <c r="S60" s="13">
        <v>6404</v>
      </c>
      <c r="T60" s="12">
        <v>1600</v>
      </c>
      <c r="U60" s="13">
        <v>1600</v>
      </c>
      <c r="V60" s="12">
        <v>4188</v>
      </c>
      <c r="W60" s="13">
        <v>4188</v>
      </c>
      <c r="X60" s="12">
        <v>25000</v>
      </c>
      <c r="Y60" s="13">
        <v>25000</v>
      </c>
      <c r="Z60" s="12">
        <v>0</v>
      </c>
      <c r="AA60" s="12">
        <v>200</v>
      </c>
      <c r="AB60" s="15" t="s">
        <v>180</v>
      </c>
      <c r="AC60" s="12">
        <v>200</v>
      </c>
      <c r="AD60" s="12">
        <v>0</v>
      </c>
      <c r="AE60" s="12">
        <v>616</v>
      </c>
      <c r="AF60" s="12">
        <v>616</v>
      </c>
      <c r="AG60" s="12">
        <v>25616</v>
      </c>
      <c r="AH60" s="13">
        <v>24800</v>
      </c>
      <c r="AI60" t="str">
        <f t="shared" si="3"/>
        <v>Twenty Four Thousand Eight Hundred</v>
      </c>
    </row>
    <row r="61" spans="1:35" x14ac:dyDescent="0.35">
      <c r="A61" s="14" t="s">
        <v>204</v>
      </c>
      <c r="B61" s="14" t="s">
        <v>205</v>
      </c>
      <c r="C61" s="3" t="s">
        <v>212</v>
      </c>
      <c r="D61" t="s">
        <v>218</v>
      </c>
      <c r="E61" t="s">
        <v>223</v>
      </c>
      <c r="F61" t="s">
        <v>65</v>
      </c>
      <c r="G61" s="7">
        <f>VLOOKUP(A61,[2]Salaries!$A$2:$G$71,5,0)</f>
        <v>99980128338519</v>
      </c>
      <c r="H61" t="str">
        <f>VLOOKUP(A61,[2]Salaries!$A$2:$G$71,6,0)</f>
        <v>FDRL0001583</v>
      </c>
      <c r="K61" s="8" t="s">
        <v>284</v>
      </c>
      <c r="L61" s="3" t="s">
        <v>288</v>
      </c>
      <c r="M61">
        <v>31</v>
      </c>
      <c r="N61">
        <v>0</v>
      </c>
      <c r="O61" s="8" t="s">
        <v>221</v>
      </c>
      <c r="P61" s="12">
        <v>11783</v>
      </c>
      <c r="Q61" s="13">
        <v>11783</v>
      </c>
      <c r="R61" s="12">
        <v>5892</v>
      </c>
      <c r="S61" s="13">
        <v>5892</v>
      </c>
      <c r="T61" s="12">
        <v>1600</v>
      </c>
      <c r="U61" s="13">
        <v>1600</v>
      </c>
      <c r="V61" s="12">
        <v>3725</v>
      </c>
      <c r="W61" s="13">
        <v>3725</v>
      </c>
      <c r="X61" s="12">
        <v>23000</v>
      </c>
      <c r="Y61" s="13">
        <v>23000</v>
      </c>
      <c r="Z61" s="12">
        <v>0</v>
      </c>
      <c r="AA61" s="12">
        <v>200</v>
      </c>
      <c r="AB61" s="15" t="s">
        <v>180</v>
      </c>
      <c r="AC61" s="12">
        <v>200</v>
      </c>
      <c r="AD61" s="12">
        <v>0</v>
      </c>
      <c r="AE61" s="12">
        <v>567</v>
      </c>
      <c r="AF61" s="12">
        <v>567</v>
      </c>
      <c r="AG61" s="12">
        <v>23567</v>
      </c>
      <c r="AH61" s="13">
        <v>22800</v>
      </c>
      <c r="AI61" t="str">
        <f t="shared" si="3"/>
        <v>Twenty Two Thousand Eight Hundred</v>
      </c>
    </row>
    <row r="62" spans="1:35" x14ac:dyDescent="0.35">
      <c r="A62" s="14" t="s">
        <v>206</v>
      </c>
      <c r="B62" s="14" t="s">
        <v>207</v>
      </c>
      <c r="C62" s="3" t="s">
        <v>212</v>
      </c>
      <c r="D62" t="s">
        <v>219</v>
      </c>
      <c r="E62" t="s">
        <v>222</v>
      </c>
      <c r="F62" t="s">
        <v>65</v>
      </c>
      <c r="G62" s="7">
        <f>VLOOKUP(A62,[2]Salaries!$A$2:$G$71,5,0)</f>
        <v>24780100008456</v>
      </c>
      <c r="H62" t="str">
        <f>VLOOKUP(A62,[2]Salaries!$A$2:$G$71,6,0)</f>
        <v>FDRL0002478</v>
      </c>
      <c r="K62" s="8" t="s">
        <v>285</v>
      </c>
      <c r="L62" s="3" t="s">
        <v>288</v>
      </c>
      <c r="M62">
        <v>31</v>
      </c>
      <c r="N62">
        <v>0</v>
      </c>
      <c r="O62" s="8" t="s">
        <v>221</v>
      </c>
      <c r="P62" s="12">
        <v>23054</v>
      </c>
      <c r="Q62" s="13">
        <v>23054</v>
      </c>
      <c r="R62" s="12">
        <v>11527</v>
      </c>
      <c r="S62" s="13">
        <v>11527</v>
      </c>
      <c r="T62" s="12">
        <v>1600</v>
      </c>
      <c r="U62" s="13">
        <v>1600</v>
      </c>
      <c r="V62" s="12">
        <v>8818</v>
      </c>
      <c r="W62" s="13">
        <v>8818</v>
      </c>
      <c r="X62" s="12">
        <v>45000</v>
      </c>
      <c r="Y62" s="13">
        <v>45000</v>
      </c>
      <c r="Z62" s="12">
        <v>0</v>
      </c>
      <c r="AA62" s="12">
        <v>200</v>
      </c>
      <c r="AB62" s="15" t="s">
        <v>180</v>
      </c>
      <c r="AC62" s="12">
        <v>200</v>
      </c>
      <c r="AD62" s="12">
        <v>0</v>
      </c>
      <c r="AE62" s="13">
        <v>1109</v>
      </c>
      <c r="AF62" s="13">
        <v>1109</v>
      </c>
      <c r="AG62" s="12">
        <v>46109</v>
      </c>
      <c r="AH62" s="13">
        <v>44800</v>
      </c>
      <c r="AI62" t="str">
        <f t="shared" si="3"/>
        <v>Forty Four Thousand Eight Hundred</v>
      </c>
    </row>
    <row r="63" spans="1:35" x14ac:dyDescent="0.35">
      <c r="A63" s="14" t="s">
        <v>208</v>
      </c>
      <c r="B63" s="14" t="s">
        <v>209</v>
      </c>
      <c r="C63" s="3" t="s">
        <v>212</v>
      </c>
      <c r="D63" t="s">
        <v>220</v>
      </c>
      <c r="E63" t="s">
        <v>222</v>
      </c>
      <c r="F63" t="s">
        <v>65</v>
      </c>
      <c r="G63" s="7">
        <f>VLOOKUP(A63,[2]Salaries!$A$2:$G$71,5,0)</f>
        <v>15550100107520</v>
      </c>
      <c r="H63" t="str">
        <f>VLOOKUP(A63,[2]Salaries!$A$2:$G$71,6,0)</f>
        <v>FDRL0001555</v>
      </c>
      <c r="K63" s="8" t="s">
        <v>286</v>
      </c>
      <c r="L63" s="3" t="s">
        <v>288</v>
      </c>
      <c r="M63">
        <v>31</v>
      </c>
      <c r="N63">
        <v>0</v>
      </c>
      <c r="O63" s="8" t="s">
        <v>221</v>
      </c>
      <c r="P63" s="12">
        <v>5123</v>
      </c>
      <c r="Q63" s="13">
        <v>5123</v>
      </c>
      <c r="R63" s="12">
        <v>2561</v>
      </c>
      <c r="S63" s="13">
        <v>2561</v>
      </c>
      <c r="T63" s="12">
        <v>1600</v>
      </c>
      <c r="U63" s="13">
        <v>1600</v>
      </c>
      <c r="V63" s="12">
        <v>715</v>
      </c>
      <c r="W63" s="12">
        <v>715</v>
      </c>
      <c r="X63" s="12">
        <v>10000</v>
      </c>
      <c r="Y63" s="13">
        <v>10000</v>
      </c>
      <c r="Z63" s="12">
        <v>0</v>
      </c>
      <c r="AA63" s="12">
        <v>150</v>
      </c>
      <c r="AB63" s="15" t="s">
        <v>180</v>
      </c>
      <c r="AC63" s="12">
        <v>150</v>
      </c>
      <c r="AD63" s="12">
        <v>0</v>
      </c>
      <c r="AE63" s="12">
        <v>246</v>
      </c>
      <c r="AF63" s="12">
        <v>246</v>
      </c>
      <c r="AG63" s="12">
        <v>10246</v>
      </c>
      <c r="AH63" s="13">
        <v>9850</v>
      </c>
      <c r="AI63" t="str">
        <f t="shared" si="3"/>
        <v xml:space="preserve">Nine Thousand Eight Hundred and Fifty </v>
      </c>
    </row>
    <row r="64" spans="1:35" x14ac:dyDescent="0.35">
      <c r="A64" s="14" t="s">
        <v>210</v>
      </c>
      <c r="B64" s="14" t="s">
        <v>211</v>
      </c>
      <c r="C64" s="3" t="s">
        <v>212</v>
      </c>
      <c r="D64" t="s">
        <v>220</v>
      </c>
      <c r="E64" t="s">
        <v>222</v>
      </c>
      <c r="F64" t="s">
        <v>65</v>
      </c>
      <c r="G64" s="7">
        <f>VLOOKUP(A64,[2]Salaries!$A$2:$G$71,5,0)</f>
        <v>15690100076067</v>
      </c>
      <c r="H64" t="str">
        <f>VLOOKUP(A64,[2]Salaries!$A$2:$G$71,6,0)</f>
        <v>FDRL0001569</v>
      </c>
      <c r="K64" s="8" t="s">
        <v>287</v>
      </c>
      <c r="L64" s="3" t="s">
        <v>288</v>
      </c>
      <c r="M64">
        <v>31</v>
      </c>
      <c r="N64">
        <v>0</v>
      </c>
      <c r="O64" s="8" t="s">
        <v>221</v>
      </c>
      <c r="P64" s="12">
        <v>6148</v>
      </c>
      <c r="Q64" s="13">
        <v>6148</v>
      </c>
      <c r="R64" s="12">
        <v>3074</v>
      </c>
      <c r="S64" s="13">
        <v>3074</v>
      </c>
      <c r="T64" s="12">
        <v>1600</v>
      </c>
      <c r="U64" s="13">
        <v>1600</v>
      </c>
      <c r="V64" s="12">
        <v>1178</v>
      </c>
      <c r="W64" s="13">
        <v>1178</v>
      </c>
      <c r="X64" s="12">
        <v>12000</v>
      </c>
      <c r="Y64" s="13">
        <v>12000</v>
      </c>
      <c r="Z64" s="12">
        <v>0</v>
      </c>
      <c r="AA64" s="12">
        <v>150</v>
      </c>
      <c r="AB64" s="15" t="s">
        <v>180</v>
      </c>
      <c r="AC64" s="12">
        <v>150</v>
      </c>
      <c r="AD64" s="12">
        <v>0</v>
      </c>
      <c r="AE64" s="12">
        <v>296</v>
      </c>
      <c r="AF64" s="12">
        <v>296</v>
      </c>
      <c r="AG64" s="12">
        <v>12296</v>
      </c>
      <c r="AH64" s="13">
        <v>11850</v>
      </c>
      <c r="AI64" t="str">
        <f t="shared" si="3"/>
        <v xml:space="preserve">Eleven Thousand Eight Hundred and Fifty </v>
      </c>
    </row>
  </sheetData>
  <phoneticPr fontId="4" type="noConversion"/>
  <conditionalFormatting sqref="A1:A1048576">
    <cfRule type="duplicateValues" dxfId="1" priority="2"/>
  </conditionalFormatting>
  <conditionalFormatting sqref="N2:N6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2026-07-27T13:00:08Z</dcterms:modified>
</cp:coreProperties>
</file>