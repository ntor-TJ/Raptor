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ly\"/>
    </mc:Choice>
  </mc:AlternateContent>
  <xr:revisionPtr revIDLastSave="0" documentId="13_ncr:1_{BCFE17FA-F7D7-4CC9-AE48-124073342934}" xr6:coauthVersionLast="47" xr6:coauthVersionMax="47" xr10:uidLastSave="{00000000-0000-0000-0000-000000000000}"/>
  <bookViews>
    <workbookView xWindow="-110" yWindow="-110" windowWidth="19420" windowHeight="10420" tabRatio="500" firstSheet="3" activeTab="4" xr2:uid="{00000000-000D-0000-FFFF-FFFF00000000}"/>
  </bookViews>
  <sheets>
    <sheet name="Payroll Summary" sheetId="1" state="hidden" r:id="rId1"/>
    <sheet name="March" sheetId="2" state="hidden" r:id="rId2"/>
    <sheet name="April" sheetId="3" state="hidden" r:id="rId3"/>
    <sheet name="June" sheetId="5" r:id="rId4"/>
    <sheet name="July" sheetId="6" r:id="rId5"/>
    <sheet name="Legend &amp; Instructions" sheetId="9" r:id="rId6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7" i="6" l="1"/>
  <c r="AI7" i="6"/>
  <c r="AJ7" i="6"/>
  <c r="AK7" i="6"/>
  <c r="AL7" i="6"/>
  <c r="AM7" i="6"/>
  <c r="AN7" i="6"/>
  <c r="AO7" i="6"/>
  <c r="AQ7" i="6" s="1"/>
  <c r="AH8" i="6"/>
  <c r="AI8" i="6"/>
  <c r="AJ8" i="6"/>
  <c r="AK8" i="6"/>
  <c r="AL8" i="6"/>
  <c r="AM8" i="6"/>
  <c r="AN8" i="6"/>
  <c r="AO8" i="6"/>
  <c r="AQ8" i="6" s="1"/>
  <c r="AH9" i="6"/>
  <c r="AI9" i="6"/>
  <c r="AJ9" i="6"/>
  <c r="AK9" i="6"/>
  <c r="AL9" i="6"/>
  <c r="AM9" i="6"/>
  <c r="AN9" i="6"/>
  <c r="AO9" i="6"/>
  <c r="AQ9" i="6" s="1"/>
  <c r="AH10" i="6"/>
  <c r="AI10" i="6"/>
  <c r="AJ10" i="6"/>
  <c r="AK10" i="6"/>
  <c r="AL10" i="6"/>
  <c r="AM10" i="6"/>
  <c r="AN10" i="6"/>
  <c r="AO10" i="6"/>
  <c r="AQ10" i="6" s="1"/>
  <c r="AH11" i="6"/>
  <c r="AI11" i="6"/>
  <c r="AJ11" i="6"/>
  <c r="AK11" i="6"/>
  <c r="AL11" i="6"/>
  <c r="AM11" i="6"/>
  <c r="AN11" i="6"/>
  <c r="AO11" i="6"/>
  <c r="AQ11" i="6" s="1"/>
  <c r="AH12" i="6"/>
  <c r="AI12" i="6"/>
  <c r="AJ12" i="6"/>
  <c r="AK12" i="6"/>
  <c r="AL12" i="6"/>
  <c r="AM12" i="6"/>
  <c r="AN12" i="6"/>
  <c r="AO12" i="6"/>
  <c r="AQ12" i="6" s="1"/>
  <c r="AH13" i="6"/>
  <c r="AI13" i="6"/>
  <c r="AJ13" i="6"/>
  <c r="AK13" i="6"/>
  <c r="AL13" i="6"/>
  <c r="AM13" i="6"/>
  <c r="AN13" i="6"/>
  <c r="AO13" i="6"/>
  <c r="AQ13" i="6" s="1"/>
  <c r="AH14" i="6"/>
  <c r="AI14" i="6"/>
  <c r="AJ14" i="6"/>
  <c r="AK14" i="6"/>
  <c r="AL14" i="6"/>
  <c r="AM14" i="6"/>
  <c r="AN14" i="6"/>
  <c r="AO14" i="6"/>
  <c r="AQ14" i="6" s="1"/>
  <c r="AH15" i="6"/>
  <c r="AI15" i="6"/>
  <c r="AJ15" i="6"/>
  <c r="AK15" i="6"/>
  <c r="AL15" i="6"/>
  <c r="AM15" i="6"/>
  <c r="AN15" i="6"/>
  <c r="AO15" i="6"/>
  <c r="AQ15" i="6" s="1"/>
  <c r="AH16" i="6"/>
  <c r="AI16" i="6"/>
  <c r="AJ16" i="6"/>
  <c r="AK16" i="6"/>
  <c r="AL16" i="6"/>
  <c r="AM16" i="6"/>
  <c r="AN16" i="6"/>
  <c r="AO16" i="6"/>
  <c r="AQ16" i="6" s="1"/>
  <c r="AH17" i="6"/>
  <c r="AI17" i="6"/>
  <c r="AJ17" i="6"/>
  <c r="AK17" i="6"/>
  <c r="AL17" i="6"/>
  <c r="AM17" i="6"/>
  <c r="AN17" i="6"/>
  <c r="AO17" i="6"/>
  <c r="AQ17" i="6" s="1"/>
  <c r="AH18" i="6"/>
  <c r="AI18" i="6"/>
  <c r="AJ18" i="6"/>
  <c r="AK18" i="6"/>
  <c r="AL18" i="6"/>
  <c r="AM18" i="6"/>
  <c r="AN18" i="6"/>
  <c r="AO18" i="6"/>
  <c r="AQ18" i="6" s="1"/>
  <c r="AH19" i="6"/>
  <c r="AI19" i="6"/>
  <c r="AJ19" i="6"/>
  <c r="AK19" i="6"/>
  <c r="AL19" i="6"/>
  <c r="AM19" i="6"/>
  <c r="AN19" i="6"/>
  <c r="AO19" i="6"/>
  <c r="AQ19" i="6" s="1"/>
  <c r="AH20" i="6"/>
  <c r="AI20" i="6"/>
  <c r="AJ20" i="6"/>
  <c r="AK20" i="6"/>
  <c r="AL20" i="6"/>
  <c r="AM20" i="6"/>
  <c r="AN20" i="6"/>
  <c r="AO20" i="6"/>
  <c r="AQ20" i="6" s="1"/>
  <c r="AH21" i="6"/>
  <c r="AI21" i="6"/>
  <c r="AJ21" i="6"/>
  <c r="AK21" i="6"/>
  <c r="AL21" i="6"/>
  <c r="AM21" i="6"/>
  <c r="AN21" i="6"/>
  <c r="AO21" i="6"/>
  <c r="AQ21" i="6" s="1"/>
  <c r="AH22" i="6"/>
  <c r="AI22" i="6"/>
  <c r="AJ22" i="6"/>
  <c r="AK22" i="6"/>
  <c r="AL22" i="6"/>
  <c r="AM22" i="6"/>
  <c r="AN22" i="6"/>
  <c r="AO22" i="6"/>
  <c r="AQ22" i="6" s="1"/>
  <c r="AH23" i="6"/>
  <c r="AI23" i="6"/>
  <c r="AJ23" i="6"/>
  <c r="AK23" i="6"/>
  <c r="AL23" i="6"/>
  <c r="AM23" i="6"/>
  <c r="AN23" i="6"/>
  <c r="AO23" i="6"/>
  <c r="AQ23" i="6" s="1"/>
  <c r="AH24" i="6"/>
  <c r="AI24" i="6"/>
  <c r="AJ24" i="6"/>
  <c r="AK24" i="6"/>
  <c r="AL24" i="6"/>
  <c r="AM24" i="6"/>
  <c r="AN24" i="6"/>
  <c r="AO24" i="6"/>
  <c r="AQ24" i="6" s="1"/>
  <c r="AH25" i="6"/>
  <c r="AI25" i="6"/>
  <c r="AJ25" i="6"/>
  <c r="AK25" i="6"/>
  <c r="AL25" i="6"/>
  <c r="AM25" i="6"/>
  <c r="AN25" i="6"/>
  <c r="AO25" i="6"/>
  <c r="AQ25" i="6" s="1"/>
  <c r="AH26" i="6"/>
  <c r="AI26" i="6"/>
  <c r="AJ26" i="6"/>
  <c r="AK26" i="6"/>
  <c r="AL26" i="6"/>
  <c r="AM26" i="6"/>
  <c r="AN26" i="6"/>
  <c r="AO26" i="6"/>
  <c r="AQ26" i="6" s="1"/>
  <c r="AH27" i="6"/>
  <c r="AI27" i="6"/>
  <c r="AJ27" i="6"/>
  <c r="AK27" i="6"/>
  <c r="AL27" i="6"/>
  <c r="AM27" i="6"/>
  <c r="AN27" i="6"/>
  <c r="AO27" i="6"/>
  <c r="AQ27" i="6" s="1"/>
  <c r="AH28" i="6"/>
  <c r="AI28" i="6"/>
  <c r="AJ28" i="6"/>
  <c r="AK28" i="6"/>
  <c r="AL28" i="6"/>
  <c r="AM28" i="6"/>
  <c r="AN28" i="6"/>
  <c r="AO28" i="6"/>
  <c r="AQ28" i="6" s="1"/>
  <c r="AH29" i="6"/>
  <c r="AI29" i="6"/>
  <c r="AJ29" i="6"/>
  <c r="AK29" i="6"/>
  <c r="AL29" i="6"/>
  <c r="AM29" i="6"/>
  <c r="AN29" i="6"/>
  <c r="AO29" i="6"/>
  <c r="AQ29" i="6" s="1"/>
  <c r="AH30" i="6"/>
  <c r="AI30" i="6"/>
  <c r="AJ30" i="6"/>
  <c r="AK30" i="6"/>
  <c r="AL30" i="6"/>
  <c r="AM30" i="6"/>
  <c r="AN30" i="6"/>
  <c r="AO30" i="6"/>
  <c r="AQ30" i="6" s="1"/>
  <c r="AH31" i="6"/>
  <c r="AI31" i="6"/>
  <c r="AJ31" i="6"/>
  <c r="AK31" i="6"/>
  <c r="AL31" i="6"/>
  <c r="AM31" i="6"/>
  <c r="AN31" i="6"/>
  <c r="AO31" i="6"/>
  <c r="AQ31" i="6" s="1"/>
  <c r="AH32" i="6"/>
  <c r="AI32" i="6"/>
  <c r="AJ32" i="6"/>
  <c r="AK32" i="6"/>
  <c r="AL32" i="6"/>
  <c r="AM32" i="6"/>
  <c r="AN32" i="6"/>
  <c r="AO32" i="6"/>
  <c r="AQ32" i="6" s="1"/>
  <c r="AH33" i="6"/>
  <c r="AI33" i="6"/>
  <c r="AJ33" i="6"/>
  <c r="AK33" i="6"/>
  <c r="AL33" i="6"/>
  <c r="AM33" i="6"/>
  <c r="AN33" i="6"/>
  <c r="AO33" i="6"/>
  <c r="AQ33" i="6" s="1"/>
  <c r="AH34" i="6"/>
  <c r="AI34" i="6"/>
  <c r="AJ34" i="6"/>
  <c r="AK34" i="6"/>
  <c r="AL34" i="6"/>
  <c r="AM34" i="6"/>
  <c r="AN34" i="6"/>
  <c r="AO34" i="6"/>
  <c r="AQ34" i="6" s="1"/>
  <c r="AH35" i="6"/>
  <c r="AI35" i="6"/>
  <c r="AJ35" i="6"/>
  <c r="AK35" i="6"/>
  <c r="AL35" i="6"/>
  <c r="AM35" i="6"/>
  <c r="AN35" i="6"/>
  <c r="AO35" i="6"/>
  <c r="AQ35" i="6" s="1"/>
  <c r="AH36" i="6"/>
  <c r="AI36" i="6"/>
  <c r="AJ36" i="6"/>
  <c r="AK36" i="6"/>
  <c r="AL36" i="6"/>
  <c r="AM36" i="6"/>
  <c r="AN36" i="6"/>
  <c r="AO36" i="6"/>
  <c r="AQ36" i="6" s="1"/>
  <c r="AH37" i="6"/>
  <c r="AI37" i="6"/>
  <c r="AJ37" i="6"/>
  <c r="AK37" i="6"/>
  <c r="AL37" i="6"/>
  <c r="AM37" i="6"/>
  <c r="AN37" i="6"/>
  <c r="AO37" i="6"/>
  <c r="AQ37" i="6" s="1"/>
  <c r="AH38" i="6"/>
  <c r="AI38" i="6"/>
  <c r="AJ38" i="6"/>
  <c r="AK38" i="6"/>
  <c r="AL38" i="6"/>
  <c r="AM38" i="6"/>
  <c r="AN38" i="6"/>
  <c r="AO38" i="6"/>
  <c r="AQ38" i="6" s="1"/>
  <c r="AH39" i="6"/>
  <c r="AI39" i="6"/>
  <c r="AJ39" i="6"/>
  <c r="AK39" i="6"/>
  <c r="AL39" i="6"/>
  <c r="AM39" i="6"/>
  <c r="AN39" i="6"/>
  <c r="AO39" i="6"/>
  <c r="AQ39" i="6" s="1"/>
  <c r="AH40" i="6"/>
  <c r="AI40" i="6"/>
  <c r="AJ40" i="6"/>
  <c r="AK40" i="6"/>
  <c r="AL40" i="6"/>
  <c r="AM40" i="6"/>
  <c r="AN40" i="6"/>
  <c r="AO40" i="6"/>
  <c r="AQ40" i="6" s="1"/>
  <c r="AH41" i="6"/>
  <c r="AI41" i="6"/>
  <c r="AJ41" i="6"/>
  <c r="AK41" i="6"/>
  <c r="AL41" i="6"/>
  <c r="AM41" i="6"/>
  <c r="AN41" i="6"/>
  <c r="AO41" i="6"/>
  <c r="AQ41" i="6" s="1"/>
  <c r="AH42" i="6"/>
  <c r="AI42" i="6"/>
  <c r="AJ42" i="6"/>
  <c r="AK42" i="6"/>
  <c r="AL42" i="6"/>
  <c r="AM42" i="6"/>
  <c r="AN42" i="6"/>
  <c r="AO42" i="6"/>
  <c r="AQ42" i="6" s="1"/>
  <c r="AH43" i="6"/>
  <c r="AI43" i="6"/>
  <c r="AJ43" i="6"/>
  <c r="AK43" i="6"/>
  <c r="AL43" i="6"/>
  <c r="AM43" i="6"/>
  <c r="AN43" i="6"/>
  <c r="AO43" i="6"/>
  <c r="AQ43" i="6" s="1"/>
  <c r="AH44" i="6"/>
  <c r="AI44" i="6"/>
  <c r="AJ44" i="6"/>
  <c r="AK44" i="6"/>
  <c r="AL44" i="6"/>
  <c r="AM44" i="6"/>
  <c r="AN44" i="6"/>
  <c r="AO44" i="6"/>
  <c r="AQ44" i="6" s="1"/>
  <c r="AH45" i="6"/>
  <c r="AI45" i="6"/>
  <c r="AJ45" i="6"/>
  <c r="AK45" i="6"/>
  <c r="AL45" i="6"/>
  <c r="AM45" i="6"/>
  <c r="AN45" i="6"/>
  <c r="AO45" i="6"/>
  <c r="AQ45" i="6" s="1"/>
  <c r="AH46" i="6"/>
  <c r="AI46" i="6"/>
  <c r="AJ46" i="6"/>
  <c r="AK46" i="6"/>
  <c r="AL46" i="6"/>
  <c r="AM46" i="6"/>
  <c r="AN46" i="6"/>
  <c r="AO46" i="6"/>
  <c r="AQ46" i="6" s="1"/>
  <c r="AH47" i="6"/>
  <c r="AI47" i="6"/>
  <c r="AJ47" i="6"/>
  <c r="AK47" i="6"/>
  <c r="AL47" i="6"/>
  <c r="AM47" i="6"/>
  <c r="AN47" i="6"/>
  <c r="AO47" i="6"/>
  <c r="AQ47" i="6" s="1"/>
  <c r="AH48" i="6"/>
  <c r="AI48" i="6"/>
  <c r="AJ48" i="6"/>
  <c r="AK48" i="6"/>
  <c r="AL48" i="6"/>
  <c r="AM48" i="6"/>
  <c r="AN48" i="6"/>
  <c r="AO48" i="6"/>
  <c r="AQ48" i="6" s="1"/>
  <c r="AH49" i="6"/>
  <c r="AI49" i="6"/>
  <c r="AJ49" i="6"/>
  <c r="AK49" i="6"/>
  <c r="AL49" i="6"/>
  <c r="AM49" i="6"/>
  <c r="AN49" i="6"/>
  <c r="AO49" i="6"/>
  <c r="AQ49" i="6" s="1"/>
  <c r="AH50" i="6"/>
  <c r="AI50" i="6"/>
  <c r="AJ50" i="6"/>
  <c r="AK50" i="6"/>
  <c r="AL50" i="6"/>
  <c r="AM50" i="6"/>
  <c r="AN50" i="6"/>
  <c r="AO50" i="6"/>
  <c r="AQ50" i="6" s="1"/>
  <c r="AH51" i="6"/>
  <c r="AI51" i="6"/>
  <c r="AJ51" i="6"/>
  <c r="AK51" i="6"/>
  <c r="AL51" i="6"/>
  <c r="AM51" i="6"/>
  <c r="AN51" i="6"/>
  <c r="AO51" i="6"/>
  <c r="AQ51" i="6" s="1"/>
  <c r="AH52" i="6"/>
  <c r="AI52" i="6"/>
  <c r="AJ52" i="6"/>
  <c r="AK52" i="6"/>
  <c r="AL52" i="6"/>
  <c r="AM52" i="6"/>
  <c r="AN52" i="6"/>
  <c r="AO52" i="6"/>
  <c r="AQ52" i="6" s="1"/>
  <c r="AH53" i="6"/>
  <c r="AI53" i="6"/>
  <c r="AJ53" i="6"/>
  <c r="AK53" i="6"/>
  <c r="AL53" i="6"/>
  <c r="AM53" i="6"/>
  <c r="AN53" i="6"/>
  <c r="AO53" i="6"/>
  <c r="AQ53" i="6" s="1"/>
  <c r="AH54" i="6"/>
  <c r="AI54" i="6"/>
  <c r="AJ54" i="6"/>
  <c r="AK54" i="6"/>
  <c r="AL54" i="6"/>
  <c r="AM54" i="6"/>
  <c r="AN54" i="6"/>
  <c r="AO54" i="6"/>
  <c r="AQ54" i="6" s="1"/>
  <c r="AH55" i="6"/>
  <c r="AI55" i="6"/>
  <c r="AJ55" i="6"/>
  <c r="AK55" i="6"/>
  <c r="AL55" i="6"/>
  <c r="AM55" i="6"/>
  <c r="AN55" i="6"/>
  <c r="AO55" i="6"/>
  <c r="AQ55" i="6" s="1"/>
  <c r="AH56" i="6"/>
  <c r="AI56" i="6"/>
  <c r="AJ56" i="6"/>
  <c r="AK56" i="6"/>
  <c r="AL56" i="6"/>
  <c r="AM56" i="6"/>
  <c r="AN56" i="6"/>
  <c r="AO56" i="6"/>
  <c r="AQ56" i="6" s="1"/>
  <c r="AH57" i="6"/>
  <c r="AI57" i="6"/>
  <c r="AJ57" i="6"/>
  <c r="AK57" i="6"/>
  <c r="AL57" i="6"/>
  <c r="AM57" i="6"/>
  <c r="AN57" i="6"/>
  <c r="AO57" i="6"/>
  <c r="AQ57" i="6" s="1"/>
  <c r="AH58" i="6"/>
  <c r="AI58" i="6"/>
  <c r="AJ58" i="6"/>
  <c r="AK58" i="6"/>
  <c r="AL58" i="6"/>
  <c r="AM58" i="6"/>
  <c r="AN58" i="6"/>
  <c r="AO58" i="6"/>
  <c r="AQ58" i="6" s="1"/>
  <c r="AH59" i="6"/>
  <c r="AI59" i="6"/>
  <c r="AJ59" i="6"/>
  <c r="AK59" i="6"/>
  <c r="AL59" i="6"/>
  <c r="AM59" i="6"/>
  <c r="AN59" i="6"/>
  <c r="AO59" i="6"/>
  <c r="AQ59" i="6" s="1"/>
  <c r="AH60" i="6"/>
  <c r="AI60" i="6"/>
  <c r="AJ60" i="6"/>
  <c r="AK60" i="6"/>
  <c r="AL60" i="6"/>
  <c r="AM60" i="6"/>
  <c r="AN60" i="6"/>
  <c r="AO60" i="6"/>
  <c r="AQ60" i="6" s="1"/>
  <c r="AH61" i="6"/>
  <c r="AI61" i="6"/>
  <c r="AJ61" i="6"/>
  <c r="AK61" i="6"/>
  <c r="AL61" i="6"/>
  <c r="AM61" i="6"/>
  <c r="AN61" i="6"/>
  <c r="AO61" i="6"/>
  <c r="AQ61" i="6" s="1"/>
  <c r="AH62" i="6"/>
  <c r="AI62" i="6"/>
  <c r="AJ62" i="6"/>
  <c r="AK62" i="6"/>
  <c r="AL62" i="6"/>
  <c r="AM62" i="6"/>
  <c r="AN62" i="6"/>
  <c r="AO62" i="6"/>
  <c r="AQ62" i="6" s="1"/>
  <c r="AH63" i="6"/>
  <c r="AI63" i="6"/>
  <c r="AJ63" i="6"/>
  <c r="AK63" i="6"/>
  <c r="AL63" i="6"/>
  <c r="AM63" i="6"/>
  <c r="AN63" i="6"/>
  <c r="AO63" i="6"/>
  <c r="AQ63" i="6" s="1"/>
  <c r="AH64" i="6"/>
  <c r="AI64" i="6"/>
  <c r="AJ64" i="6"/>
  <c r="AK64" i="6"/>
  <c r="AL64" i="6"/>
  <c r="AM64" i="6"/>
  <c r="AN64" i="6"/>
  <c r="AO64" i="6"/>
  <c r="AQ64" i="6" s="1"/>
  <c r="AH65" i="6"/>
  <c r="AI65" i="6"/>
  <c r="AJ65" i="6"/>
  <c r="AK65" i="6"/>
  <c r="AL65" i="6"/>
  <c r="AM65" i="6"/>
  <c r="AN65" i="6"/>
  <c r="AO65" i="6"/>
  <c r="AQ65" i="6" s="1"/>
  <c r="AH66" i="6"/>
  <c r="AI66" i="6"/>
  <c r="AJ66" i="6"/>
  <c r="AK66" i="6"/>
  <c r="AL66" i="6"/>
  <c r="AM66" i="6"/>
  <c r="AN66" i="6"/>
  <c r="AO66" i="6"/>
  <c r="AQ66" i="6" s="1"/>
  <c r="AH67" i="6"/>
  <c r="AI67" i="6"/>
  <c r="AJ67" i="6"/>
  <c r="AK67" i="6"/>
  <c r="AL67" i="6"/>
  <c r="AM67" i="6"/>
  <c r="AN67" i="6"/>
  <c r="AO67" i="6"/>
  <c r="AQ67" i="6" s="1"/>
  <c r="AH68" i="6"/>
  <c r="AI68" i="6"/>
  <c r="AJ68" i="6"/>
  <c r="AK68" i="6"/>
  <c r="AL68" i="6"/>
  <c r="AM68" i="6"/>
  <c r="AN68" i="6"/>
  <c r="AO68" i="6"/>
  <c r="AQ68" i="6" s="1"/>
  <c r="AH69" i="6"/>
  <c r="AI69" i="6"/>
  <c r="AJ69" i="6"/>
  <c r="AK69" i="6"/>
  <c r="AL69" i="6"/>
  <c r="AM69" i="6"/>
  <c r="AN69" i="6"/>
  <c r="AO69" i="6"/>
  <c r="AQ69" i="6" s="1"/>
  <c r="AG72" i="5"/>
  <c r="AH72" i="5"/>
  <c r="AI72" i="5"/>
  <c r="AJ72" i="5"/>
  <c r="AK72" i="5"/>
  <c r="AL72" i="5"/>
  <c r="AM72" i="5"/>
  <c r="AN72" i="5"/>
  <c r="AP72" i="5" s="1"/>
  <c r="AG73" i="5"/>
  <c r="AH73" i="5"/>
  <c r="AI73" i="5"/>
  <c r="AJ73" i="5"/>
  <c r="AK73" i="5"/>
  <c r="AL73" i="5"/>
  <c r="AM73" i="5"/>
  <c r="AN73" i="5"/>
  <c r="AP73" i="5" s="1"/>
  <c r="AP66" i="6" l="1"/>
  <c r="AR66" i="6" s="1"/>
  <c r="AP27" i="6"/>
  <c r="AR27" i="6" s="1"/>
  <c r="AP25" i="6"/>
  <c r="AR25" i="6" s="1"/>
  <c r="AP7" i="6"/>
  <c r="AR7" i="6" s="1"/>
  <c r="AP58" i="6"/>
  <c r="AR58" i="6" s="1"/>
  <c r="AP49" i="6"/>
  <c r="AR49" i="6" s="1"/>
  <c r="AP42" i="6"/>
  <c r="AR42" i="6" s="1"/>
  <c r="AP50" i="6"/>
  <c r="AR50" i="6" s="1"/>
  <c r="AP47" i="6"/>
  <c r="AR47" i="6" s="1"/>
  <c r="AP32" i="6"/>
  <c r="AR32" i="6" s="1"/>
  <c r="AP10" i="6"/>
  <c r="AR10" i="6" s="1"/>
  <c r="AP39" i="6"/>
  <c r="AR39" i="6" s="1"/>
  <c r="AP38" i="6"/>
  <c r="AR38" i="6" s="1"/>
  <c r="AP52" i="6"/>
  <c r="AR52" i="6" s="1"/>
  <c r="AP35" i="6"/>
  <c r="AR35" i="6" s="1"/>
  <c r="AP9" i="6"/>
  <c r="AR9" i="6" s="1"/>
  <c r="AP24" i="6"/>
  <c r="AR24" i="6" s="1"/>
  <c r="AP16" i="6"/>
  <c r="AR16" i="6" s="1"/>
  <c r="AP30" i="6"/>
  <c r="AR30" i="6" s="1"/>
  <c r="AP56" i="6"/>
  <c r="AR56" i="6" s="1"/>
  <c r="AP43" i="6"/>
  <c r="AR43" i="6" s="1"/>
  <c r="AP37" i="6"/>
  <c r="AR37" i="6" s="1"/>
  <c r="AP18" i="6"/>
  <c r="AR18" i="6" s="1"/>
  <c r="AP15" i="6"/>
  <c r="AR15" i="6" s="1"/>
  <c r="AP13" i="6"/>
  <c r="AR13" i="6" s="1"/>
  <c r="AP45" i="6"/>
  <c r="AR45" i="6" s="1"/>
  <c r="AP40" i="6"/>
  <c r="AR40" i="6" s="1"/>
  <c r="AP34" i="6"/>
  <c r="AR34" i="6" s="1"/>
  <c r="AP21" i="6"/>
  <c r="AR21" i="6" s="1"/>
  <c r="AP19" i="6"/>
  <c r="AR19" i="6" s="1"/>
  <c r="AP59" i="6"/>
  <c r="AR59" i="6" s="1"/>
  <c r="AP61" i="6"/>
  <c r="AR61" i="6" s="1"/>
  <c r="AP67" i="6"/>
  <c r="AR67" i="6" s="1"/>
  <c r="AP60" i="6"/>
  <c r="AR60" i="6" s="1"/>
  <c r="AP46" i="6"/>
  <c r="AR46" i="6" s="1"/>
  <c r="AP28" i="6"/>
  <c r="AR28" i="6" s="1"/>
  <c r="AP11" i="6"/>
  <c r="AR11" i="6" s="1"/>
  <c r="AP8" i="6"/>
  <c r="AR8" i="6" s="1"/>
  <c r="AP62" i="6"/>
  <c r="AR62" i="6" s="1"/>
  <c r="AP57" i="6"/>
  <c r="AR57" i="6" s="1"/>
  <c r="AP51" i="6"/>
  <c r="AR51" i="6" s="1"/>
  <c r="AP44" i="6"/>
  <c r="AR44" i="6" s="1"/>
  <c r="AP22" i="6"/>
  <c r="AR22" i="6" s="1"/>
  <c r="AP12" i="6"/>
  <c r="AR12" i="6" s="1"/>
  <c r="AP63" i="6"/>
  <c r="AR63" i="6" s="1"/>
  <c r="AP69" i="6"/>
  <c r="AR69" i="6" s="1"/>
  <c r="AP64" i="6"/>
  <c r="AR64" i="6" s="1"/>
  <c r="AP48" i="6"/>
  <c r="AR48" i="6" s="1"/>
  <c r="AP41" i="6"/>
  <c r="AR41" i="6" s="1"/>
  <c r="AP31" i="6"/>
  <c r="AR31" i="6" s="1"/>
  <c r="AP68" i="6"/>
  <c r="AR68" i="6" s="1"/>
  <c r="AP55" i="6"/>
  <c r="AR55" i="6" s="1"/>
  <c r="AP54" i="6"/>
  <c r="AR54" i="6" s="1"/>
  <c r="AP53" i="6"/>
  <c r="AR53" i="6" s="1"/>
  <c r="AP36" i="6"/>
  <c r="AR36" i="6" s="1"/>
  <c r="AP29" i="6"/>
  <c r="AR29" i="6" s="1"/>
  <c r="AP26" i="6"/>
  <c r="AR26" i="6" s="1"/>
  <c r="AP23" i="6"/>
  <c r="AR23" i="6" s="1"/>
  <c r="AP17" i="6"/>
  <c r="AR17" i="6" s="1"/>
  <c r="AP65" i="6"/>
  <c r="AR65" i="6" s="1"/>
  <c r="AP33" i="6"/>
  <c r="AR33" i="6" s="1"/>
  <c r="AP20" i="6"/>
  <c r="AR20" i="6" s="1"/>
  <c r="AP14" i="6"/>
  <c r="AR14" i="6" s="1"/>
  <c r="AO73" i="5"/>
  <c r="AQ73" i="5" s="1"/>
  <c r="AO72" i="5"/>
  <c r="AQ72" i="5" s="1"/>
  <c r="AG58" i="5" l="1"/>
  <c r="AH58" i="5"/>
  <c r="AI58" i="5"/>
  <c r="AJ58" i="5"/>
  <c r="AK58" i="5"/>
  <c r="AL58" i="5"/>
  <c r="AM58" i="5"/>
  <c r="AN58" i="5"/>
  <c r="AP58" i="5" s="1"/>
  <c r="AG59" i="5"/>
  <c r="AH59" i="5"/>
  <c r="AI59" i="5"/>
  <c r="AJ59" i="5"/>
  <c r="AK59" i="5"/>
  <c r="AL59" i="5"/>
  <c r="AM59" i="5"/>
  <c r="AN59" i="5"/>
  <c r="AP59" i="5" s="1"/>
  <c r="AG60" i="5"/>
  <c r="AH60" i="5"/>
  <c r="AI60" i="5"/>
  <c r="AJ60" i="5"/>
  <c r="AK60" i="5"/>
  <c r="AL60" i="5"/>
  <c r="AM60" i="5"/>
  <c r="AN60" i="5"/>
  <c r="AP60" i="5" s="1"/>
  <c r="AG61" i="5"/>
  <c r="AH61" i="5"/>
  <c r="AI61" i="5"/>
  <c r="AJ61" i="5"/>
  <c r="AK61" i="5"/>
  <c r="AL61" i="5"/>
  <c r="AM61" i="5"/>
  <c r="AN61" i="5"/>
  <c r="AP61" i="5" s="1"/>
  <c r="AG62" i="5"/>
  <c r="AH62" i="5"/>
  <c r="AI62" i="5"/>
  <c r="AJ62" i="5"/>
  <c r="AK62" i="5"/>
  <c r="AL62" i="5"/>
  <c r="AM62" i="5"/>
  <c r="AN62" i="5"/>
  <c r="AP62" i="5" s="1"/>
  <c r="AG63" i="5"/>
  <c r="AH63" i="5"/>
  <c r="AI63" i="5"/>
  <c r="AJ63" i="5"/>
  <c r="AK63" i="5"/>
  <c r="AL63" i="5"/>
  <c r="AM63" i="5"/>
  <c r="AN63" i="5"/>
  <c r="AP63" i="5" s="1"/>
  <c r="AG64" i="5"/>
  <c r="AH64" i="5"/>
  <c r="AI64" i="5"/>
  <c r="AJ64" i="5"/>
  <c r="AK64" i="5"/>
  <c r="AL64" i="5"/>
  <c r="AM64" i="5"/>
  <c r="AN64" i="5"/>
  <c r="AP64" i="5" s="1"/>
  <c r="AG65" i="5"/>
  <c r="AH65" i="5"/>
  <c r="AI65" i="5"/>
  <c r="AJ65" i="5"/>
  <c r="AK65" i="5"/>
  <c r="AL65" i="5"/>
  <c r="AM65" i="5"/>
  <c r="AN65" i="5"/>
  <c r="AP65" i="5" s="1"/>
  <c r="AG66" i="5"/>
  <c r="AH66" i="5"/>
  <c r="AI66" i="5"/>
  <c r="AJ66" i="5"/>
  <c r="AK66" i="5"/>
  <c r="AL66" i="5"/>
  <c r="AM66" i="5"/>
  <c r="AN66" i="5"/>
  <c r="AP66" i="5" s="1"/>
  <c r="AG67" i="5"/>
  <c r="AH67" i="5"/>
  <c r="AI67" i="5"/>
  <c r="AJ67" i="5"/>
  <c r="AK67" i="5"/>
  <c r="AL67" i="5"/>
  <c r="AM67" i="5"/>
  <c r="AN67" i="5"/>
  <c r="AP67" i="5" s="1"/>
  <c r="AG68" i="5"/>
  <c r="AH68" i="5"/>
  <c r="AI68" i="5"/>
  <c r="AJ68" i="5"/>
  <c r="AK68" i="5"/>
  <c r="AL68" i="5"/>
  <c r="AM68" i="5"/>
  <c r="AN68" i="5"/>
  <c r="AP68" i="5" s="1"/>
  <c r="AG69" i="5"/>
  <c r="AH69" i="5"/>
  <c r="AI69" i="5"/>
  <c r="AJ69" i="5"/>
  <c r="AK69" i="5"/>
  <c r="AL69" i="5"/>
  <c r="AM69" i="5"/>
  <c r="AN69" i="5"/>
  <c r="AP69" i="5" s="1"/>
  <c r="AG70" i="5"/>
  <c r="AH70" i="5"/>
  <c r="AI70" i="5"/>
  <c r="AJ70" i="5"/>
  <c r="AK70" i="5"/>
  <c r="AL70" i="5"/>
  <c r="AM70" i="5"/>
  <c r="AN70" i="5"/>
  <c r="AP70" i="5" s="1"/>
  <c r="AG71" i="5"/>
  <c r="AH71" i="5"/>
  <c r="AI71" i="5"/>
  <c r="AJ71" i="5"/>
  <c r="AK71" i="5"/>
  <c r="AL71" i="5"/>
  <c r="AM71" i="5"/>
  <c r="AN71" i="5"/>
  <c r="AP71" i="5" s="1"/>
  <c r="AG57" i="5"/>
  <c r="AH57" i="5"/>
  <c r="AI57" i="5"/>
  <c r="AJ57" i="5"/>
  <c r="AK57" i="5"/>
  <c r="AL57" i="5"/>
  <c r="AM57" i="5"/>
  <c r="AN57" i="5"/>
  <c r="AP57" i="5" s="1"/>
  <c r="AG26" i="5"/>
  <c r="AH26" i="5"/>
  <c r="AI26" i="5"/>
  <c r="AJ26" i="5"/>
  <c r="AK26" i="5"/>
  <c r="AL26" i="5"/>
  <c r="AM26" i="5"/>
  <c r="AN26" i="5"/>
  <c r="AP26" i="5" s="1"/>
  <c r="AG27" i="5"/>
  <c r="AH27" i="5"/>
  <c r="AI27" i="5"/>
  <c r="AJ27" i="5"/>
  <c r="AK27" i="5"/>
  <c r="AL27" i="5"/>
  <c r="AM27" i="5"/>
  <c r="AN27" i="5"/>
  <c r="AP27" i="5" s="1"/>
  <c r="AG28" i="5"/>
  <c r="AH28" i="5"/>
  <c r="AI28" i="5"/>
  <c r="AJ28" i="5"/>
  <c r="AK28" i="5"/>
  <c r="AL28" i="5"/>
  <c r="AM28" i="5"/>
  <c r="AN28" i="5"/>
  <c r="AP28" i="5" s="1"/>
  <c r="AG29" i="5"/>
  <c r="AH29" i="5"/>
  <c r="AI29" i="5"/>
  <c r="AJ29" i="5"/>
  <c r="AK29" i="5"/>
  <c r="AL29" i="5"/>
  <c r="AM29" i="5"/>
  <c r="AN29" i="5"/>
  <c r="AP29" i="5" s="1"/>
  <c r="AG30" i="5"/>
  <c r="AH30" i="5"/>
  <c r="AI30" i="5"/>
  <c r="AJ30" i="5"/>
  <c r="AK30" i="5"/>
  <c r="AL30" i="5"/>
  <c r="AM30" i="5"/>
  <c r="AN30" i="5"/>
  <c r="AP30" i="5" s="1"/>
  <c r="AG31" i="5"/>
  <c r="AH31" i="5"/>
  <c r="AI31" i="5"/>
  <c r="AJ31" i="5"/>
  <c r="AK31" i="5"/>
  <c r="AL31" i="5"/>
  <c r="AM31" i="5"/>
  <c r="AN31" i="5"/>
  <c r="AP31" i="5" s="1"/>
  <c r="AG32" i="5"/>
  <c r="AH32" i="5"/>
  <c r="AI32" i="5"/>
  <c r="AJ32" i="5"/>
  <c r="AK32" i="5"/>
  <c r="AL32" i="5"/>
  <c r="AM32" i="5"/>
  <c r="AN32" i="5"/>
  <c r="AP32" i="5" s="1"/>
  <c r="AG33" i="5"/>
  <c r="AH33" i="5"/>
  <c r="AI33" i="5"/>
  <c r="AJ33" i="5"/>
  <c r="AK33" i="5"/>
  <c r="AL33" i="5"/>
  <c r="AM33" i="5"/>
  <c r="AN33" i="5"/>
  <c r="AP33" i="5" s="1"/>
  <c r="AG34" i="5"/>
  <c r="AH34" i="5"/>
  <c r="AI34" i="5"/>
  <c r="AJ34" i="5"/>
  <c r="AK34" i="5"/>
  <c r="AL34" i="5"/>
  <c r="AM34" i="5"/>
  <c r="AN34" i="5"/>
  <c r="AP34" i="5" s="1"/>
  <c r="AG35" i="5"/>
  <c r="AH35" i="5"/>
  <c r="AI35" i="5"/>
  <c r="AJ35" i="5"/>
  <c r="AK35" i="5"/>
  <c r="AL35" i="5"/>
  <c r="AM35" i="5"/>
  <c r="AN35" i="5"/>
  <c r="AP35" i="5" s="1"/>
  <c r="AG36" i="5"/>
  <c r="AH36" i="5"/>
  <c r="AI36" i="5"/>
  <c r="AJ36" i="5"/>
  <c r="AK36" i="5"/>
  <c r="AL36" i="5"/>
  <c r="AM36" i="5"/>
  <c r="AN36" i="5"/>
  <c r="AP36" i="5" s="1"/>
  <c r="AG37" i="5"/>
  <c r="AH37" i="5"/>
  <c r="AI37" i="5"/>
  <c r="AJ37" i="5"/>
  <c r="AK37" i="5"/>
  <c r="AL37" i="5"/>
  <c r="AM37" i="5"/>
  <c r="AN37" i="5"/>
  <c r="AP37" i="5" s="1"/>
  <c r="AG38" i="5"/>
  <c r="AH38" i="5"/>
  <c r="AI38" i="5"/>
  <c r="AJ38" i="5"/>
  <c r="AK38" i="5"/>
  <c r="AL38" i="5"/>
  <c r="AM38" i="5"/>
  <c r="AN38" i="5"/>
  <c r="AP38" i="5" s="1"/>
  <c r="AG39" i="5"/>
  <c r="AH39" i="5"/>
  <c r="AI39" i="5"/>
  <c r="AJ39" i="5"/>
  <c r="AK39" i="5"/>
  <c r="AL39" i="5"/>
  <c r="AM39" i="5"/>
  <c r="AN39" i="5"/>
  <c r="AP39" i="5" s="1"/>
  <c r="AG40" i="5"/>
  <c r="AH40" i="5"/>
  <c r="AI40" i="5"/>
  <c r="AJ40" i="5"/>
  <c r="AK40" i="5"/>
  <c r="AL40" i="5"/>
  <c r="AM40" i="5"/>
  <c r="AN40" i="5"/>
  <c r="AP40" i="5" s="1"/>
  <c r="AG41" i="5"/>
  <c r="AH41" i="5"/>
  <c r="AI41" i="5"/>
  <c r="AJ41" i="5"/>
  <c r="AK41" i="5"/>
  <c r="AL41" i="5"/>
  <c r="AM41" i="5"/>
  <c r="AN41" i="5"/>
  <c r="AP41" i="5" s="1"/>
  <c r="AG42" i="5"/>
  <c r="AH42" i="5"/>
  <c r="AI42" i="5"/>
  <c r="AJ42" i="5"/>
  <c r="AK42" i="5"/>
  <c r="AL42" i="5"/>
  <c r="AM42" i="5"/>
  <c r="AN42" i="5"/>
  <c r="AP42" i="5" s="1"/>
  <c r="AG43" i="5"/>
  <c r="AH43" i="5"/>
  <c r="AI43" i="5"/>
  <c r="AJ43" i="5"/>
  <c r="AK43" i="5"/>
  <c r="AL43" i="5"/>
  <c r="AM43" i="5"/>
  <c r="AN43" i="5"/>
  <c r="AP43" i="5" s="1"/>
  <c r="AG44" i="5"/>
  <c r="AH44" i="5"/>
  <c r="AI44" i="5"/>
  <c r="AJ44" i="5"/>
  <c r="AK44" i="5"/>
  <c r="AL44" i="5"/>
  <c r="AM44" i="5"/>
  <c r="AN44" i="5"/>
  <c r="AP44" i="5" s="1"/>
  <c r="AG45" i="5"/>
  <c r="AH45" i="5"/>
  <c r="AI45" i="5"/>
  <c r="AJ45" i="5"/>
  <c r="AK45" i="5"/>
  <c r="AL45" i="5"/>
  <c r="AM45" i="5"/>
  <c r="AN45" i="5"/>
  <c r="AP45" i="5" s="1"/>
  <c r="AG46" i="5"/>
  <c r="AH46" i="5"/>
  <c r="AI46" i="5"/>
  <c r="AJ46" i="5"/>
  <c r="AK46" i="5"/>
  <c r="AL46" i="5"/>
  <c r="AM46" i="5"/>
  <c r="AN46" i="5"/>
  <c r="AP46" i="5" s="1"/>
  <c r="AG47" i="5"/>
  <c r="AH47" i="5"/>
  <c r="AI47" i="5"/>
  <c r="AJ47" i="5"/>
  <c r="AK47" i="5"/>
  <c r="AL47" i="5"/>
  <c r="AM47" i="5"/>
  <c r="AN47" i="5"/>
  <c r="AP47" i="5" s="1"/>
  <c r="AG48" i="5"/>
  <c r="AH48" i="5"/>
  <c r="AI48" i="5"/>
  <c r="AJ48" i="5"/>
  <c r="AK48" i="5"/>
  <c r="AL48" i="5"/>
  <c r="AM48" i="5"/>
  <c r="AN48" i="5"/>
  <c r="AP48" i="5" s="1"/>
  <c r="AG49" i="5"/>
  <c r="AH49" i="5"/>
  <c r="AI49" i="5"/>
  <c r="AJ49" i="5"/>
  <c r="AK49" i="5"/>
  <c r="AL49" i="5"/>
  <c r="AM49" i="5"/>
  <c r="AN49" i="5"/>
  <c r="AP49" i="5" s="1"/>
  <c r="AG50" i="5"/>
  <c r="AH50" i="5"/>
  <c r="AI50" i="5"/>
  <c r="AJ50" i="5"/>
  <c r="AK50" i="5"/>
  <c r="AL50" i="5"/>
  <c r="AM50" i="5"/>
  <c r="AN50" i="5"/>
  <c r="AP50" i="5" s="1"/>
  <c r="AG51" i="5"/>
  <c r="AH51" i="5"/>
  <c r="AI51" i="5"/>
  <c r="AJ51" i="5"/>
  <c r="AK51" i="5"/>
  <c r="AL51" i="5"/>
  <c r="AM51" i="5"/>
  <c r="AN51" i="5"/>
  <c r="AP51" i="5" s="1"/>
  <c r="AG52" i="5"/>
  <c r="AH52" i="5"/>
  <c r="AI52" i="5"/>
  <c r="AJ52" i="5"/>
  <c r="AK52" i="5"/>
  <c r="AL52" i="5"/>
  <c r="AM52" i="5"/>
  <c r="AN52" i="5"/>
  <c r="AP52" i="5" s="1"/>
  <c r="AG53" i="5"/>
  <c r="AH53" i="5"/>
  <c r="AI53" i="5"/>
  <c r="AJ53" i="5"/>
  <c r="AK53" i="5"/>
  <c r="AL53" i="5"/>
  <c r="AM53" i="5"/>
  <c r="AN53" i="5"/>
  <c r="AP53" i="5" s="1"/>
  <c r="AG54" i="5"/>
  <c r="AH54" i="5"/>
  <c r="AI54" i="5"/>
  <c r="AJ54" i="5"/>
  <c r="AK54" i="5"/>
  <c r="AL54" i="5"/>
  <c r="AM54" i="5"/>
  <c r="AN54" i="5"/>
  <c r="AP54" i="5" s="1"/>
  <c r="AG55" i="5"/>
  <c r="AH55" i="5"/>
  <c r="AI55" i="5"/>
  <c r="AJ55" i="5"/>
  <c r="AK55" i="5"/>
  <c r="AL55" i="5"/>
  <c r="AM55" i="5"/>
  <c r="AN55" i="5"/>
  <c r="AP55" i="5" s="1"/>
  <c r="AG56" i="5"/>
  <c r="AH56" i="5"/>
  <c r="AI56" i="5"/>
  <c r="AJ56" i="5"/>
  <c r="AK56" i="5"/>
  <c r="AL56" i="5"/>
  <c r="AM56" i="5"/>
  <c r="AN56" i="5"/>
  <c r="AP56" i="5" s="1"/>
  <c r="AG16" i="5"/>
  <c r="AH16" i="5"/>
  <c r="AI16" i="5"/>
  <c r="AJ16" i="5"/>
  <c r="AK16" i="5"/>
  <c r="AL16" i="5"/>
  <c r="AM16" i="5"/>
  <c r="AN16" i="5"/>
  <c r="AP16" i="5" s="1"/>
  <c r="AG17" i="5"/>
  <c r="AH17" i="5"/>
  <c r="AI17" i="5"/>
  <c r="AJ17" i="5"/>
  <c r="AK17" i="5"/>
  <c r="AL17" i="5"/>
  <c r="AM17" i="5"/>
  <c r="AN17" i="5"/>
  <c r="AP17" i="5" s="1"/>
  <c r="AG18" i="5"/>
  <c r="AH18" i="5"/>
  <c r="AI18" i="5"/>
  <c r="AJ18" i="5"/>
  <c r="AK18" i="5"/>
  <c r="AL18" i="5"/>
  <c r="AM18" i="5"/>
  <c r="AN18" i="5"/>
  <c r="AP18" i="5" s="1"/>
  <c r="AG19" i="5"/>
  <c r="AH19" i="5"/>
  <c r="AI19" i="5"/>
  <c r="AJ19" i="5"/>
  <c r="AK19" i="5"/>
  <c r="AL19" i="5"/>
  <c r="AM19" i="5"/>
  <c r="AN19" i="5"/>
  <c r="AP19" i="5" s="1"/>
  <c r="AG20" i="5"/>
  <c r="AH20" i="5"/>
  <c r="AI20" i="5"/>
  <c r="AJ20" i="5"/>
  <c r="AK20" i="5"/>
  <c r="AL20" i="5"/>
  <c r="AM20" i="5"/>
  <c r="AN20" i="5"/>
  <c r="AP20" i="5" s="1"/>
  <c r="AG21" i="5"/>
  <c r="AH21" i="5"/>
  <c r="AI21" i="5"/>
  <c r="AJ21" i="5"/>
  <c r="AK21" i="5"/>
  <c r="AL21" i="5"/>
  <c r="AM21" i="5"/>
  <c r="AN21" i="5"/>
  <c r="AP21" i="5" s="1"/>
  <c r="AG22" i="5"/>
  <c r="AH22" i="5"/>
  <c r="AI22" i="5"/>
  <c r="AJ22" i="5"/>
  <c r="AK22" i="5"/>
  <c r="AL22" i="5"/>
  <c r="AM22" i="5"/>
  <c r="AN22" i="5"/>
  <c r="AP22" i="5" s="1"/>
  <c r="AG23" i="5"/>
  <c r="AH23" i="5"/>
  <c r="AI23" i="5"/>
  <c r="AJ23" i="5"/>
  <c r="AK23" i="5"/>
  <c r="AL23" i="5"/>
  <c r="AM23" i="5"/>
  <c r="AN23" i="5"/>
  <c r="AP23" i="5" s="1"/>
  <c r="AG24" i="5"/>
  <c r="AH24" i="5"/>
  <c r="AI24" i="5"/>
  <c r="AJ24" i="5"/>
  <c r="AK24" i="5"/>
  <c r="AL24" i="5"/>
  <c r="AM24" i="5"/>
  <c r="AN24" i="5"/>
  <c r="AP24" i="5" s="1"/>
  <c r="AG25" i="5"/>
  <c r="AH25" i="5"/>
  <c r="AI25" i="5"/>
  <c r="AJ25" i="5"/>
  <c r="AK25" i="5"/>
  <c r="AL25" i="5"/>
  <c r="AM25" i="5"/>
  <c r="AN25" i="5"/>
  <c r="AP25" i="5" s="1"/>
  <c r="AG7" i="5"/>
  <c r="AH7" i="5"/>
  <c r="AI7" i="5"/>
  <c r="AJ7" i="5"/>
  <c r="AK7" i="5"/>
  <c r="AL7" i="5"/>
  <c r="AM7" i="5"/>
  <c r="AN7" i="5"/>
  <c r="AP7" i="5" s="1"/>
  <c r="AG8" i="5"/>
  <c r="AH8" i="5"/>
  <c r="AI8" i="5"/>
  <c r="AJ8" i="5"/>
  <c r="AK8" i="5"/>
  <c r="AL8" i="5"/>
  <c r="AM8" i="5"/>
  <c r="AN8" i="5"/>
  <c r="AP8" i="5" s="1"/>
  <c r="AG9" i="5"/>
  <c r="AH9" i="5"/>
  <c r="AI9" i="5"/>
  <c r="AJ9" i="5"/>
  <c r="AK9" i="5"/>
  <c r="AL9" i="5"/>
  <c r="AM9" i="5"/>
  <c r="AN9" i="5"/>
  <c r="AP9" i="5" s="1"/>
  <c r="AG10" i="5"/>
  <c r="AH10" i="5"/>
  <c r="AI10" i="5"/>
  <c r="AJ10" i="5"/>
  <c r="AK10" i="5"/>
  <c r="AL10" i="5"/>
  <c r="AM10" i="5"/>
  <c r="AN10" i="5"/>
  <c r="AP10" i="5" s="1"/>
  <c r="AG11" i="5"/>
  <c r="AH11" i="5"/>
  <c r="AI11" i="5"/>
  <c r="AJ11" i="5"/>
  <c r="AK11" i="5"/>
  <c r="AL11" i="5"/>
  <c r="AM11" i="5"/>
  <c r="AN11" i="5"/>
  <c r="AP11" i="5" s="1"/>
  <c r="AG12" i="5"/>
  <c r="AH12" i="5"/>
  <c r="AI12" i="5"/>
  <c r="AJ12" i="5"/>
  <c r="AK12" i="5"/>
  <c r="AL12" i="5"/>
  <c r="AM12" i="5"/>
  <c r="AN12" i="5"/>
  <c r="AP12" i="5" s="1"/>
  <c r="AG13" i="5"/>
  <c r="AH13" i="5"/>
  <c r="AI13" i="5"/>
  <c r="AJ13" i="5"/>
  <c r="AK13" i="5"/>
  <c r="AL13" i="5"/>
  <c r="AM13" i="5"/>
  <c r="AN13" i="5"/>
  <c r="AP13" i="5" s="1"/>
  <c r="AG14" i="5"/>
  <c r="AH14" i="5"/>
  <c r="AI14" i="5"/>
  <c r="AJ14" i="5"/>
  <c r="AK14" i="5"/>
  <c r="AL14" i="5"/>
  <c r="AM14" i="5"/>
  <c r="AN14" i="5"/>
  <c r="AP14" i="5" s="1"/>
  <c r="AG15" i="5"/>
  <c r="AH15" i="5"/>
  <c r="AI15" i="5"/>
  <c r="AJ15" i="5"/>
  <c r="AK15" i="5"/>
  <c r="AL15" i="5"/>
  <c r="AM15" i="5"/>
  <c r="AN15" i="5"/>
  <c r="AP15" i="5" s="1"/>
  <c r="BZ6" i="1"/>
  <c r="BZ4" i="1"/>
  <c r="BO6" i="1"/>
  <c r="BL6" i="1"/>
  <c r="AO6" i="6"/>
  <c r="AQ6" i="6" s="1"/>
  <c r="BD6" i="1" s="1"/>
  <c r="AN6" i="6"/>
  <c r="BA6" i="1" s="1"/>
  <c r="AM6" i="6"/>
  <c r="AZ6" i="1" s="1"/>
  <c r="AL6" i="6"/>
  <c r="AY6" i="1" s="1"/>
  <c r="AK6" i="6"/>
  <c r="AX6" i="1" s="1"/>
  <c r="AJ6" i="6"/>
  <c r="AI6" i="6"/>
  <c r="AV6" i="1" s="1"/>
  <c r="AH6" i="6"/>
  <c r="AU6" i="1" s="1"/>
  <c r="AO5" i="6"/>
  <c r="AQ5" i="6" s="1"/>
  <c r="BD5" i="1" s="1"/>
  <c r="AN5" i="6"/>
  <c r="BA5" i="1" s="1"/>
  <c r="AM5" i="6"/>
  <c r="AZ5" i="1" s="1"/>
  <c r="AL5" i="6"/>
  <c r="AY5" i="1" s="1"/>
  <c r="AK5" i="6"/>
  <c r="AX5" i="1" s="1"/>
  <c r="AJ5" i="6"/>
  <c r="AW5" i="1" s="1"/>
  <c r="AI5" i="6"/>
  <c r="AV5" i="1" s="1"/>
  <c r="AH5" i="6"/>
  <c r="AU5" i="1" s="1"/>
  <c r="AO4" i="6"/>
  <c r="AQ4" i="6" s="1"/>
  <c r="BD4" i="1" s="1"/>
  <c r="AN4" i="6"/>
  <c r="BA4" i="1" s="1"/>
  <c r="AM4" i="6"/>
  <c r="AZ4" i="1" s="1"/>
  <c r="AL4" i="6"/>
  <c r="AY4" i="1" s="1"/>
  <c r="AK4" i="6"/>
  <c r="AX4" i="1" s="1"/>
  <c r="AJ4" i="6"/>
  <c r="AW4" i="1" s="1"/>
  <c r="AI4" i="6"/>
  <c r="AV4" i="1" s="1"/>
  <c r="AH4" i="6"/>
  <c r="AU4" i="1" s="1"/>
  <c r="AN6" i="5"/>
  <c r="AQ6" i="1" s="1"/>
  <c r="AM6" i="5"/>
  <c r="AP6" i="1" s="1"/>
  <c r="AL6" i="5"/>
  <c r="AO6" i="1" s="1"/>
  <c r="AK6" i="5"/>
  <c r="AN6" i="1" s="1"/>
  <c r="AJ6" i="5"/>
  <c r="AM6" i="1" s="1"/>
  <c r="AI6" i="5"/>
  <c r="AL6" i="1" s="1"/>
  <c r="AH6" i="5"/>
  <c r="AK6" i="1" s="1"/>
  <c r="AG6" i="5"/>
  <c r="AJ6" i="1" s="1"/>
  <c r="AN5" i="5"/>
  <c r="AP5" i="5" s="1"/>
  <c r="AS5" i="1" s="1"/>
  <c r="AM5" i="5"/>
  <c r="AP5" i="1" s="1"/>
  <c r="AL5" i="5"/>
  <c r="AO5" i="1" s="1"/>
  <c r="AK5" i="5"/>
  <c r="AN5" i="1" s="1"/>
  <c r="AJ5" i="5"/>
  <c r="AM5" i="1" s="1"/>
  <c r="AI5" i="5"/>
  <c r="AL5" i="1" s="1"/>
  <c r="AH5" i="5"/>
  <c r="AK5" i="1" s="1"/>
  <c r="AG5" i="5"/>
  <c r="AJ5" i="1" s="1"/>
  <c r="AN4" i="5"/>
  <c r="AP4" i="5" s="1"/>
  <c r="AS4" i="1" s="1"/>
  <c r="AM4" i="5"/>
  <c r="AP4" i="1" s="1"/>
  <c r="AL4" i="5"/>
  <c r="AO4" i="1" s="1"/>
  <c r="AK4" i="5"/>
  <c r="AN4" i="1" s="1"/>
  <c r="AJ4" i="5"/>
  <c r="AM4" i="1" s="1"/>
  <c r="AI4" i="5"/>
  <c r="AL4" i="1" s="1"/>
  <c r="AH4" i="5"/>
  <c r="AK4" i="1" s="1"/>
  <c r="AG4" i="5"/>
  <c r="AJ4" i="1" s="1"/>
  <c r="AF6" i="1"/>
  <c r="AE6" i="1"/>
  <c r="AD6" i="1"/>
  <c r="AC6" i="1"/>
  <c r="AB6" i="1"/>
  <c r="AA6" i="1"/>
  <c r="Y6" i="1"/>
  <c r="AH5" i="1"/>
  <c r="AE5" i="1"/>
  <c r="AD5" i="1"/>
  <c r="AC5" i="1"/>
  <c r="AB5" i="1"/>
  <c r="AA5" i="1"/>
  <c r="Z5" i="1"/>
  <c r="Y5" i="1"/>
  <c r="AH4" i="1"/>
  <c r="AE4" i="1"/>
  <c r="AD4" i="1"/>
  <c r="AC4" i="1"/>
  <c r="AB4" i="1"/>
  <c r="AA4" i="1"/>
  <c r="Z4" i="1"/>
  <c r="Y4" i="1"/>
  <c r="AN6" i="3"/>
  <c r="AP6" i="3" s="1"/>
  <c r="W6" i="1" s="1"/>
  <c r="AM6" i="3"/>
  <c r="AL6" i="3"/>
  <c r="AK6" i="3"/>
  <c r="AJ6" i="3"/>
  <c r="AI6" i="3"/>
  <c r="P6" i="1" s="1"/>
  <c r="AH6" i="3"/>
  <c r="AO6" i="3" s="1"/>
  <c r="AG6" i="3"/>
  <c r="AP5" i="3"/>
  <c r="AN5" i="3"/>
  <c r="AM5" i="3"/>
  <c r="AL5" i="3"/>
  <c r="AK5" i="3"/>
  <c r="AJ5" i="3"/>
  <c r="AI5" i="3"/>
  <c r="AH5" i="3"/>
  <c r="AO5" i="3" s="1"/>
  <c r="AG5" i="3"/>
  <c r="AP4" i="3"/>
  <c r="AO4" i="3"/>
  <c r="AQ4" i="3" s="1"/>
  <c r="X4" i="1" s="1"/>
  <c r="AN4" i="3"/>
  <c r="AM4" i="3"/>
  <c r="AL4" i="3"/>
  <c r="AK4" i="3"/>
  <c r="AJ4" i="3"/>
  <c r="AI4" i="3"/>
  <c r="AH4" i="3"/>
  <c r="AG4" i="3"/>
  <c r="AO6" i="2"/>
  <c r="AQ6" i="2" s="1"/>
  <c r="L6" i="1" s="1"/>
  <c r="AN6" i="2"/>
  <c r="AM6" i="2"/>
  <c r="AL6" i="2"/>
  <c r="AK6" i="2"/>
  <c r="AP6" i="2" s="1"/>
  <c r="AJ6" i="2"/>
  <c r="AI6" i="2"/>
  <c r="AH6" i="2"/>
  <c r="AO5" i="2"/>
  <c r="AQ5" i="2" s="1"/>
  <c r="L5" i="1" s="1"/>
  <c r="AN5" i="2"/>
  <c r="AM5" i="2"/>
  <c r="AL5" i="2"/>
  <c r="AK5" i="2"/>
  <c r="AJ5" i="2"/>
  <c r="AI5" i="2"/>
  <c r="AP5" i="2" s="1"/>
  <c r="AH5" i="2"/>
  <c r="AQ4" i="2"/>
  <c r="AO4" i="2"/>
  <c r="AN4" i="2"/>
  <c r="AM4" i="2"/>
  <c r="AL4" i="2"/>
  <c r="AK4" i="2"/>
  <c r="AJ4" i="2"/>
  <c r="AI4" i="2"/>
  <c r="AP4" i="2" s="1"/>
  <c r="AH4" i="2"/>
  <c r="BX6" i="1"/>
  <c r="BW6" i="1"/>
  <c r="BV6" i="1"/>
  <c r="BU6" i="1"/>
  <c r="BT6" i="1"/>
  <c r="BS6" i="1"/>
  <c r="BR6" i="1"/>
  <c r="BQ6" i="1"/>
  <c r="BM6" i="1"/>
  <c r="BK6" i="1"/>
  <c r="BJ6" i="1"/>
  <c r="BI6" i="1"/>
  <c r="BH6" i="1"/>
  <c r="BG6" i="1"/>
  <c r="BF6" i="1"/>
  <c r="AW6" i="1"/>
  <c r="U6" i="1"/>
  <c r="T6" i="1"/>
  <c r="S6" i="1"/>
  <c r="R6" i="1"/>
  <c r="Q6" i="1"/>
  <c r="O6" i="1"/>
  <c r="N6" i="1"/>
  <c r="J6" i="1"/>
  <c r="I6" i="1"/>
  <c r="H6" i="1"/>
  <c r="G6" i="1"/>
  <c r="F6" i="1"/>
  <c r="E6" i="1"/>
  <c r="D6" i="1"/>
  <c r="C6" i="1"/>
  <c r="BZ5" i="1"/>
  <c r="BX5" i="1"/>
  <c r="BW5" i="1"/>
  <c r="BV5" i="1"/>
  <c r="BU5" i="1"/>
  <c r="BT5" i="1"/>
  <c r="BS5" i="1"/>
  <c r="BR5" i="1"/>
  <c r="BQ5" i="1"/>
  <c r="BO5" i="1"/>
  <c r="BM5" i="1"/>
  <c r="BL5" i="1"/>
  <c r="BK5" i="1"/>
  <c r="BJ5" i="1"/>
  <c r="BI5" i="1"/>
  <c r="BH5" i="1"/>
  <c r="BG5" i="1"/>
  <c r="BF5" i="1"/>
  <c r="W5" i="1"/>
  <c r="U5" i="1"/>
  <c r="T5" i="1"/>
  <c r="S5" i="1"/>
  <c r="R5" i="1"/>
  <c r="Q5" i="1"/>
  <c r="P5" i="1"/>
  <c r="O5" i="1"/>
  <c r="N5" i="1"/>
  <c r="J5" i="1"/>
  <c r="I5" i="1"/>
  <c r="H5" i="1"/>
  <c r="G5" i="1"/>
  <c r="F5" i="1"/>
  <c r="E5" i="1"/>
  <c r="D5" i="1"/>
  <c r="C5" i="1"/>
  <c r="BX4" i="1"/>
  <c r="BW4" i="1"/>
  <c r="BV4" i="1"/>
  <c r="BU4" i="1"/>
  <c r="BT4" i="1"/>
  <c r="BS4" i="1"/>
  <c r="BR4" i="1"/>
  <c r="BQ4" i="1"/>
  <c r="BO4" i="1"/>
  <c r="BM4" i="1"/>
  <c r="BL4" i="1"/>
  <c r="BK4" i="1"/>
  <c r="BJ4" i="1"/>
  <c r="BI4" i="1"/>
  <c r="BH4" i="1"/>
  <c r="BG4" i="1"/>
  <c r="BF4" i="1"/>
  <c r="W4" i="1"/>
  <c r="V4" i="1"/>
  <c r="U4" i="1"/>
  <c r="T4" i="1"/>
  <c r="S4" i="1"/>
  <c r="R4" i="1"/>
  <c r="Q4" i="1"/>
  <c r="P4" i="1"/>
  <c r="O4" i="1"/>
  <c r="N4" i="1"/>
  <c r="L4" i="1"/>
  <c r="J4" i="1"/>
  <c r="I4" i="1"/>
  <c r="H4" i="1"/>
  <c r="G4" i="1"/>
  <c r="F4" i="1"/>
  <c r="E4" i="1"/>
  <c r="D4" i="1"/>
  <c r="C4" i="1"/>
  <c r="BB4" i="1" l="1"/>
  <c r="AP6" i="6"/>
  <c r="BC6" i="1" s="1"/>
  <c r="AP4" i="6"/>
  <c r="AR4" i="6" s="1"/>
  <c r="BE4" i="1" s="1"/>
  <c r="BB5" i="1"/>
  <c r="AP5" i="6"/>
  <c r="AR5" i="6" s="1"/>
  <c r="BE5" i="1" s="1"/>
  <c r="AO71" i="5"/>
  <c r="AQ71" i="5" s="1"/>
  <c r="AO65" i="5"/>
  <c r="AQ65" i="5" s="1"/>
  <c r="AO64" i="5"/>
  <c r="AQ64" i="5" s="1"/>
  <c r="AO63" i="5"/>
  <c r="AQ63" i="5" s="1"/>
  <c r="AO68" i="5"/>
  <c r="AQ68" i="5" s="1"/>
  <c r="AO66" i="5"/>
  <c r="AQ66" i="5" s="1"/>
  <c r="AO62" i="5"/>
  <c r="AQ62" i="5" s="1"/>
  <c r="AO61" i="5"/>
  <c r="AQ61" i="5" s="1"/>
  <c r="AO69" i="5"/>
  <c r="AQ69" i="5" s="1"/>
  <c r="AO60" i="5"/>
  <c r="AQ60" i="5" s="1"/>
  <c r="AO67" i="5"/>
  <c r="AQ67" i="5" s="1"/>
  <c r="AO58" i="5"/>
  <c r="AQ58" i="5" s="1"/>
  <c r="AO70" i="5"/>
  <c r="AQ70" i="5" s="1"/>
  <c r="AO59" i="5"/>
  <c r="AQ59" i="5" s="1"/>
  <c r="AO52" i="5"/>
  <c r="AQ52" i="5" s="1"/>
  <c r="AO39" i="5"/>
  <c r="AQ39" i="5" s="1"/>
  <c r="AO41" i="5"/>
  <c r="AQ41" i="5" s="1"/>
  <c r="AO47" i="5"/>
  <c r="AQ47" i="5" s="1"/>
  <c r="AO55" i="5"/>
  <c r="AQ55" i="5" s="1"/>
  <c r="AO18" i="5"/>
  <c r="AQ18" i="5" s="1"/>
  <c r="AO49" i="5"/>
  <c r="AQ49" i="5" s="1"/>
  <c r="AO56" i="5"/>
  <c r="AQ56" i="5" s="1"/>
  <c r="AO46" i="5"/>
  <c r="AQ46" i="5" s="1"/>
  <c r="AO50" i="5"/>
  <c r="AQ50" i="5" s="1"/>
  <c r="AO57" i="5"/>
  <c r="AQ57" i="5" s="1"/>
  <c r="AO54" i="5"/>
  <c r="AQ54" i="5" s="1"/>
  <c r="AO53" i="5"/>
  <c r="AQ53" i="5" s="1"/>
  <c r="AO51" i="5"/>
  <c r="AQ51" i="5" s="1"/>
  <c r="AO48" i="5"/>
  <c r="AQ48" i="5" s="1"/>
  <c r="AO45" i="5"/>
  <c r="AQ45" i="5" s="1"/>
  <c r="AO38" i="5"/>
  <c r="AQ38" i="5" s="1"/>
  <c r="AO42" i="5"/>
  <c r="AQ42" i="5" s="1"/>
  <c r="AO37" i="5"/>
  <c r="AQ37" i="5" s="1"/>
  <c r="AO36" i="5"/>
  <c r="AQ36" i="5" s="1"/>
  <c r="AO43" i="5"/>
  <c r="AQ43" i="5" s="1"/>
  <c r="AO40" i="5"/>
  <c r="AQ40" i="5" s="1"/>
  <c r="AO35" i="5"/>
  <c r="AQ35" i="5" s="1"/>
  <c r="AO32" i="5"/>
  <c r="AQ32" i="5" s="1"/>
  <c r="AO29" i="5"/>
  <c r="AQ29" i="5" s="1"/>
  <c r="AO26" i="5"/>
  <c r="AQ26" i="5" s="1"/>
  <c r="AO30" i="5"/>
  <c r="AQ30" i="5" s="1"/>
  <c r="AO27" i="5"/>
  <c r="AQ27" i="5" s="1"/>
  <c r="AO28" i="5"/>
  <c r="AQ28" i="5" s="1"/>
  <c r="AO44" i="5"/>
  <c r="AQ44" i="5" s="1"/>
  <c r="AO33" i="5"/>
  <c r="AQ33" i="5" s="1"/>
  <c r="AO31" i="5"/>
  <c r="AQ31" i="5" s="1"/>
  <c r="AO34" i="5"/>
  <c r="AQ34" i="5" s="1"/>
  <c r="AO15" i="5"/>
  <c r="AQ15" i="5" s="1"/>
  <c r="AO13" i="5"/>
  <c r="AQ13" i="5" s="1"/>
  <c r="AO14" i="5"/>
  <c r="AQ14" i="5" s="1"/>
  <c r="AO7" i="5"/>
  <c r="AQ7" i="5" s="1"/>
  <c r="AO25" i="5"/>
  <c r="AQ25" i="5" s="1"/>
  <c r="AO19" i="5"/>
  <c r="AQ19" i="5" s="1"/>
  <c r="AO10" i="5"/>
  <c r="AQ10" i="5" s="1"/>
  <c r="AO22" i="5"/>
  <c r="AQ22" i="5" s="1"/>
  <c r="AO16" i="5"/>
  <c r="AQ16" i="5" s="1"/>
  <c r="AO24" i="5"/>
  <c r="AQ24" i="5" s="1"/>
  <c r="AO20" i="5"/>
  <c r="AQ20" i="5" s="1"/>
  <c r="AO23" i="5"/>
  <c r="AQ23" i="5" s="1"/>
  <c r="AO21" i="5"/>
  <c r="AQ21" i="5" s="1"/>
  <c r="AO17" i="5"/>
  <c r="AQ17" i="5" s="1"/>
  <c r="AO12" i="5"/>
  <c r="AQ12" i="5" s="1"/>
  <c r="AP6" i="5"/>
  <c r="AS6" i="1" s="1"/>
  <c r="AQ5" i="1"/>
  <c r="AO9" i="5"/>
  <c r="AQ9" i="5" s="1"/>
  <c r="AO5" i="5"/>
  <c r="AR5" i="1" s="1"/>
  <c r="AO11" i="5"/>
  <c r="AQ11" i="5" s="1"/>
  <c r="AO6" i="5"/>
  <c r="AO8" i="5"/>
  <c r="AQ8" i="5" s="1"/>
  <c r="AF4" i="1"/>
  <c r="AH6" i="1"/>
  <c r="AF5" i="1"/>
  <c r="AI6" i="1"/>
  <c r="AI4" i="1"/>
  <c r="AG5" i="1"/>
  <c r="AO4" i="5"/>
  <c r="AR4" i="1" s="1"/>
  <c r="AQ4" i="1"/>
  <c r="AQ5" i="3"/>
  <c r="X5" i="1" s="1"/>
  <c r="V5" i="1"/>
  <c r="AR6" i="6"/>
  <c r="BE6" i="1" s="1"/>
  <c r="BP6" i="1"/>
  <c r="BN6" i="1"/>
  <c r="CA5" i="1"/>
  <c r="BY5" i="1"/>
  <c r="BY4" i="1"/>
  <c r="CA4" i="1"/>
  <c r="CA6" i="1"/>
  <c r="BY6" i="1"/>
  <c r="V6" i="1"/>
  <c r="AQ6" i="3"/>
  <c r="X6" i="1" s="1"/>
  <c r="AR4" i="2"/>
  <c r="M4" i="1" s="1"/>
  <c r="K4" i="1"/>
  <c r="CC4" i="1"/>
  <c r="AR5" i="2"/>
  <c r="M5" i="1" s="1"/>
  <c r="K5" i="1"/>
  <c r="AR6" i="2"/>
  <c r="M6" i="1" s="1"/>
  <c r="K6" i="1"/>
  <c r="BN4" i="1"/>
  <c r="BP4" i="1"/>
  <c r="CC5" i="1"/>
  <c r="BP5" i="1"/>
  <c r="BN5" i="1"/>
  <c r="Z6" i="1"/>
  <c r="BB6" i="1"/>
  <c r="BC4" i="1" l="1"/>
  <c r="BC5" i="1"/>
  <c r="CB5" i="1" s="1"/>
  <c r="AQ5" i="5"/>
  <c r="AT5" i="1" s="1"/>
  <c r="CC6" i="1"/>
  <c r="AQ4" i="5"/>
  <c r="AT4" i="1" s="1"/>
  <c r="CD4" i="1" s="1"/>
  <c r="AQ6" i="5"/>
  <c r="AT6" i="1" s="1"/>
  <c r="CD6" i="1" s="1"/>
  <c r="AR6" i="1"/>
  <c r="AI5" i="1"/>
  <c r="AG4" i="1"/>
  <c r="CB4" i="1" s="1"/>
  <c r="AG6" i="1"/>
  <c r="CD5" i="1" l="1"/>
  <c r="CB6" i="1"/>
</calcChain>
</file>

<file path=xl/sharedStrings.xml><?xml version="1.0" encoding="utf-8"?>
<sst xmlns="http://schemas.openxmlformats.org/spreadsheetml/2006/main" count="4459" uniqueCount="186">
  <si>
    <t>PAYROLL SUMMARY — MARCH TO SEPTEMBER 2026</t>
  </si>
  <si>
    <t>Sr.</t>
  </si>
  <si>
    <t>Employee Name</t>
  </si>
  <si>
    <t>March</t>
  </si>
  <si>
    <t>April</t>
  </si>
  <si>
    <t>May</t>
  </si>
  <si>
    <t>June</t>
  </si>
  <si>
    <t>July</t>
  </si>
  <si>
    <t>August</t>
  </si>
  <si>
    <t>September</t>
  </si>
  <si>
    <t>Total Paid Days</t>
  </si>
  <si>
    <t>Total LOP</t>
  </si>
  <si>
    <t>Avg Attend%</t>
  </si>
  <si>
    <t>Working Days</t>
  </si>
  <si>
    <t>Present</t>
  </si>
  <si>
    <t>WFH</t>
  </si>
  <si>
    <t>Half Days</t>
  </si>
  <si>
    <t>EL</t>
  </si>
  <si>
    <t>SL</t>
  </si>
  <si>
    <t>CL</t>
  </si>
  <si>
    <t>LOP</t>
  </si>
  <si>
    <t>Paid Days</t>
  </si>
  <si>
    <t>Unpaid Days</t>
  </si>
  <si>
    <t>Attend %</t>
  </si>
  <si>
    <t>Employee 1</t>
  </si>
  <si>
    <t>Employee 2</t>
  </si>
  <si>
    <t>Employee 3</t>
  </si>
  <si>
    <t>EMPLOYEE ATTENDANCE SHEET — MARCH 2026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</si>
  <si>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</si>
  <si>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</si>
  <si>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</si>
  <si>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</si>
  <si>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</si>
  <si>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</si>
  <si>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</si>
  <si>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</si>
  <si>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</si>
  <si>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</si>
  <si>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</si>
  <si>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</si>
  <si>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</si>
  <si>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</si>
  <si>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</si>
  <si>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</si>
  <si>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</si>
  <si>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</si>
  <si>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</si>
  <si>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</si>
  <si>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</si>
  <si>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</si>
  <si>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</si>
  <si>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</si>
  <si>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</si>
  <si>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</si>
  <si>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</si>
  <si>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</si>
  <si>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</si>
  <si>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</si>
  <si>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</si>
  <si>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Working
Days</t>
  </si>
  <si>
    <t>Present
(P)</t>
  </si>
  <si>
    <t>Half
Day</t>
  </si>
  <si>
    <t>LOP
Days</t>
  </si>
  <si>
    <t>Paid
Days</t>
  </si>
  <si>
    <t>Unpaid
Days</t>
  </si>
  <si>
    <t>Attend
%</t>
  </si>
  <si>
    <t>#</t>
  </si>
  <si>
    <t>Name</t>
  </si>
  <si>
    <t>Sun</t>
  </si>
  <si>
    <t>Mon</t>
  </si>
  <si>
    <t>Tue</t>
  </si>
  <si>
    <t>Wed</t>
  </si>
  <si>
    <t>Thu</t>
  </si>
  <si>
    <t>Fri</t>
  </si>
  <si>
    <t>Sat</t>
  </si>
  <si>
    <t>WO</t>
  </si>
  <si>
    <t>EMPLOYEE ATTENDANCE SHEET — APRIL 2026</t>
  </si>
  <si>
    <t>EMPLOYEE ATTENDANCE SHEET — JUNE 2026</t>
  </si>
  <si>
    <t>EMPLOYEE ATTENDANCE SHEET — JULY 2026</t>
  </si>
  <si>
    <t>ATTENDANCE TRACKER — LEGEND &amp; INSTRUCTIONS</t>
  </si>
  <si>
    <t>STATUS CODES</t>
  </si>
  <si>
    <t>P</t>
  </si>
  <si>
    <t>A</t>
  </si>
  <si>
    <t>Absent</t>
  </si>
  <si>
    <t>Earned Leave</t>
  </si>
  <si>
    <t>Sick Leave</t>
  </si>
  <si>
    <t>Casual Leave</t>
  </si>
  <si>
    <t>Loss of Pay</t>
  </si>
  <si>
    <t>Work from Home</t>
  </si>
  <si>
    <t>H</t>
  </si>
  <si>
    <t>Holiday</t>
  </si>
  <si>
    <t>HD</t>
  </si>
  <si>
    <t>Half Day</t>
  </si>
  <si>
    <t>Week Off</t>
  </si>
  <si>
    <t>PAYROLL SUMMARY COLUMNS</t>
  </si>
  <si>
    <t>Total days excluding Sundays and Holidays</t>
  </si>
  <si>
    <t>Present (P)</t>
  </si>
  <si>
    <t>Count of days marked P</t>
  </si>
  <si>
    <t>Count of days marked WFH</t>
  </si>
  <si>
    <t>Half Days (HD)</t>
  </si>
  <si>
    <t>Count of HD — counts as 0.5 day each</t>
  </si>
  <si>
    <t>EL Taken</t>
  </si>
  <si>
    <t>Earned Leave consumed this month</t>
  </si>
  <si>
    <t>SL Taken</t>
  </si>
  <si>
    <t>Sick Leave consumed this month</t>
  </si>
  <si>
    <t>CL Taken</t>
  </si>
  <si>
    <t>Casual Leave consumed this month</t>
  </si>
  <si>
    <t>LOP Days</t>
  </si>
  <si>
    <t>Loss of Pay days (unpaid absences)</t>
  </si>
  <si>
    <t>Present + WFH + HD×0.5 + EL + SL + CL</t>
  </si>
  <si>
    <t>LOP count (deduct from salary)</t>
  </si>
  <si>
    <t>Effective Attendance %</t>
  </si>
  <si>
    <t>Paid Days ÷ Working Days × 100</t>
  </si>
  <si>
    <t>Settybathini Sathish</t>
  </si>
  <si>
    <t xml:space="preserve">Sharath </t>
  </si>
  <si>
    <t>Vemula Varshith Kumar</t>
  </si>
  <si>
    <t>Karne Narsimha Reddy</t>
  </si>
  <si>
    <t>Kontham Sushma</t>
  </si>
  <si>
    <t>Mula Sai Preetham Goud</t>
  </si>
  <si>
    <t>Sripada Shivakumar</t>
  </si>
  <si>
    <t>Sruthin Kumar Basa</t>
  </si>
  <si>
    <t>Vulli Pavan</t>
  </si>
  <si>
    <t>Varakantham Surender Reddy</t>
  </si>
  <si>
    <t>Abhijeet Vijaysingh Pardeshi</t>
  </si>
  <si>
    <t>Siddula Hemasai</t>
  </si>
  <si>
    <t>Mohammed Moid</t>
  </si>
  <si>
    <t>Surampudi Roop Sai</t>
  </si>
  <si>
    <t>Janardhan Tanakala</t>
  </si>
  <si>
    <t>Priyadarshini Pola</t>
  </si>
  <si>
    <t>Vavilla Saikumar</t>
  </si>
  <si>
    <t>Manisha Virkar</t>
  </si>
  <si>
    <t>Nelapatla Srinivas</t>
  </si>
  <si>
    <t>Kalepu Vijay Kumar</t>
  </si>
  <si>
    <t>Bobbarala Varshini</t>
  </si>
  <si>
    <t>Vempadapu Uday Sai Tarun</t>
  </si>
  <si>
    <t>Ainala Saiesha</t>
  </si>
  <si>
    <t>Esther Deva Priya</t>
  </si>
  <si>
    <t>Yanamagandla Raghavendar</t>
  </si>
  <si>
    <t>Thumula Dinesh</t>
  </si>
  <si>
    <t>Pulikonda Naveen</t>
  </si>
  <si>
    <t>Chebrolu Monika</t>
  </si>
  <si>
    <t>Sudhagani Sai Charan</t>
  </si>
  <si>
    <t>Chebrolu Yashaswini</t>
  </si>
  <si>
    <t>Rekha Rapolu</t>
  </si>
  <si>
    <t>Deepthi Upadhyayula</t>
  </si>
  <si>
    <t>Ragiru Nikhitha</t>
  </si>
  <si>
    <t>Bommala Naveen Kumar</t>
  </si>
  <si>
    <t>Mundlamuri Mrudula</t>
  </si>
  <si>
    <t>Cholleti Saikumar</t>
  </si>
  <si>
    <t>Palavelli Praveen Reddy</t>
  </si>
  <si>
    <t>Yaramothu Himaja</t>
  </si>
  <si>
    <t>Odeti Srinivas</t>
  </si>
  <si>
    <t>Thallada Venkatasagar</t>
  </si>
  <si>
    <t>Chamakuri Raghuram</t>
  </si>
  <si>
    <t>Matha Sai Prasad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</si>
  <si>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</si>
  <si>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</si>
  <si>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</si>
  <si>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</si>
  <si>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</si>
  <si>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</si>
  <si>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 Reddy</t>
  </si>
  <si>
    <t>Neetapalli Sreekanth Reddy</t>
  </si>
  <si>
    <t>Melath Ashwin</t>
  </si>
  <si>
    <t>Mohd Sameer</t>
  </si>
  <si>
    <t>Boya Indra Sena Naidu</t>
  </si>
  <si>
    <t>Exit</t>
  </si>
  <si>
    <t>Shaik Arif</t>
  </si>
  <si>
    <t>Batta Jyotsna</t>
  </si>
  <si>
    <t>Kankanala Sravani</t>
  </si>
  <si>
    <t>Vadicharla Sandeep Kumar</t>
  </si>
  <si>
    <t>Thota Varsha</t>
  </si>
  <si>
    <t>Shaik Faiza</t>
  </si>
  <si>
    <t>Shaik Shaheen</t>
  </si>
  <si>
    <t>Guduru Subhanbee</t>
  </si>
  <si>
    <t>Yapakayala Sampath</t>
  </si>
  <si>
    <t>Shaik Akram</t>
  </si>
  <si>
    <t>Mesu Lion Kumar</t>
  </si>
  <si>
    <t>Bashaboina Srilatha</t>
  </si>
  <si>
    <t>Pothuraju Haritha</t>
  </si>
  <si>
    <t>Tirupathi Anusha</t>
  </si>
  <si>
    <t>Tepala Rajukumar</t>
  </si>
  <si>
    <t>Gayathri K</t>
  </si>
  <si>
    <t>Aishwarya M</t>
  </si>
  <si>
    <t>Done with Internship</t>
  </si>
  <si>
    <t>Ayesha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</si>
</sst>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sz val="8"/>
      <name val="Arial"/>
      <family val="2"/>
    </font>
    <font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BFBFBF"/>
        <bgColor rgb="FFAAAAAA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FFC000"/>
        <bgColor rgb="FFF2F2F2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/>
    <xf numFmtId="0" fontId="13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CE4D6"/>
      <rgbColor rgb="FFF2F2F2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"/>
  <sheetViews>
    <sheetView showGridLines="0" zoomScaleNormal="100" workbookViewId="0">
      <selection sqref="A1:BH1"/>
    </sheetView>
  </sheetViews>
  <sheetFormatPr defaultColWidth="8.6328125" defaultRowHeight="14.5" x14ac:dyDescent="0.35"/>
  <cols>
    <col min="1" max="1" width="5" customWidth="1"/>
    <col min="2" max="2" width="22" customWidth="1"/>
    <col min="3" max="79" width="8.453125" customWidth="1"/>
    <col min="80" max="82" width="11" customWidth="1"/>
  </cols>
  <sheetData>
    <row r="1" spans="1:82" ht="36" customHeight="1" x14ac:dyDescent="0.3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</row>
    <row r="2" spans="1:82" ht="30" customHeight="1" x14ac:dyDescent="0.35">
      <c r="A2" s="49" t="s">
        <v>1</v>
      </c>
      <c r="B2" s="49" t="s">
        <v>2</v>
      </c>
      <c r="C2" s="46" t="s">
        <v>3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 t="s">
        <v>4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 t="s">
        <v>5</v>
      </c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 t="s">
        <v>6</v>
      </c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 t="s">
        <v>7</v>
      </c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 t="s">
        <v>8</v>
      </c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 t="s">
        <v>9</v>
      </c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7" t="s">
        <v>10</v>
      </c>
      <c r="CC2" s="47" t="s">
        <v>11</v>
      </c>
      <c r="CD2" s="47" t="s">
        <v>12</v>
      </c>
    </row>
    <row r="3" spans="1:82" ht="30" customHeight="1" x14ac:dyDescent="0.35">
      <c r="A3" s="49"/>
      <c r="B3" s="49"/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17</v>
      </c>
      <c r="AD3" s="1" t="s">
        <v>18</v>
      </c>
      <c r="AE3" s="1" t="s">
        <v>19</v>
      </c>
      <c r="AF3" s="1" t="s">
        <v>20</v>
      </c>
      <c r="AG3" s="1" t="s">
        <v>21</v>
      </c>
      <c r="AH3" s="1" t="s">
        <v>22</v>
      </c>
      <c r="AI3" s="1" t="s">
        <v>23</v>
      </c>
      <c r="AJ3" s="1" t="s">
        <v>13</v>
      </c>
      <c r="AK3" s="1" t="s">
        <v>14</v>
      </c>
      <c r="AL3" s="1" t="s">
        <v>15</v>
      </c>
      <c r="AM3" s="1" t="s">
        <v>16</v>
      </c>
      <c r="AN3" s="1" t="s">
        <v>17</v>
      </c>
      <c r="AO3" s="1" t="s">
        <v>18</v>
      </c>
      <c r="AP3" s="1" t="s">
        <v>19</v>
      </c>
      <c r="AQ3" s="1" t="s">
        <v>20</v>
      </c>
      <c r="AR3" s="1" t="s">
        <v>21</v>
      </c>
      <c r="AS3" s="1" t="s">
        <v>22</v>
      </c>
      <c r="AT3" s="1" t="s">
        <v>23</v>
      </c>
      <c r="AU3" s="1" t="s">
        <v>13</v>
      </c>
      <c r="AV3" s="1" t="s">
        <v>14</v>
      </c>
      <c r="AW3" s="1" t="s">
        <v>15</v>
      </c>
      <c r="AX3" s="1" t="s">
        <v>16</v>
      </c>
      <c r="AY3" s="1" t="s">
        <v>17</v>
      </c>
      <c r="AZ3" s="1" t="s">
        <v>18</v>
      </c>
      <c r="BA3" s="1" t="s">
        <v>19</v>
      </c>
      <c r="BB3" s="1" t="s">
        <v>20</v>
      </c>
      <c r="BC3" s="1" t="s">
        <v>21</v>
      </c>
      <c r="BD3" s="1" t="s">
        <v>22</v>
      </c>
      <c r="BE3" s="1" t="s">
        <v>23</v>
      </c>
      <c r="BF3" s="1" t="s">
        <v>13</v>
      </c>
      <c r="BG3" s="1" t="s">
        <v>14</v>
      </c>
      <c r="BH3" s="1" t="s">
        <v>15</v>
      </c>
      <c r="BI3" s="1" t="s">
        <v>16</v>
      </c>
      <c r="BJ3" s="1" t="s">
        <v>17</v>
      </c>
      <c r="BK3" s="1" t="s">
        <v>18</v>
      </c>
      <c r="BL3" s="1" t="s">
        <v>19</v>
      </c>
      <c r="BM3" s="1" t="s">
        <v>20</v>
      </c>
      <c r="BN3" s="1" t="s">
        <v>21</v>
      </c>
      <c r="BO3" s="1" t="s">
        <v>22</v>
      </c>
      <c r="BP3" s="1" t="s">
        <v>23</v>
      </c>
      <c r="BQ3" s="1" t="s">
        <v>13</v>
      </c>
      <c r="BR3" s="1" t="s">
        <v>14</v>
      </c>
      <c r="BS3" s="1" t="s">
        <v>15</v>
      </c>
      <c r="BT3" s="1" t="s">
        <v>16</v>
      </c>
      <c r="BU3" s="1" t="s">
        <v>17</v>
      </c>
      <c r="BV3" s="1" t="s">
        <v>18</v>
      </c>
      <c r="BW3" s="1" t="s">
        <v>19</v>
      </c>
      <c r="BX3" s="1" t="s">
        <v>20</v>
      </c>
      <c r="BY3" s="1" t="s">
        <v>21</v>
      </c>
      <c r="BZ3" s="1" t="s">
        <v>22</v>
      </c>
      <c r="CA3" s="1" t="s">
        <v>23</v>
      </c>
      <c r="CB3" s="47"/>
      <c r="CC3" s="47"/>
      <c r="CD3" s="47"/>
    </row>
    <row r="4" spans="1:82" ht="19.5" customHeight="1" x14ac:dyDescent="0.35">
      <c r="A4" s="2">
        <v>1</v>
      </c>
      <c r="B4" s="3" t="s">
        <v>24</v>
      </c>
      <c r="C4" s="4">
        <f>March!AH4</f>
        <v>26</v>
      </c>
      <c r="D4" s="5">
        <f>March!AI4</f>
        <v>0</v>
      </c>
      <c r="E4" s="6">
        <f>March!AJ4</f>
        <v>0</v>
      </c>
      <c r="F4" s="7">
        <f>March!AK4</f>
        <v>0</v>
      </c>
      <c r="G4" s="7">
        <f>March!AL4</f>
        <v>0</v>
      </c>
      <c r="H4" s="7">
        <f>March!AM4</f>
        <v>0</v>
      </c>
      <c r="I4" s="7">
        <f>March!AN4</f>
        <v>0</v>
      </c>
      <c r="J4" s="8">
        <f>March!AO4</f>
        <v>0</v>
      </c>
      <c r="K4" s="9">
        <f>March!AP4</f>
        <v>0</v>
      </c>
      <c r="L4" s="10">
        <f>March!AQ4</f>
        <v>0</v>
      </c>
      <c r="M4" s="11">
        <f>March!AR4</f>
        <v>0</v>
      </c>
      <c r="N4" s="4">
        <f>April!AG4</f>
        <v>26</v>
      </c>
      <c r="O4" s="5">
        <f>April!AH4</f>
        <v>0</v>
      </c>
      <c r="P4" s="6">
        <f>April!AI4</f>
        <v>0</v>
      </c>
      <c r="Q4" s="7">
        <f>April!AJ4</f>
        <v>0</v>
      </c>
      <c r="R4" s="7">
        <f>April!AK4</f>
        <v>0</v>
      </c>
      <c r="S4" s="7">
        <f>April!AL4</f>
        <v>0</v>
      </c>
      <c r="T4" s="7">
        <f>April!AM4</f>
        <v>0</v>
      </c>
      <c r="U4" s="8">
        <f>April!AN4</f>
        <v>0</v>
      </c>
      <c r="V4" s="9">
        <f>April!AO4</f>
        <v>0</v>
      </c>
      <c r="W4" s="10">
        <f>April!AP4</f>
        <v>0</v>
      </c>
      <c r="X4" s="11">
        <f>April!AQ4</f>
        <v>0</v>
      </c>
      <c r="Y4" s="4" t="e">
        <f>#REF!</f>
        <v>#REF!</v>
      </c>
      <c r="Z4" s="5" t="e">
        <f>#REF!</f>
        <v>#REF!</v>
      </c>
      <c r="AA4" s="6" t="e">
        <f>#REF!</f>
        <v>#REF!</v>
      </c>
      <c r="AB4" s="7" t="e">
        <f>#REF!</f>
        <v>#REF!</v>
      </c>
      <c r="AC4" s="7" t="e">
        <f>#REF!</f>
        <v>#REF!</v>
      </c>
      <c r="AD4" s="7" t="e">
        <f>#REF!</f>
        <v>#REF!</v>
      </c>
      <c r="AE4" s="7" t="e">
        <f>#REF!</f>
        <v>#REF!</v>
      </c>
      <c r="AF4" s="8" t="e">
        <f>#REF!</f>
        <v>#REF!</v>
      </c>
      <c r="AG4" s="9" t="e">
        <f>#REF!</f>
        <v>#REF!</v>
      </c>
      <c r="AH4" s="10" t="e">
        <f>#REF!</f>
        <v>#REF!</v>
      </c>
      <c r="AI4" s="11" t="e">
        <f>#REF!</f>
        <v>#REF!</v>
      </c>
      <c r="AJ4" s="4">
        <f>June!AG4</f>
        <v>22</v>
      </c>
      <c r="AK4" s="5">
        <f>June!AH4</f>
        <v>21</v>
      </c>
      <c r="AL4" s="6">
        <f>June!AI4</f>
        <v>1</v>
      </c>
      <c r="AM4" s="7">
        <f>June!AJ4</f>
        <v>0</v>
      </c>
      <c r="AN4" s="7">
        <f>June!AK4</f>
        <v>0</v>
      </c>
      <c r="AO4" s="7">
        <f>June!AL4</f>
        <v>0</v>
      </c>
      <c r="AP4" s="7">
        <f>June!AM4</f>
        <v>0</v>
      </c>
      <c r="AQ4" s="8">
        <f>June!AN4</f>
        <v>0</v>
      </c>
      <c r="AR4" s="9">
        <f>June!AO4</f>
        <v>22</v>
      </c>
      <c r="AS4" s="10">
        <f>June!AP4</f>
        <v>0</v>
      </c>
      <c r="AT4" s="11">
        <f>June!AQ4</f>
        <v>100</v>
      </c>
      <c r="AU4" s="4">
        <f>July!AH4</f>
        <v>23</v>
      </c>
      <c r="AV4" s="5">
        <f>July!AI4</f>
        <v>18</v>
      </c>
      <c r="AW4" s="6">
        <f>July!AJ4</f>
        <v>0</v>
      </c>
      <c r="AX4" s="7">
        <f>July!AK4</f>
        <v>0</v>
      </c>
      <c r="AY4" s="7">
        <f>July!AL4</f>
        <v>0</v>
      </c>
      <c r="AZ4" s="7">
        <f>July!AM4</f>
        <v>0</v>
      </c>
      <c r="BA4" s="7">
        <f>July!AN4</f>
        <v>0</v>
      </c>
      <c r="BB4" s="8">
        <f>July!AO4</f>
        <v>0</v>
      </c>
      <c r="BC4" s="9">
        <f>July!AP4</f>
        <v>18</v>
      </c>
      <c r="BD4" s="10">
        <f>July!AQ4</f>
        <v>0</v>
      </c>
      <c r="BE4" s="11">
        <f>July!AR4</f>
        <v>78.260869565217391</v>
      </c>
      <c r="BF4" s="4" t="e">
        <f>#REF!</f>
        <v>#REF!</v>
      </c>
      <c r="BG4" s="5" t="e">
        <f>#REF!</f>
        <v>#REF!</v>
      </c>
      <c r="BH4" s="6" t="e">
        <f>#REF!</f>
        <v>#REF!</v>
      </c>
      <c r="BI4" s="7" t="e">
        <f>#REF!</f>
        <v>#REF!</v>
      </c>
      <c r="BJ4" s="7" t="e">
        <f>#REF!</f>
        <v>#REF!</v>
      </c>
      <c r="BK4" s="7" t="e">
        <f>#REF!</f>
        <v>#REF!</v>
      </c>
      <c r="BL4" s="7" t="e">
        <f>#REF!</f>
        <v>#REF!</v>
      </c>
      <c r="BM4" s="8" t="e">
        <f>#REF!</f>
        <v>#REF!</v>
      </c>
      <c r="BN4" s="9" t="e">
        <f>#REF!</f>
        <v>#REF!</v>
      </c>
      <c r="BO4" s="10" t="e">
        <f>#REF!</f>
        <v>#REF!</v>
      </c>
      <c r="BP4" s="11" t="e">
        <f>#REF!</f>
        <v>#REF!</v>
      </c>
      <c r="BQ4" s="4" t="e">
        <f>#REF!</f>
        <v>#REF!</v>
      </c>
      <c r="BR4" s="5" t="e">
        <f>#REF!</f>
        <v>#REF!</v>
      </c>
      <c r="BS4" s="6" t="e">
        <f>#REF!</f>
        <v>#REF!</v>
      </c>
      <c r="BT4" s="7" t="e">
        <f>#REF!</f>
        <v>#REF!</v>
      </c>
      <c r="BU4" s="7" t="e">
        <f>#REF!</f>
        <v>#REF!</v>
      </c>
      <c r="BV4" s="7" t="e">
        <f>#REF!</f>
        <v>#REF!</v>
      </c>
      <c r="BW4" s="7" t="e">
        <f>#REF!</f>
        <v>#REF!</v>
      </c>
      <c r="BX4" s="8" t="e">
        <f>#REF!</f>
        <v>#REF!</v>
      </c>
      <c r="BY4" s="9" t="e">
        <f>#REF!</f>
        <v>#REF!</v>
      </c>
      <c r="BZ4" s="10" t="e">
        <f>#REF!</f>
        <v>#REF!</v>
      </c>
      <c r="CA4" s="11" t="e">
        <f>#REF!</f>
        <v>#REF!</v>
      </c>
      <c r="CB4" s="12" t="e">
        <f t="shared" ref="CB4:CC6" si="0">K4+V4+AG4+AR4+BC4+BN4+BY4</f>
        <v>#REF!</v>
      </c>
      <c r="CC4" s="13" t="e">
        <f t="shared" si="0"/>
        <v>#REF!</v>
      </c>
      <c r="CD4" s="14" t="e">
        <f>AVERAGE(M4,X4,AI4,AT4,BE4,BP4,CA4)</f>
        <v>#REF!</v>
      </c>
    </row>
    <row r="5" spans="1:82" ht="19.5" customHeight="1" x14ac:dyDescent="0.35">
      <c r="A5" s="15">
        <v>2</v>
      </c>
      <c r="B5" s="16" t="s">
        <v>25</v>
      </c>
      <c r="C5" s="4">
        <f>March!AH5</f>
        <v>26</v>
      </c>
      <c r="D5" s="5">
        <f>March!AI5</f>
        <v>0</v>
      </c>
      <c r="E5" s="6">
        <f>March!AJ5</f>
        <v>0</v>
      </c>
      <c r="F5" s="7">
        <f>March!AK5</f>
        <v>0</v>
      </c>
      <c r="G5" s="7">
        <f>March!AL5</f>
        <v>0</v>
      </c>
      <c r="H5" s="7">
        <f>March!AM5</f>
        <v>0</v>
      </c>
      <c r="I5" s="7">
        <f>March!AN5</f>
        <v>0</v>
      </c>
      <c r="J5" s="8">
        <f>March!AO5</f>
        <v>0</v>
      </c>
      <c r="K5" s="9">
        <f>March!AP5</f>
        <v>0</v>
      </c>
      <c r="L5" s="10">
        <f>March!AQ5</f>
        <v>0</v>
      </c>
      <c r="M5" s="11">
        <f>March!AR5</f>
        <v>0</v>
      </c>
      <c r="N5" s="4">
        <f>April!AG5</f>
        <v>26</v>
      </c>
      <c r="O5" s="5">
        <f>April!AH5</f>
        <v>0</v>
      </c>
      <c r="P5" s="6">
        <f>April!AI5</f>
        <v>0</v>
      </c>
      <c r="Q5" s="7">
        <f>April!AJ5</f>
        <v>0</v>
      </c>
      <c r="R5" s="7">
        <f>April!AK5</f>
        <v>0</v>
      </c>
      <c r="S5" s="7">
        <f>April!AL5</f>
        <v>0</v>
      </c>
      <c r="T5" s="7">
        <f>April!AM5</f>
        <v>0</v>
      </c>
      <c r="U5" s="8">
        <f>April!AN5</f>
        <v>0</v>
      </c>
      <c r="V5" s="9">
        <f>April!AO5</f>
        <v>0</v>
      </c>
      <c r="W5" s="10">
        <f>April!AP5</f>
        <v>0</v>
      </c>
      <c r="X5" s="11">
        <f>April!AQ5</f>
        <v>0</v>
      </c>
      <c r="Y5" s="4" t="e">
        <f>#REF!</f>
        <v>#REF!</v>
      </c>
      <c r="Z5" s="5" t="e">
        <f>#REF!</f>
        <v>#REF!</v>
      </c>
      <c r="AA5" s="6" t="e">
        <f>#REF!</f>
        <v>#REF!</v>
      </c>
      <c r="AB5" s="7" t="e">
        <f>#REF!</f>
        <v>#REF!</v>
      </c>
      <c r="AC5" s="7" t="e">
        <f>#REF!</f>
        <v>#REF!</v>
      </c>
      <c r="AD5" s="7" t="e">
        <f>#REF!</f>
        <v>#REF!</v>
      </c>
      <c r="AE5" s="7" t="e">
        <f>#REF!</f>
        <v>#REF!</v>
      </c>
      <c r="AF5" s="8" t="e">
        <f>#REF!</f>
        <v>#REF!</v>
      </c>
      <c r="AG5" s="9" t="e">
        <f>#REF!</f>
        <v>#REF!</v>
      </c>
      <c r="AH5" s="10" t="e">
        <f>#REF!</f>
        <v>#REF!</v>
      </c>
      <c r="AI5" s="11" t="e">
        <f>#REF!</f>
        <v>#REF!</v>
      </c>
      <c r="AJ5" s="4">
        <f>June!AG5</f>
        <v>22</v>
      </c>
      <c r="AK5" s="5">
        <f>June!AH5</f>
        <v>22</v>
      </c>
      <c r="AL5" s="6">
        <f>June!AI5</f>
        <v>0</v>
      </c>
      <c r="AM5" s="7">
        <f>June!AJ5</f>
        <v>0</v>
      </c>
      <c r="AN5" s="7">
        <f>June!AK5</f>
        <v>0</v>
      </c>
      <c r="AO5" s="7">
        <f>June!AL5</f>
        <v>0</v>
      </c>
      <c r="AP5" s="7">
        <f>June!AM5</f>
        <v>0</v>
      </c>
      <c r="AQ5" s="8">
        <f>June!AN5</f>
        <v>0</v>
      </c>
      <c r="AR5" s="9">
        <f>June!AO5</f>
        <v>22</v>
      </c>
      <c r="AS5" s="10">
        <f>June!AP5</f>
        <v>0</v>
      </c>
      <c r="AT5" s="11">
        <f>June!AQ5</f>
        <v>100</v>
      </c>
      <c r="AU5" s="4">
        <f>July!AH5</f>
        <v>23</v>
      </c>
      <c r="AV5" s="5">
        <f>July!AI5</f>
        <v>18</v>
      </c>
      <c r="AW5" s="6">
        <f>July!AJ5</f>
        <v>0</v>
      </c>
      <c r="AX5" s="7">
        <f>July!AK5</f>
        <v>0</v>
      </c>
      <c r="AY5" s="7">
        <f>July!AL5</f>
        <v>0</v>
      </c>
      <c r="AZ5" s="7">
        <f>July!AM5</f>
        <v>0</v>
      </c>
      <c r="BA5" s="7">
        <f>July!AN5</f>
        <v>0</v>
      </c>
      <c r="BB5" s="8">
        <f>July!AO5</f>
        <v>0</v>
      </c>
      <c r="BC5" s="9">
        <f>July!AP5</f>
        <v>18</v>
      </c>
      <c r="BD5" s="10">
        <f>July!AQ5</f>
        <v>0</v>
      </c>
      <c r="BE5" s="11">
        <f>July!AR5</f>
        <v>78.260869565217391</v>
      </c>
      <c r="BF5" s="4" t="e">
        <f>#REF!</f>
        <v>#REF!</v>
      </c>
      <c r="BG5" s="5" t="e">
        <f>#REF!</f>
        <v>#REF!</v>
      </c>
      <c r="BH5" s="6" t="e">
        <f>#REF!</f>
        <v>#REF!</v>
      </c>
      <c r="BI5" s="7" t="e">
        <f>#REF!</f>
        <v>#REF!</v>
      </c>
      <c r="BJ5" s="7" t="e">
        <f>#REF!</f>
        <v>#REF!</v>
      </c>
      <c r="BK5" s="7" t="e">
        <f>#REF!</f>
        <v>#REF!</v>
      </c>
      <c r="BL5" s="7" t="e">
        <f>#REF!</f>
        <v>#REF!</v>
      </c>
      <c r="BM5" s="8" t="e">
        <f>#REF!</f>
        <v>#REF!</v>
      </c>
      <c r="BN5" s="9" t="e">
        <f>#REF!</f>
        <v>#REF!</v>
      </c>
      <c r="BO5" s="10" t="e">
        <f>#REF!</f>
        <v>#REF!</v>
      </c>
      <c r="BP5" s="11" t="e">
        <f>#REF!</f>
        <v>#REF!</v>
      </c>
      <c r="BQ5" s="4" t="e">
        <f>#REF!</f>
        <v>#REF!</v>
      </c>
      <c r="BR5" s="5" t="e">
        <f>#REF!</f>
        <v>#REF!</v>
      </c>
      <c r="BS5" s="6" t="e">
        <f>#REF!</f>
        <v>#REF!</v>
      </c>
      <c r="BT5" s="7" t="e">
        <f>#REF!</f>
        <v>#REF!</v>
      </c>
      <c r="BU5" s="7" t="e">
        <f>#REF!</f>
        <v>#REF!</v>
      </c>
      <c r="BV5" s="7" t="e">
        <f>#REF!</f>
        <v>#REF!</v>
      </c>
      <c r="BW5" s="7" t="e">
        <f>#REF!</f>
        <v>#REF!</v>
      </c>
      <c r="BX5" s="8" t="e">
        <f>#REF!</f>
        <v>#REF!</v>
      </c>
      <c r="BY5" s="9" t="e">
        <f>#REF!</f>
        <v>#REF!</v>
      </c>
      <c r="BZ5" s="10" t="e">
        <f>#REF!</f>
        <v>#REF!</v>
      </c>
      <c r="CA5" s="11" t="e">
        <f>#REF!</f>
        <v>#REF!</v>
      </c>
      <c r="CB5" s="12" t="e">
        <f t="shared" si="0"/>
        <v>#REF!</v>
      </c>
      <c r="CC5" s="13" t="e">
        <f t="shared" si="0"/>
        <v>#REF!</v>
      </c>
      <c r="CD5" s="14" t="e">
        <f>AVERAGE(M5,X5,AI5,AT5,BE5,BP5,CA5)</f>
        <v>#REF!</v>
      </c>
    </row>
    <row r="6" spans="1:82" ht="19.5" customHeight="1" x14ac:dyDescent="0.35">
      <c r="A6" s="2">
        <v>3</v>
      </c>
      <c r="B6" s="3" t="s">
        <v>26</v>
      </c>
      <c r="C6" s="4">
        <f>March!AH6</f>
        <v>26</v>
      </c>
      <c r="D6" s="5">
        <f>March!AI6</f>
        <v>0</v>
      </c>
      <c r="E6" s="6">
        <f>March!AJ6</f>
        <v>0</v>
      </c>
      <c r="F6" s="7">
        <f>March!AK6</f>
        <v>0</v>
      </c>
      <c r="G6" s="7">
        <f>March!AL6</f>
        <v>0</v>
      </c>
      <c r="H6" s="7">
        <f>March!AM6</f>
        <v>0</v>
      </c>
      <c r="I6" s="7">
        <f>March!AN6</f>
        <v>0</v>
      </c>
      <c r="J6" s="8">
        <f>March!AO6</f>
        <v>0</v>
      </c>
      <c r="K6" s="9">
        <f>March!AP6</f>
        <v>0</v>
      </c>
      <c r="L6" s="10">
        <f>March!AQ6</f>
        <v>0</v>
      </c>
      <c r="M6" s="11">
        <f>March!AR6</f>
        <v>0</v>
      </c>
      <c r="N6" s="4">
        <f>April!AG6</f>
        <v>26</v>
      </c>
      <c r="O6" s="5">
        <f>April!AH6</f>
        <v>0</v>
      </c>
      <c r="P6" s="6">
        <f>April!AI6</f>
        <v>0</v>
      </c>
      <c r="Q6" s="7">
        <f>April!AJ6</f>
        <v>0</v>
      </c>
      <c r="R6" s="7">
        <f>April!AK6</f>
        <v>0</v>
      </c>
      <c r="S6" s="7">
        <f>April!AL6</f>
        <v>0</v>
      </c>
      <c r="T6" s="7">
        <f>April!AM6</f>
        <v>0</v>
      </c>
      <c r="U6" s="8">
        <f>April!AN6</f>
        <v>0</v>
      </c>
      <c r="V6" s="9">
        <f>April!AO6</f>
        <v>0</v>
      </c>
      <c r="W6" s="10">
        <f>April!AP6</f>
        <v>0</v>
      </c>
      <c r="X6" s="11">
        <f>April!AQ6</f>
        <v>0</v>
      </c>
      <c r="Y6" s="4" t="e">
        <f>#REF!</f>
        <v>#REF!</v>
      </c>
      <c r="Z6" s="5" t="e">
        <f>#REF!</f>
        <v>#REF!</v>
      </c>
      <c r="AA6" s="6" t="e">
        <f>#REF!</f>
        <v>#REF!</v>
      </c>
      <c r="AB6" s="7" t="e">
        <f>#REF!</f>
        <v>#REF!</v>
      </c>
      <c r="AC6" s="7" t="e">
        <f>#REF!</f>
        <v>#REF!</v>
      </c>
      <c r="AD6" s="7" t="e">
        <f>#REF!</f>
        <v>#REF!</v>
      </c>
      <c r="AE6" s="7" t="e">
        <f>#REF!</f>
        <v>#REF!</v>
      </c>
      <c r="AF6" s="8" t="e">
        <f>#REF!</f>
        <v>#REF!</v>
      </c>
      <c r="AG6" s="9" t="e">
        <f>#REF!</f>
        <v>#REF!</v>
      </c>
      <c r="AH6" s="10" t="e">
        <f>#REF!</f>
        <v>#REF!</v>
      </c>
      <c r="AI6" s="11" t="e">
        <f>#REF!</f>
        <v>#REF!</v>
      </c>
      <c r="AJ6" s="4">
        <f>June!AG6</f>
        <v>22</v>
      </c>
      <c r="AK6" s="5">
        <f>June!AH6</f>
        <v>22</v>
      </c>
      <c r="AL6" s="6">
        <f>June!AI6</f>
        <v>0</v>
      </c>
      <c r="AM6" s="7">
        <f>June!AJ6</f>
        <v>0</v>
      </c>
      <c r="AN6" s="7">
        <f>June!AK6</f>
        <v>0</v>
      </c>
      <c r="AO6" s="7">
        <f>June!AL6</f>
        <v>0</v>
      </c>
      <c r="AP6" s="7">
        <f>June!AM6</f>
        <v>0</v>
      </c>
      <c r="AQ6" s="8">
        <f>June!AN6</f>
        <v>0</v>
      </c>
      <c r="AR6" s="9">
        <f>June!AO6</f>
        <v>22</v>
      </c>
      <c r="AS6" s="10">
        <f>June!AP6</f>
        <v>0</v>
      </c>
      <c r="AT6" s="11">
        <f>June!AQ6</f>
        <v>100</v>
      </c>
      <c r="AU6" s="4">
        <f>July!AH6</f>
        <v>23</v>
      </c>
      <c r="AV6" s="5">
        <f>July!AI6</f>
        <v>18</v>
      </c>
      <c r="AW6" s="6">
        <f>July!AJ6</f>
        <v>0</v>
      </c>
      <c r="AX6" s="7">
        <f>July!AK6</f>
        <v>0</v>
      </c>
      <c r="AY6" s="7">
        <f>July!AL6</f>
        <v>0</v>
      </c>
      <c r="AZ6" s="7">
        <f>July!AM6</f>
        <v>0</v>
      </c>
      <c r="BA6" s="7">
        <f>July!AN6</f>
        <v>0</v>
      </c>
      <c r="BB6" s="8">
        <f>July!AO6</f>
        <v>0</v>
      </c>
      <c r="BC6" s="9">
        <f>July!AP6</f>
        <v>18</v>
      </c>
      <c r="BD6" s="10">
        <f>July!AQ6</f>
        <v>0</v>
      </c>
      <c r="BE6" s="11">
        <f>July!AR6</f>
        <v>78.260869565217391</v>
      </c>
      <c r="BF6" s="4" t="e">
        <f>#REF!</f>
        <v>#REF!</v>
      </c>
      <c r="BG6" s="5" t="e">
        <f>#REF!</f>
        <v>#REF!</v>
      </c>
      <c r="BH6" s="6" t="e">
        <f>#REF!</f>
        <v>#REF!</v>
      </c>
      <c r="BI6" s="7" t="e">
        <f>#REF!</f>
        <v>#REF!</v>
      </c>
      <c r="BJ6" s="7" t="e">
        <f>#REF!</f>
        <v>#REF!</v>
      </c>
      <c r="BK6" s="7" t="e">
        <f>#REF!</f>
        <v>#REF!</v>
      </c>
      <c r="BL6" s="7" t="e">
        <f>#REF!</f>
        <v>#REF!</v>
      </c>
      <c r="BM6" s="8" t="e">
        <f>#REF!</f>
        <v>#REF!</v>
      </c>
      <c r="BN6" s="9" t="e">
        <f>#REF!</f>
        <v>#REF!</v>
      </c>
      <c r="BO6" s="10" t="e">
        <f>#REF!</f>
        <v>#REF!</v>
      </c>
      <c r="BP6" s="11" t="e">
        <f>#REF!</f>
        <v>#REF!</v>
      </c>
      <c r="BQ6" s="4" t="e">
        <f>#REF!</f>
        <v>#REF!</v>
      </c>
      <c r="BR6" s="5" t="e">
        <f>#REF!</f>
        <v>#REF!</v>
      </c>
      <c r="BS6" s="6" t="e">
        <f>#REF!</f>
        <v>#REF!</v>
      </c>
      <c r="BT6" s="7" t="e">
        <f>#REF!</f>
        <v>#REF!</v>
      </c>
      <c r="BU6" s="7" t="e">
        <f>#REF!</f>
        <v>#REF!</v>
      </c>
      <c r="BV6" s="7" t="e">
        <f>#REF!</f>
        <v>#REF!</v>
      </c>
      <c r="BW6" s="7" t="e">
        <f>#REF!</f>
        <v>#REF!</v>
      </c>
      <c r="BX6" s="8" t="e">
        <f>#REF!</f>
        <v>#REF!</v>
      </c>
      <c r="BY6" s="9" t="e">
        <f>#REF!</f>
        <v>#REF!</v>
      </c>
      <c r="BZ6" s="10" t="e">
        <f>#REF!</f>
        <v>#REF!</v>
      </c>
      <c r="CA6" s="11" t="e">
        <f>#REF!</f>
        <v>#REF!</v>
      </c>
      <c r="CB6" s="12" t="e">
        <f t="shared" si="0"/>
        <v>#REF!</v>
      </c>
      <c r="CC6" s="13" t="e">
        <f t="shared" si="0"/>
        <v>#REF!</v>
      </c>
      <c r="CD6" s="14" t="e">
        <f>AVERAGE(M6,X6,AI6,AT6,BE6,BP6,CA6)</f>
        <v>#REF!</v>
      </c>
    </row>
  </sheetData>
  <mergeCells count="13">
    <mergeCell ref="BQ2:CA2"/>
    <mergeCell ref="CB2:CB3"/>
    <mergeCell ref="CC2:CC3"/>
    <mergeCell ref="CD2:CD3"/>
    <mergeCell ref="A1:BH1"/>
    <mergeCell ref="A2:A3"/>
    <mergeCell ref="B2:B3"/>
    <mergeCell ref="C2:M2"/>
    <mergeCell ref="N2:X2"/>
    <mergeCell ref="Y2:AI2"/>
    <mergeCell ref="AJ2:AT2"/>
    <mergeCell ref="AU2:BE2"/>
    <mergeCell ref="BF2:B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R1"/>
    </sheetView>
  </sheetViews>
  <sheetFormatPr defaultColWidth="8.6328125" defaultRowHeight="14.5" x14ac:dyDescent="0.35"/>
  <cols>
    <col min="1" max="1" width="5" customWidth="1"/>
    <col min="2" max="2" width="22" customWidth="1"/>
    <col min="3" max="33" width="4.453125" customWidth="1"/>
    <col min="34" max="44" width="8" customWidth="1"/>
  </cols>
  <sheetData>
    <row r="1" spans="1:44" ht="36" customHeight="1" x14ac:dyDescent="0.35">
      <c r="A1" s="48" t="s">
        <v>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</row>
    <row r="2" spans="1:44" ht="30" customHeight="1" x14ac:dyDescent="0.35">
      <c r="A2" s="17" t="s">
        <v>1</v>
      </c>
      <c r="B2" s="17" t="s">
        <v>2</v>
      </c>
      <c r="C2" s="18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7" t="s">
        <v>34</v>
      </c>
      <c r="J2" s="18" t="s">
        <v>35</v>
      </c>
      <c r="K2" s="17" t="s">
        <v>36</v>
      </c>
      <c r="L2" s="17" t="s">
        <v>37</v>
      </c>
      <c r="M2" s="17" t="s">
        <v>38</v>
      </c>
      <c r="N2" s="17" t="s">
        <v>39</v>
      </c>
      <c r="O2" s="17" t="s">
        <v>40</v>
      </c>
      <c r="P2" s="17" t="s">
        <v>41</v>
      </c>
      <c r="Q2" s="18" t="s">
        <v>42</v>
      </c>
      <c r="R2" s="17" t="s">
        <v>43</v>
      </c>
      <c r="S2" s="17" t="s">
        <v>44</v>
      </c>
      <c r="T2" s="17" t="s">
        <v>45</v>
      </c>
      <c r="U2" s="17" t="s">
        <v>46</v>
      </c>
      <c r="V2" s="17" t="s">
        <v>47</v>
      </c>
      <c r="W2" s="17" t="s">
        <v>48</v>
      </c>
      <c r="X2" s="18" t="s">
        <v>49</v>
      </c>
      <c r="Y2" s="17" t="s">
        <v>50</v>
      </c>
      <c r="Z2" s="17" t="s">
        <v>51</v>
      </c>
      <c r="AA2" s="17" t="s">
        <v>52</v>
      </c>
      <c r="AB2" s="17" t="s">
        <v>53</v>
      </c>
      <c r="AC2" s="17" t="s">
        <v>54</v>
      </c>
      <c r="AD2" s="17" t="s">
        <v>55</v>
      </c>
      <c r="AE2" s="18" t="s">
        <v>56</v>
      </c>
      <c r="AF2" s="17" t="s">
        <v>57</v>
      </c>
      <c r="AG2" s="17" t="s">
        <v>58</v>
      </c>
      <c r="AH2" s="47" t="s">
        <v>59</v>
      </c>
      <c r="AI2" s="47" t="s">
        <v>60</v>
      </c>
      <c r="AJ2" s="47" t="s">
        <v>15</v>
      </c>
      <c r="AK2" s="47" t="s">
        <v>61</v>
      </c>
      <c r="AL2" s="47" t="s">
        <v>17</v>
      </c>
      <c r="AM2" s="47" t="s">
        <v>18</v>
      </c>
      <c r="AN2" s="47" t="s">
        <v>19</v>
      </c>
      <c r="AO2" s="47" t="s">
        <v>62</v>
      </c>
      <c r="AP2" s="47" t="s">
        <v>63</v>
      </c>
      <c r="AQ2" s="47" t="s">
        <v>64</v>
      </c>
      <c r="AR2" s="47" t="s">
        <v>65</v>
      </c>
    </row>
    <row r="3" spans="1:44" ht="24" customHeight="1" x14ac:dyDescent="0.35">
      <c r="A3" s="17" t="s">
        <v>66</v>
      </c>
      <c r="B3" s="17" t="s">
        <v>67</v>
      </c>
      <c r="C3" s="19" t="s">
        <v>68</v>
      </c>
      <c r="D3" s="20" t="s">
        <v>69</v>
      </c>
      <c r="E3" s="20" t="s">
        <v>70</v>
      </c>
      <c r="F3" s="20" t="s">
        <v>71</v>
      </c>
      <c r="G3" s="20" t="s">
        <v>72</v>
      </c>
      <c r="H3" s="20" t="s">
        <v>73</v>
      </c>
      <c r="I3" s="20" t="s">
        <v>74</v>
      </c>
      <c r="J3" s="19" t="s">
        <v>68</v>
      </c>
      <c r="K3" s="20" t="s">
        <v>69</v>
      </c>
      <c r="L3" s="20" t="s">
        <v>70</v>
      </c>
      <c r="M3" s="20" t="s">
        <v>71</v>
      </c>
      <c r="N3" s="20" t="s">
        <v>72</v>
      </c>
      <c r="O3" s="20" t="s">
        <v>73</v>
      </c>
      <c r="P3" s="20" t="s">
        <v>74</v>
      </c>
      <c r="Q3" s="19" t="s">
        <v>68</v>
      </c>
      <c r="R3" s="20" t="s">
        <v>69</v>
      </c>
      <c r="S3" s="20" t="s">
        <v>70</v>
      </c>
      <c r="T3" s="20" t="s">
        <v>71</v>
      </c>
      <c r="U3" s="20" t="s">
        <v>72</v>
      </c>
      <c r="V3" s="20" t="s">
        <v>73</v>
      </c>
      <c r="W3" s="20" t="s">
        <v>74</v>
      </c>
      <c r="X3" s="19" t="s">
        <v>68</v>
      </c>
      <c r="Y3" s="20" t="s">
        <v>69</v>
      </c>
      <c r="Z3" s="20" t="s">
        <v>70</v>
      </c>
      <c r="AA3" s="20" t="s">
        <v>71</v>
      </c>
      <c r="AB3" s="20" t="s">
        <v>72</v>
      </c>
      <c r="AC3" s="20" t="s">
        <v>73</v>
      </c>
      <c r="AD3" s="20" t="s">
        <v>74</v>
      </c>
      <c r="AE3" s="19" t="s">
        <v>68</v>
      </c>
      <c r="AF3" s="20" t="s">
        <v>69</v>
      </c>
      <c r="AG3" s="20" t="s">
        <v>70</v>
      </c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</row>
    <row r="4" spans="1:44" ht="19.5" customHeight="1" x14ac:dyDescent="0.35">
      <c r="A4" s="2">
        <v>1</v>
      </c>
      <c r="B4" s="3" t="s">
        <v>24</v>
      </c>
      <c r="C4" s="21" t="s">
        <v>75</v>
      </c>
      <c r="D4" s="22"/>
      <c r="E4" s="22"/>
      <c r="F4" s="22"/>
      <c r="G4" s="22"/>
      <c r="H4" s="22"/>
      <c r="I4" s="22"/>
      <c r="J4" s="21" t="s">
        <v>75</v>
      </c>
      <c r="K4" s="22"/>
      <c r="L4" s="22"/>
      <c r="M4" s="22"/>
      <c r="N4" s="22"/>
      <c r="O4" s="22"/>
      <c r="P4" s="22"/>
      <c r="Q4" s="21" t="s">
        <v>75</v>
      </c>
      <c r="R4" s="22"/>
      <c r="S4" s="22"/>
      <c r="T4" s="22"/>
      <c r="U4" s="22"/>
      <c r="V4" s="22"/>
      <c r="W4" s="22"/>
      <c r="X4" s="21" t="s">
        <v>75</v>
      </c>
      <c r="Y4" s="22"/>
      <c r="Z4" s="22"/>
      <c r="AA4" s="22"/>
      <c r="AB4" s="22"/>
      <c r="AC4" s="22"/>
      <c r="AD4" s="22"/>
      <c r="AE4" s="21" t="s">
        <v>75</v>
      </c>
      <c r="AF4" s="22"/>
      <c r="AG4" s="22"/>
      <c r="AH4" s="4">
        <f>31-COUNTIF(C4:AG4,"WO")-COUNTIF(C4:AG4,"H")</f>
        <v>26</v>
      </c>
      <c r="AI4" s="5">
        <f>COUNTIF(C4:AG4,"P")</f>
        <v>0</v>
      </c>
      <c r="AJ4" s="6">
        <f>COUNTIF(C4:AG4,"WFH")</f>
        <v>0</v>
      </c>
      <c r="AK4" s="7">
        <f>COUNTIF(C4:AG4,"HD")</f>
        <v>0</v>
      </c>
      <c r="AL4" s="7">
        <f>COUNTIF(C4:AG4,"EL")</f>
        <v>0</v>
      </c>
      <c r="AM4" s="7">
        <f>COUNTIF(C4:AG4,"SL")</f>
        <v>0</v>
      </c>
      <c r="AN4" s="7">
        <f>COUNTIF(C4:AG4,"CL")</f>
        <v>0</v>
      </c>
      <c r="AO4" s="8">
        <f>COUNTIF(C4:AG4,"LOP")</f>
        <v>0</v>
      </c>
      <c r="AP4" s="12">
        <f>AI4+AJ4+AK4*0.5+AL4+AM4+AN4</f>
        <v>0</v>
      </c>
      <c r="AQ4" s="23">
        <f>AO4</f>
        <v>0</v>
      </c>
      <c r="AR4" s="14">
        <f>IFERROR(AP4/AH4*100,0)</f>
        <v>0</v>
      </c>
    </row>
    <row r="5" spans="1:44" ht="19.5" customHeight="1" x14ac:dyDescent="0.35">
      <c r="A5" s="15">
        <v>2</v>
      </c>
      <c r="B5" s="16" t="s">
        <v>25</v>
      </c>
      <c r="C5" s="21" t="s">
        <v>75</v>
      </c>
      <c r="D5" s="24"/>
      <c r="E5" s="24"/>
      <c r="F5" s="24"/>
      <c r="G5" s="24"/>
      <c r="H5" s="24"/>
      <c r="I5" s="24"/>
      <c r="J5" s="21" t="s">
        <v>75</v>
      </c>
      <c r="K5" s="24"/>
      <c r="L5" s="24"/>
      <c r="M5" s="24"/>
      <c r="N5" s="24"/>
      <c r="O5" s="24"/>
      <c r="P5" s="24"/>
      <c r="Q5" s="21" t="s">
        <v>75</v>
      </c>
      <c r="R5" s="24"/>
      <c r="S5" s="24"/>
      <c r="T5" s="24"/>
      <c r="U5" s="24"/>
      <c r="V5" s="24"/>
      <c r="W5" s="24"/>
      <c r="X5" s="21" t="s">
        <v>75</v>
      </c>
      <c r="Y5" s="24"/>
      <c r="Z5" s="24"/>
      <c r="AA5" s="24"/>
      <c r="AB5" s="24"/>
      <c r="AC5" s="24"/>
      <c r="AD5" s="24"/>
      <c r="AE5" s="21" t="s">
        <v>75</v>
      </c>
      <c r="AF5" s="24"/>
      <c r="AG5" s="24"/>
      <c r="AH5" s="4">
        <f>31-COUNTIF(C5:AG5,"WO")-COUNTIF(C5:AG5,"H")</f>
        <v>26</v>
      </c>
      <c r="AI5" s="5">
        <f>COUNTIF(C5:AG5,"P")</f>
        <v>0</v>
      </c>
      <c r="AJ5" s="6">
        <f>COUNTIF(C5:AG5,"WFH")</f>
        <v>0</v>
      </c>
      <c r="AK5" s="7">
        <f>COUNTIF(C5:AG5,"HD")</f>
        <v>0</v>
      </c>
      <c r="AL5" s="7">
        <f>COUNTIF(C5:AG5,"EL")</f>
        <v>0</v>
      </c>
      <c r="AM5" s="7">
        <f>COUNTIF(C5:AG5,"SL")</f>
        <v>0</v>
      </c>
      <c r="AN5" s="7">
        <f>COUNTIF(C5:AG5,"CL")</f>
        <v>0</v>
      </c>
      <c r="AO5" s="8">
        <f>COUNTIF(C5:AG5,"LOP")</f>
        <v>0</v>
      </c>
      <c r="AP5" s="12">
        <f>AI5+AJ5+AK5*0.5+AL5+AM5+AN5</f>
        <v>0</v>
      </c>
      <c r="AQ5" s="23">
        <f>AO5</f>
        <v>0</v>
      </c>
      <c r="AR5" s="14">
        <f>IFERROR(AP5/AH5*100,0)</f>
        <v>0</v>
      </c>
    </row>
    <row r="6" spans="1:44" ht="19.5" customHeight="1" x14ac:dyDescent="0.35">
      <c r="A6" s="2">
        <v>3</v>
      </c>
      <c r="B6" s="3" t="s">
        <v>26</v>
      </c>
      <c r="C6" s="21" t="s">
        <v>75</v>
      </c>
      <c r="D6" s="22"/>
      <c r="E6" s="22"/>
      <c r="F6" s="22"/>
      <c r="G6" s="22"/>
      <c r="H6" s="22"/>
      <c r="I6" s="22"/>
      <c r="J6" s="21" t="s">
        <v>75</v>
      </c>
      <c r="K6" s="22"/>
      <c r="L6" s="22"/>
      <c r="M6" s="22"/>
      <c r="N6" s="22"/>
      <c r="O6" s="22"/>
      <c r="P6" s="22"/>
      <c r="Q6" s="21" t="s">
        <v>75</v>
      </c>
      <c r="R6" s="22"/>
      <c r="S6" s="22"/>
      <c r="T6" s="22"/>
      <c r="U6" s="22"/>
      <c r="V6" s="22"/>
      <c r="W6" s="22"/>
      <c r="X6" s="21" t="s">
        <v>75</v>
      </c>
      <c r="Y6" s="22"/>
      <c r="Z6" s="22"/>
      <c r="AA6" s="22"/>
      <c r="AB6" s="22"/>
      <c r="AC6" s="22"/>
      <c r="AD6" s="22"/>
      <c r="AE6" s="21" t="s">
        <v>75</v>
      </c>
      <c r="AF6" s="22"/>
      <c r="AG6" s="22"/>
      <c r="AH6" s="4">
        <f>31-COUNTIF(C6:AG6,"WO")-COUNTIF(C6:AG6,"H")</f>
        <v>26</v>
      </c>
      <c r="AI6" s="5">
        <f>COUNTIF(C6:AG6,"P")</f>
        <v>0</v>
      </c>
      <c r="AJ6" s="6">
        <f>COUNTIF(C6:AG6,"WFH")</f>
        <v>0</v>
      </c>
      <c r="AK6" s="7">
        <f>COUNTIF(C6:AG6,"HD")</f>
        <v>0</v>
      </c>
      <c r="AL6" s="7">
        <f>COUNTIF(C6:AG6,"EL")</f>
        <v>0</v>
      </c>
      <c r="AM6" s="7">
        <f>COUNTIF(C6:AG6,"SL")</f>
        <v>0</v>
      </c>
      <c r="AN6" s="7">
        <f>COUNTIF(C6:AG6,"CL")</f>
        <v>0</v>
      </c>
      <c r="AO6" s="8">
        <f>COUNTIF(C6:AG6,"LOP")</f>
        <v>0</v>
      </c>
      <c r="AP6" s="12">
        <f>AI6+AJ6+AK6*0.5+AL6+AM6+AN6</f>
        <v>0</v>
      </c>
      <c r="AQ6" s="23">
        <f>AO6</f>
        <v>0</v>
      </c>
      <c r="AR6" s="14">
        <f>IFERROR(AP6/AH6*100,0)</f>
        <v>0</v>
      </c>
    </row>
  </sheetData>
  <mergeCells count="12">
    <mergeCell ref="A1:AR1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dataValidations count="1">
    <dataValidation type="list" showErrorMessage="1" errorTitle="Invalid" error="Use: P,A,EL,SL,CL,LOP,WFH,H,HD,WO" sqref="C4:AG6" xr:uid="{00000000-0002-0000-01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Q1"/>
    </sheetView>
  </sheetViews>
  <sheetFormatPr defaultColWidth="8.6328125" defaultRowHeight="14.5" x14ac:dyDescent="0.35"/>
  <cols>
    <col min="1" max="1" width="5" customWidth="1"/>
    <col min="2" max="2" width="22" customWidth="1"/>
    <col min="3" max="32" width="4.453125" customWidth="1"/>
    <col min="33" max="43" width="8" customWidth="1"/>
  </cols>
  <sheetData>
    <row r="1" spans="1:43" ht="36" customHeight="1" x14ac:dyDescent="0.35">
      <c r="A1" s="48" t="s">
        <v>76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</row>
    <row r="2" spans="1:43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8" t="s">
        <v>32</v>
      </c>
      <c r="H2" s="17" t="s">
        <v>33</v>
      </c>
      <c r="I2" s="17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8" t="s">
        <v>39</v>
      </c>
      <c r="O2" s="17" t="s">
        <v>40</v>
      </c>
      <c r="P2" s="17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8" t="s">
        <v>46</v>
      </c>
      <c r="V2" s="17" t="s">
        <v>47</v>
      </c>
      <c r="W2" s="17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8" t="s">
        <v>53</v>
      </c>
      <c r="AC2" s="17" t="s">
        <v>54</v>
      </c>
      <c r="AD2" s="17" t="s">
        <v>55</v>
      </c>
      <c r="AE2" s="17" t="s">
        <v>56</v>
      </c>
      <c r="AF2" s="17" t="s">
        <v>57</v>
      </c>
      <c r="AG2" s="47" t="s">
        <v>59</v>
      </c>
      <c r="AH2" s="47" t="s">
        <v>60</v>
      </c>
      <c r="AI2" s="47" t="s">
        <v>15</v>
      </c>
      <c r="AJ2" s="47" t="s">
        <v>61</v>
      </c>
      <c r="AK2" s="47" t="s">
        <v>17</v>
      </c>
      <c r="AL2" s="47" t="s">
        <v>18</v>
      </c>
      <c r="AM2" s="47" t="s">
        <v>19</v>
      </c>
      <c r="AN2" s="47" t="s">
        <v>62</v>
      </c>
      <c r="AO2" s="47" t="s">
        <v>63</v>
      </c>
      <c r="AP2" s="47" t="s">
        <v>64</v>
      </c>
      <c r="AQ2" s="47" t="s">
        <v>65</v>
      </c>
    </row>
    <row r="3" spans="1:43" ht="24" customHeight="1" x14ac:dyDescent="0.35">
      <c r="A3" s="17" t="s">
        <v>66</v>
      </c>
      <c r="B3" s="17" t="s">
        <v>67</v>
      </c>
      <c r="C3" s="20" t="s">
        <v>71</v>
      </c>
      <c r="D3" s="20" t="s">
        <v>72</v>
      </c>
      <c r="E3" s="20" t="s">
        <v>73</v>
      </c>
      <c r="F3" s="20" t="s">
        <v>74</v>
      </c>
      <c r="G3" s="19" t="s">
        <v>68</v>
      </c>
      <c r="H3" s="20" t="s">
        <v>69</v>
      </c>
      <c r="I3" s="20" t="s">
        <v>70</v>
      </c>
      <c r="J3" s="20" t="s">
        <v>71</v>
      </c>
      <c r="K3" s="20" t="s">
        <v>72</v>
      </c>
      <c r="L3" s="20" t="s">
        <v>73</v>
      </c>
      <c r="M3" s="20" t="s">
        <v>74</v>
      </c>
      <c r="N3" s="19" t="s">
        <v>68</v>
      </c>
      <c r="O3" s="20" t="s">
        <v>69</v>
      </c>
      <c r="P3" s="20" t="s">
        <v>70</v>
      </c>
      <c r="Q3" s="20" t="s">
        <v>71</v>
      </c>
      <c r="R3" s="20" t="s">
        <v>72</v>
      </c>
      <c r="S3" s="20" t="s">
        <v>73</v>
      </c>
      <c r="T3" s="20" t="s">
        <v>74</v>
      </c>
      <c r="U3" s="19" t="s">
        <v>68</v>
      </c>
      <c r="V3" s="20" t="s">
        <v>69</v>
      </c>
      <c r="W3" s="20" t="s">
        <v>70</v>
      </c>
      <c r="X3" s="20" t="s">
        <v>71</v>
      </c>
      <c r="Y3" s="20" t="s">
        <v>72</v>
      </c>
      <c r="Z3" s="20" t="s">
        <v>73</v>
      </c>
      <c r="AA3" s="20" t="s">
        <v>74</v>
      </c>
      <c r="AB3" s="19" t="s">
        <v>68</v>
      </c>
      <c r="AC3" s="20" t="s">
        <v>69</v>
      </c>
      <c r="AD3" s="20" t="s">
        <v>70</v>
      </c>
      <c r="AE3" s="20" t="s">
        <v>71</v>
      </c>
      <c r="AF3" s="20" t="s">
        <v>72</v>
      </c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</row>
    <row r="4" spans="1:43" ht="19.5" customHeight="1" x14ac:dyDescent="0.35">
      <c r="A4" s="2">
        <v>1</v>
      </c>
      <c r="B4" s="3" t="s">
        <v>24</v>
      </c>
      <c r="C4" s="22"/>
      <c r="D4" s="22"/>
      <c r="E4" s="22"/>
      <c r="F4" s="22"/>
      <c r="G4" s="21" t="s">
        <v>75</v>
      </c>
      <c r="H4" s="22"/>
      <c r="I4" s="22"/>
      <c r="J4" s="22"/>
      <c r="K4" s="22"/>
      <c r="L4" s="22"/>
      <c r="M4" s="22"/>
      <c r="N4" s="21" t="s">
        <v>75</v>
      </c>
      <c r="O4" s="22"/>
      <c r="P4" s="22"/>
      <c r="Q4" s="22"/>
      <c r="R4" s="22"/>
      <c r="S4" s="22"/>
      <c r="T4" s="22"/>
      <c r="U4" s="21" t="s">
        <v>75</v>
      </c>
      <c r="V4" s="22"/>
      <c r="W4" s="22"/>
      <c r="X4" s="22"/>
      <c r="Y4" s="22"/>
      <c r="Z4" s="22"/>
      <c r="AA4" s="22"/>
      <c r="AB4" s="21" t="s">
        <v>75</v>
      </c>
      <c r="AC4" s="22"/>
      <c r="AD4" s="22"/>
      <c r="AE4" s="22"/>
      <c r="AF4" s="22"/>
      <c r="AG4" s="4">
        <f>30-COUNTIF(C4:AF4,"WO")-COUNTIF(C4:AF4,"H")</f>
        <v>26</v>
      </c>
      <c r="AH4" s="5">
        <f>COUNTIF(C4:AF4,"P")</f>
        <v>0</v>
      </c>
      <c r="AI4" s="6">
        <f>COUNTIF(C4:AF4,"WFH")</f>
        <v>0</v>
      </c>
      <c r="AJ4" s="7">
        <f>COUNTIF(C4:AF4,"HD")</f>
        <v>0</v>
      </c>
      <c r="AK4" s="7">
        <f>COUNTIF(C4:AF4,"EL")</f>
        <v>0</v>
      </c>
      <c r="AL4" s="7">
        <f>COUNTIF(C4:AF4,"SL")</f>
        <v>0</v>
      </c>
      <c r="AM4" s="7">
        <f>COUNTIF(C4:AF4,"CL")</f>
        <v>0</v>
      </c>
      <c r="AN4" s="8">
        <f>COUNTIF(C4:AF4,"LOP")</f>
        <v>0</v>
      </c>
      <c r="AO4" s="12">
        <f>AH4+AI4+AJ4*0.5+AK4+AL4+AM4</f>
        <v>0</v>
      </c>
      <c r="AP4" s="23">
        <f>AN4</f>
        <v>0</v>
      </c>
      <c r="AQ4" s="14">
        <f>IFERROR(AO4/AG4*100,0)</f>
        <v>0</v>
      </c>
    </row>
    <row r="5" spans="1:43" ht="19.5" customHeight="1" x14ac:dyDescent="0.35">
      <c r="A5" s="15">
        <v>2</v>
      </c>
      <c r="B5" s="16" t="s">
        <v>25</v>
      </c>
      <c r="C5" s="24"/>
      <c r="D5" s="24"/>
      <c r="E5" s="24"/>
      <c r="F5" s="24"/>
      <c r="G5" s="21" t="s">
        <v>75</v>
      </c>
      <c r="H5" s="24"/>
      <c r="I5" s="24"/>
      <c r="J5" s="24"/>
      <c r="K5" s="24"/>
      <c r="L5" s="24"/>
      <c r="M5" s="24"/>
      <c r="N5" s="21" t="s">
        <v>75</v>
      </c>
      <c r="O5" s="24"/>
      <c r="P5" s="24"/>
      <c r="Q5" s="24"/>
      <c r="R5" s="24"/>
      <c r="S5" s="24"/>
      <c r="T5" s="24"/>
      <c r="U5" s="21" t="s">
        <v>75</v>
      </c>
      <c r="V5" s="24"/>
      <c r="W5" s="24"/>
      <c r="X5" s="24"/>
      <c r="Y5" s="24"/>
      <c r="Z5" s="24"/>
      <c r="AA5" s="24"/>
      <c r="AB5" s="21" t="s">
        <v>75</v>
      </c>
      <c r="AC5" s="24"/>
      <c r="AD5" s="24"/>
      <c r="AE5" s="24"/>
      <c r="AF5" s="24"/>
      <c r="AG5" s="4">
        <f>30-COUNTIF(C5:AF5,"WO")-COUNTIF(C5:AF5,"H")</f>
        <v>26</v>
      </c>
      <c r="AH5" s="5">
        <f>COUNTIF(C5:AF5,"P")</f>
        <v>0</v>
      </c>
      <c r="AI5" s="6">
        <f>COUNTIF(C5:AF5,"WFH")</f>
        <v>0</v>
      </c>
      <c r="AJ5" s="7">
        <f>COUNTIF(C5:AF5,"HD")</f>
        <v>0</v>
      </c>
      <c r="AK5" s="7">
        <f>COUNTIF(C5:AF5,"EL")</f>
        <v>0</v>
      </c>
      <c r="AL5" s="7">
        <f>COUNTIF(C5:AF5,"SL")</f>
        <v>0</v>
      </c>
      <c r="AM5" s="7">
        <f>COUNTIF(C5:AF5,"CL")</f>
        <v>0</v>
      </c>
      <c r="AN5" s="8">
        <f>COUNTIF(C5:AF5,"LOP")</f>
        <v>0</v>
      </c>
      <c r="AO5" s="12">
        <f>AH5+AI5+AJ5*0.5+AK5+AL5+AM5</f>
        <v>0</v>
      </c>
      <c r="AP5" s="23">
        <f>AN5</f>
        <v>0</v>
      </c>
      <c r="AQ5" s="14">
        <f>IFERROR(AO5/AG5*100,0)</f>
        <v>0</v>
      </c>
    </row>
    <row r="6" spans="1:43" ht="19.5" customHeight="1" x14ac:dyDescent="0.35">
      <c r="A6" s="2">
        <v>3</v>
      </c>
      <c r="B6" s="3" t="s">
        <v>26</v>
      </c>
      <c r="C6" s="22"/>
      <c r="D6" s="22"/>
      <c r="E6" s="22"/>
      <c r="F6" s="22"/>
      <c r="G6" s="21" t="s">
        <v>75</v>
      </c>
      <c r="H6" s="22"/>
      <c r="I6" s="22"/>
      <c r="J6" s="22"/>
      <c r="K6" s="22"/>
      <c r="L6" s="22"/>
      <c r="M6" s="22"/>
      <c r="N6" s="21" t="s">
        <v>75</v>
      </c>
      <c r="O6" s="22"/>
      <c r="P6" s="22"/>
      <c r="Q6" s="22"/>
      <c r="R6" s="22"/>
      <c r="S6" s="22"/>
      <c r="T6" s="22"/>
      <c r="U6" s="21" t="s">
        <v>75</v>
      </c>
      <c r="V6" s="22"/>
      <c r="W6" s="22"/>
      <c r="X6" s="22"/>
      <c r="Y6" s="22"/>
      <c r="Z6" s="22"/>
      <c r="AA6" s="22"/>
      <c r="AB6" s="21" t="s">
        <v>75</v>
      </c>
      <c r="AC6" s="22"/>
      <c r="AD6" s="22"/>
      <c r="AE6" s="22"/>
      <c r="AF6" s="22"/>
      <c r="AG6" s="4">
        <f>30-COUNTIF(C6:AF6,"WO")-COUNTIF(C6:AF6,"H")</f>
        <v>26</v>
      </c>
      <c r="AH6" s="5">
        <f>COUNTIF(C6:AF6,"P")</f>
        <v>0</v>
      </c>
      <c r="AI6" s="6">
        <f>COUNTIF(C6:AF6,"WFH")</f>
        <v>0</v>
      </c>
      <c r="AJ6" s="7">
        <f>COUNTIF(C6:AF6,"HD")</f>
        <v>0</v>
      </c>
      <c r="AK6" s="7">
        <f>COUNTIF(C6:AF6,"EL")</f>
        <v>0</v>
      </c>
      <c r="AL6" s="7">
        <f>COUNTIF(C6:AF6,"SL")</f>
        <v>0</v>
      </c>
      <c r="AM6" s="7">
        <f>COUNTIF(C6:AF6,"CL")</f>
        <v>0</v>
      </c>
      <c r="AN6" s="8">
        <f>COUNTIF(C6:AF6,"LOP")</f>
        <v>0</v>
      </c>
      <c r="AO6" s="12">
        <f>AH6+AI6+AJ6*0.5+AK6+AL6+AM6</f>
        <v>0</v>
      </c>
      <c r="AP6" s="23">
        <f>AN6</f>
        <v>0</v>
      </c>
      <c r="AQ6" s="14">
        <f>IFERROR(AO6/AG6*100,0)</f>
        <v>0</v>
      </c>
    </row>
  </sheetData>
  <mergeCells count="12">
    <mergeCell ref="A1:AQ1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dataValidations count="1">
    <dataValidation type="list" showErrorMessage="1" errorTitle="Invalid" error="Use: P,A,EL,SL,CL,LOP,WFH,H,HD,WO" sqref="C4:AF6" xr:uid="{00000000-0002-0000-02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73"/>
  <sheetViews>
    <sheetView showGridLines="0" zoomScale="85" zoomScaleNormal="85" workbookViewId="0">
      <pane xSplit="2" ySplit="3" topLeftCell="AB61" activePane="bottomRight" state="frozen"/>
      <selection pane="topRight" activeCell="C1" sqref="C1"/>
      <selection pane="bottomLeft" activeCell="A4" sqref="A4"/>
      <selection pane="bottomRight" activeCell="A14" sqref="A14:XFD14"/>
    </sheetView>
  </sheetViews>
  <sheetFormatPr defaultColWidth="8.6328125" defaultRowHeight="14.5" x14ac:dyDescent="0.35"/>
  <cols>
    <col min="1" max="1" width="5" customWidth="1"/>
    <col min="2" max="2" width="22" customWidth="1"/>
    <col min="3" max="27" width="4.453125" hidden="1" customWidth="1"/>
    <col min="28" max="32" width="4.453125" customWidth="1"/>
    <col min="33" max="43" width="8" hidden="1" customWidth="1"/>
  </cols>
  <sheetData>
    <row r="1" spans="1:44" ht="36" customHeight="1" x14ac:dyDescent="0.35">
      <c r="A1" s="48" t="s">
        <v>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</row>
    <row r="2" spans="1:44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8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7" t="s">
        <v>39</v>
      </c>
      <c r="O2" s="17" t="s">
        <v>40</v>
      </c>
      <c r="P2" s="18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7" t="s">
        <v>46</v>
      </c>
      <c r="V2" s="17" t="s">
        <v>47</v>
      </c>
      <c r="W2" s="18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7" t="s">
        <v>53</v>
      </c>
      <c r="AC2" s="17" t="s">
        <v>54</v>
      </c>
      <c r="AD2" s="18" t="s">
        <v>55</v>
      </c>
      <c r="AE2" s="17" t="s">
        <v>56</v>
      </c>
      <c r="AF2" s="17" t="s">
        <v>57</v>
      </c>
      <c r="AG2" s="47" t="s">
        <v>59</v>
      </c>
      <c r="AH2" s="47" t="s">
        <v>60</v>
      </c>
      <c r="AI2" s="47" t="s">
        <v>15</v>
      </c>
      <c r="AJ2" s="47" t="s">
        <v>61</v>
      </c>
      <c r="AK2" s="47" t="s">
        <v>17</v>
      </c>
      <c r="AL2" s="47" t="s">
        <v>18</v>
      </c>
      <c r="AM2" s="47" t="s">
        <v>19</v>
      </c>
      <c r="AN2" s="47" t="s">
        <v>62</v>
      </c>
      <c r="AO2" s="47" t="s">
        <v>63</v>
      </c>
      <c r="AP2" s="47" t="s">
        <v>64</v>
      </c>
      <c r="AQ2" s="47" t="s">
        <v>65</v>
      </c>
    </row>
    <row r="3" spans="1:44" ht="24" customHeight="1" x14ac:dyDescent="0.35">
      <c r="A3" s="17" t="s">
        <v>66</v>
      </c>
      <c r="B3" s="17" t="s">
        <v>67</v>
      </c>
      <c r="C3" s="20" t="s">
        <v>69</v>
      </c>
      <c r="D3" s="20" t="s">
        <v>70</v>
      </c>
      <c r="E3" s="20" t="s">
        <v>71</v>
      </c>
      <c r="F3" s="20" t="s">
        <v>72</v>
      </c>
      <c r="G3" s="20" t="s">
        <v>73</v>
      </c>
      <c r="H3" s="20" t="s">
        <v>74</v>
      </c>
      <c r="I3" s="19" t="s">
        <v>68</v>
      </c>
      <c r="J3" s="20" t="s">
        <v>69</v>
      </c>
      <c r="K3" s="20" t="s">
        <v>70</v>
      </c>
      <c r="L3" s="20" t="s">
        <v>71</v>
      </c>
      <c r="M3" s="20" t="s">
        <v>72</v>
      </c>
      <c r="N3" s="20" t="s">
        <v>73</v>
      </c>
      <c r="O3" s="20" t="s">
        <v>74</v>
      </c>
      <c r="P3" s="19" t="s">
        <v>68</v>
      </c>
      <c r="Q3" s="20" t="s">
        <v>69</v>
      </c>
      <c r="R3" s="20" t="s">
        <v>70</v>
      </c>
      <c r="S3" s="20" t="s">
        <v>71</v>
      </c>
      <c r="T3" s="20" t="s">
        <v>72</v>
      </c>
      <c r="U3" s="20" t="s">
        <v>73</v>
      </c>
      <c r="V3" s="20" t="s">
        <v>74</v>
      </c>
      <c r="W3" s="19" t="s">
        <v>68</v>
      </c>
      <c r="X3" s="20" t="s">
        <v>69</v>
      </c>
      <c r="Y3" s="20" t="s">
        <v>70</v>
      </c>
      <c r="Z3" s="20" t="s">
        <v>71</v>
      </c>
      <c r="AA3" s="20" t="s">
        <v>72</v>
      </c>
      <c r="AB3" s="20" t="s">
        <v>73</v>
      </c>
      <c r="AC3" s="20" t="s">
        <v>74</v>
      </c>
      <c r="AD3" s="19" t="s">
        <v>68</v>
      </c>
      <c r="AE3" s="20" t="s">
        <v>69</v>
      </c>
      <c r="AF3" s="20" t="s">
        <v>70</v>
      </c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</row>
    <row r="4" spans="1:44" ht="19.5" customHeight="1" x14ac:dyDescent="0.35">
      <c r="A4" s="2">
        <v>1</v>
      </c>
      <c r="B4" s="3" t="s">
        <v>113</v>
      </c>
      <c r="C4" s="22" t="s">
        <v>81</v>
      </c>
      <c r="D4" s="22" t="s">
        <v>81</v>
      </c>
      <c r="E4" s="22" t="s">
        <v>81</v>
      </c>
      <c r="F4" s="22" t="s">
        <v>81</v>
      </c>
      <c r="G4" s="22" t="s">
        <v>81</v>
      </c>
      <c r="H4" s="21" t="s">
        <v>75</v>
      </c>
      <c r="I4" s="21" t="s">
        <v>75</v>
      </c>
      <c r="J4" s="22" t="s">
        <v>81</v>
      </c>
      <c r="K4" s="22" t="s">
        <v>15</v>
      </c>
      <c r="L4" s="22" t="s">
        <v>81</v>
      </c>
      <c r="M4" s="22" t="s">
        <v>81</v>
      </c>
      <c r="N4" s="22" t="s">
        <v>81</v>
      </c>
      <c r="O4" s="21" t="s">
        <v>75</v>
      </c>
      <c r="P4" s="21" t="s">
        <v>75</v>
      </c>
      <c r="Q4" s="22" t="s">
        <v>81</v>
      </c>
      <c r="R4" s="22" t="s">
        <v>81</v>
      </c>
      <c r="S4" s="22" t="s">
        <v>81</v>
      </c>
      <c r="T4" s="22" t="s">
        <v>81</v>
      </c>
      <c r="U4" s="22" t="s">
        <v>81</v>
      </c>
      <c r="V4" s="21" t="s">
        <v>75</v>
      </c>
      <c r="W4" s="21" t="s">
        <v>75</v>
      </c>
      <c r="X4" s="22" t="s">
        <v>81</v>
      </c>
      <c r="Y4" s="22" t="s">
        <v>81</v>
      </c>
      <c r="Z4" s="22" t="s">
        <v>81</v>
      </c>
      <c r="AA4" s="22" t="s">
        <v>81</v>
      </c>
      <c r="AB4" s="22" t="s">
        <v>81</v>
      </c>
      <c r="AC4" s="21" t="s">
        <v>75</v>
      </c>
      <c r="AD4" s="21" t="s">
        <v>75</v>
      </c>
      <c r="AE4" s="22" t="s">
        <v>81</v>
      </c>
      <c r="AF4" s="22" t="s">
        <v>81</v>
      </c>
      <c r="AG4" s="4">
        <f>30-COUNTIF(C4:AF4,"WO")-COUNTIF(C4:AF4,"H")</f>
        <v>22</v>
      </c>
      <c r="AH4" s="5">
        <f>COUNTIF(C4:AF4,"P")</f>
        <v>21</v>
      </c>
      <c r="AI4" s="6">
        <f>COUNTIF(C4:AF4,"WFH")</f>
        <v>1</v>
      </c>
      <c r="AJ4" s="7">
        <f>COUNTIF(C4:AF4,"HD")</f>
        <v>0</v>
      </c>
      <c r="AK4" s="7">
        <f>COUNTIF(C4:AF4,"EL")</f>
        <v>0</v>
      </c>
      <c r="AL4" s="7">
        <f>COUNTIF(C4:AF4,"SL")</f>
        <v>0</v>
      </c>
      <c r="AM4" s="7">
        <f>COUNTIF(C4:AF4,"CL")</f>
        <v>0</v>
      </c>
      <c r="AN4" s="8">
        <f>COUNTIF(C4:AF4,"LOP")</f>
        <v>0</v>
      </c>
      <c r="AO4" s="12">
        <f>AH4+AI4+AJ4*0.5+AK4+AL4+AM4</f>
        <v>22</v>
      </c>
      <c r="AP4" s="23">
        <f>AN4</f>
        <v>0</v>
      </c>
      <c r="AQ4" s="14">
        <f>IFERROR(AO4/AG4*100,0)</f>
        <v>100</v>
      </c>
    </row>
    <row r="5" spans="1:44" ht="19.5" customHeight="1" x14ac:dyDescent="0.35">
      <c r="A5" s="15">
        <v>2</v>
      </c>
      <c r="B5" s="3" t="s">
        <v>114</v>
      </c>
      <c r="C5" s="22" t="s">
        <v>81</v>
      </c>
      <c r="D5" s="22" t="s">
        <v>81</v>
      </c>
      <c r="E5" s="22" t="s">
        <v>81</v>
      </c>
      <c r="F5" s="22" t="s">
        <v>81</v>
      </c>
      <c r="G5" s="22" t="s">
        <v>81</v>
      </c>
      <c r="H5" s="21" t="s">
        <v>75</v>
      </c>
      <c r="I5" s="21" t="s">
        <v>75</v>
      </c>
      <c r="J5" s="24" t="s">
        <v>81</v>
      </c>
      <c r="K5" s="24" t="s">
        <v>81</v>
      </c>
      <c r="L5" s="24" t="s">
        <v>81</v>
      </c>
      <c r="M5" s="22" t="s">
        <v>81</v>
      </c>
      <c r="N5" s="22" t="s">
        <v>81</v>
      </c>
      <c r="O5" s="21" t="s">
        <v>75</v>
      </c>
      <c r="P5" s="21" t="s">
        <v>75</v>
      </c>
      <c r="Q5" s="24" t="s">
        <v>81</v>
      </c>
      <c r="R5" s="22" t="s">
        <v>81</v>
      </c>
      <c r="S5" s="22" t="s">
        <v>81</v>
      </c>
      <c r="T5" s="22" t="s">
        <v>81</v>
      </c>
      <c r="U5" s="22" t="s">
        <v>81</v>
      </c>
      <c r="V5" s="21" t="s">
        <v>75</v>
      </c>
      <c r="W5" s="21" t="s">
        <v>75</v>
      </c>
      <c r="X5" s="22" t="s">
        <v>81</v>
      </c>
      <c r="Y5" s="22" t="s">
        <v>81</v>
      </c>
      <c r="Z5" s="22" t="s">
        <v>81</v>
      </c>
      <c r="AA5" s="22" t="s">
        <v>81</v>
      </c>
      <c r="AB5" s="22" t="s">
        <v>81</v>
      </c>
      <c r="AC5" s="21" t="s">
        <v>75</v>
      </c>
      <c r="AD5" s="21" t="s">
        <v>75</v>
      </c>
      <c r="AE5" s="22" t="s">
        <v>81</v>
      </c>
      <c r="AF5" s="22" t="s">
        <v>81</v>
      </c>
      <c r="AG5" s="4">
        <f>30-COUNTIF(C5:AF5,"WO")-COUNTIF(C5:AF5,"H")</f>
        <v>22</v>
      </c>
      <c r="AH5" s="5">
        <f>COUNTIF(C5:AF5,"P")</f>
        <v>22</v>
      </c>
      <c r="AI5" s="6">
        <f>COUNTIF(C5:AF5,"WFH")</f>
        <v>0</v>
      </c>
      <c r="AJ5" s="7">
        <f>COUNTIF(C5:AF5,"HD")</f>
        <v>0</v>
      </c>
      <c r="AK5" s="7">
        <f>COUNTIF(C5:AF5,"EL")</f>
        <v>0</v>
      </c>
      <c r="AL5" s="7">
        <f>COUNTIF(C5:AF5,"SL")</f>
        <v>0</v>
      </c>
      <c r="AM5" s="7">
        <f>COUNTIF(C5:AF5,"CL")</f>
        <v>0</v>
      </c>
      <c r="AN5" s="8">
        <f>COUNTIF(C5:AF5,"LOP")</f>
        <v>0</v>
      </c>
      <c r="AO5" s="12">
        <f>AH5+AI5+AJ5*0.5+AK5+AL5+AM5</f>
        <v>22</v>
      </c>
      <c r="AP5" s="23">
        <f>AN5</f>
        <v>0</v>
      </c>
      <c r="AQ5" s="14">
        <f>IFERROR(AO5/AG5*100,0)</f>
        <v>100</v>
      </c>
    </row>
    <row r="6" spans="1:44" ht="19.5" customHeight="1" x14ac:dyDescent="0.35">
      <c r="A6" s="2">
        <v>3</v>
      </c>
      <c r="B6" s="3" t="s">
        <v>115</v>
      </c>
      <c r="C6" s="22" t="s">
        <v>81</v>
      </c>
      <c r="D6" s="22" t="s">
        <v>81</v>
      </c>
      <c r="E6" s="22" t="s">
        <v>81</v>
      </c>
      <c r="F6" s="22" t="s">
        <v>81</v>
      </c>
      <c r="G6" s="22" t="s">
        <v>81</v>
      </c>
      <c r="H6" s="21" t="s">
        <v>75</v>
      </c>
      <c r="I6" s="21" t="s">
        <v>75</v>
      </c>
      <c r="J6" s="22" t="s">
        <v>81</v>
      </c>
      <c r="K6" s="22" t="s">
        <v>81</v>
      </c>
      <c r="L6" s="22" t="s">
        <v>81</v>
      </c>
      <c r="M6" s="22" t="s">
        <v>81</v>
      </c>
      <c r="N6" s="22" t="s">
        <v>81</v>
      </c>
      <c r="O6" s="21" t="s">
        <v>75</v>
      </c>
      <c r="P6" s="21" t="s">
        <v>75</v>
      </c>
      <c r="Q6" s="22" t="s">
        <v>81</v>
      </c>
      <c r="R6" s="22" t="s">
        <v>81</v>
      </c>
      <c r="S6" s="22" t="s">
        <v>81</v>
      </c>
      <c r="T6" s="22" t="s">
        <v>81</v>
      </c>
      <c r="U6" s="22" t="s">
        <v>81</v>
      </c>
      <c r="V6" s="21" t="s">
        <v>75</v>
      </c>
      <c r="W6" s="21" t="s">
        <v>75</v>
      </c>
      <c r="X6" s="22" t="s">
        <v>81</v>
      </c>
      <c r="Y6" s="22" t="s">
        <v>81</v>
      </c>
      <c r="Z6" s="22" t="s">
        <v>81</v>
      </c>
      <c r="AA6" s="22" t="s">
        <v>81</v>
      </c>
      <c r="AB6" s="22" t="s">
        <v>81</v>
      </c>
      <c r="AC6" s="21" t="s">
        <v>75</v>
      </c>
      <c r="AD6" s="21" t="s">
        <v>75</v>
      </c>
      <c r="AE6" s="22" t="s">
        <v>81</v>
      </c>
      <c r="AF6" s="22" t="s">
        <v>81</v>
      </c>
      <c r="AG6" s="4">
        <f>30-COUNTIF(C6:AF6,"WO")-COUNTIF(C6:AF6,"H")</f>
        <v>22</v>
      </c>
      <c r="AH6" s="5">
        <f>COUNTIF(C6:AF6,"P")</f>
        <v>22</v>
      </c>
      <c r="AI6" s="6">
        <f>COUNTIF(C6:AF6,"WFH")</f>
        <v>0</v>
      </c>
      <c r="AJ6" s="7">
        <f>COUNTIF(C6:AF6,"HD")</f>
        <v>0</v>
      </c>
      <c r="AK6" s="7">
        <f>COUNTIF(C6:AF6,"EL")</f>
        <v>0</v>
      </c>
      <c r="AL6" s="7">
        <f>COUNTIF(C6:AF6,"SL")</f>
        <v>0</v>
      </c>
      <c r="AM6" s="7">
        <f>COUNTIF(C6:AF6,"CL")</f>
        <v>0</v>
      </c>
      <c r="AN6" s="8">
        <f>COUNTIF(C6:AF6,"LOP")</f>
        <v>0</v>
      </c>
      <c r="AO6" s="12">
        <f>AH6+AI6+AJ6*0.5+AK6+AL6+AM6</f>
        <v>22</v>
      </c>
      <c r="AP6" s="23">
        <f>AN6</f>
        <v>0</v>
      </c>
      <c r="AQ6" s="14">
        <f>IFERROR(AO6/AG6*100,0)</f>
        <v>100</v>
      </c>
    </row>
    <row r="7" spans="1:44" x14ac:dyDescent="0.35">
      <c r="A7" s="2">
        <v>4</v>
      </c>
      <c r="B7" s="3" t="s">
        <v>116</v>
      </c>
      <c r="C7" s="22" t="s">
        <v>81</v>
      </c>
      <c r="D7" s="22" t="s">
        <v>81</v>
      </c>
      <c r="E7" s="22" t="s">
        <v>81</v>
      </c>
      <c r="F7" s="22" t="s">
        <v>81</v>
      </c>
      <c r="G7" s="22" t="s">
        <v>81</v>
      </c>
      <c r="H7" s="21" t="s">
        <v>75</v>
      </c>
      <c r="I7" s="21" t="s">
        <v>75</v>
      </c>
      <c r="J7" s="22" t="s">
        <v>81</v>
      </c>
      <c r="K7" s="42" t="s">
        <v>20</v>
      </c>
      <c r="L7" s="22" t="s">
        <v>81</v>
      </c>
      <c r="M7" s="22" t="s">
        <v>81</v>
      </c>
      <c r="N7" s="22" t="s">
        <v>81</v>
      </c>
      <c r="O7" s="21" t="s">
        <v>75</v>
      </c>
      <c r="P7" s="21" t="s">
        <v>75</v>
      </c>
      <c r="Q7" s="22" t="s">
        <v>81</v>
      </c>
      <c r="R7" s="22" t="s">
        <v>81</v>
      </c>
      <c r="S7" s="22" t="s">
        <v>81</v>
      </c>
      <c r="T7" s="22" t="s">
        <v>81</v>
      </c>
      <c r="U7" s="22" t="s">
        <v>81</v>
      </c>
      <c r="V7" s="21" t="s">
        <v>75</v>
      </c>
      <c r="W7" s="21" t="s">
        <v>75</v>
      </c>
      <c r="X7" s="22" t="s">
        <v>81</v>
      </c>
      <c r="Y7" s="22" t="s">
        <v>81</v>
      </c>
      <c r="Z7" s="22" t="s">
        <v>81</v>
      </c>
      <c r="AA7" s="22" t="s">
        <v>81</v>
      </c>
      <c r="AB7" s="22" t="s">
        <v>81</v>
      </c>
      <c r="AC7" s="21" t="s">
        <v>75</v>
      </c>
      <c r="AD7" s="21" t="s">
        <v>75</v>
      </c>
      <c r="AE7" s="22" t="s">
        <v>81</v>
      </c>
      <c r="AF7" s="22" t="s">
        <v>81</v>
      </c>
      <c r="AG7" s="4">
        <f t="shared" ref="AG7:AG15" si="0">30-COUNTIF(C7:AF7,"WO")-COUNTIF(C7:AF7,"H")</f>
        <v>22</v>
      </c>
      <c r="AH7" s="5">
        <f t="shared" ref="AH7:AH15" si="1">COUNTIF(C7:AF7,"P")</f>
        <v>21</v>
      </c>
      <c r="AI7" s="6">
        <f t="shared" ref="AI7:AI15" si="2">COUNTIF(C7:AF7,"WFH")</f>
        <v>0</v>
      </c>
      <c r="AJ7" s="7">
        <f t="shared" ref="AJ7:AJ15" si="3">COUNTIF(C7:AF7,"HD")</f>
        <v>0</v>
      </c>
      <c r="AK7" s="7">
        <f t="shared" ref="AK7:AK15" si="4">COUNTIF(C7:AF7,"EL")</f>
        <v>0</v>
      </c>
      <c r="AL7" s="7">
        <f t="shared" ref="AL7:AL15" si="5">COUNTIF(C7:AF7,"SL")</f>
        <v>0</v>
      </c>
      <c r="AM7" s="7">
        <f t="shared" ref="AM7:AM15" si="6">COUNTIF(C7:AF7,"CL")</f>
        <v>0</v>
      </c>
      <c r="AN7" s="8">
        <f t="shared" ref="AN7:AN15" si="7">COUNTIF(C7:AF7,"LOP")</f>
        <v>1</v>
      </c>
      <c r="AO7" s="12">
        <f t="shared" ref="AO7:AO15" si="8">AH7+AI7+AJ7*0.5+AK7+AL7+AM7</f>
        <v>21</v>
      </c>
      <c r="AP7" s="23">
        <f t="shared" ref="AP7:AP15" si="9">AN7</f>
        <v>1</v>
      </c>
      <c r="AQ7" s="14">
        <f t="shared" ref="AQ7:AQ15" si="10">IFERROR(AO7/AG7*100,0)</f>
        <v>95.454545454545453</v>
      </c>
    </row>
    <row r="8" spans="1:44" x14ac:dyDescent="0.35">
      <c r="A8" s="2">
        <v>5</v>
      </c>
      <c r="B8" s="3" t="s">
        <v>117</v>
      </c>
      <c r="C8" s="22" t="s">
        <v>81</v>
      </c>
      <c r="D8" s="22" t="s">
        <v>81</v>
      </c>
      <c r="E8" s="22" t="s">
        <v>81</v>
      </c>
      <c r="F8" s="22" t="s">
        <v>81</v>
      </c>
      <c r="G8" s="22" t="s">
        <v>81</v>
      </c>
      <c r="H8" s="21" t="s">
        <v>75</v>
      </c>
      <c r="I8" s="21" t="s">
        <v>75</v>
      </c>
      <c r="J8" s="22" t="s">
        <v>81</v>
      </c>
      <c r="K8" s="22" t="s">
        <v>81</v>
      </c>
      <c r="L8" s="22" t="s">
        <v>81</v>
      </c>
      <c r="M8" s="22" t="s">
        <v>81</v>
      </c>
      <c r="N8" s="22" t="s">
        <v>81</v>
      </c>
      <c r="O8" s="21" t="s">
        <v>75</v>
      </c>
      <c r="P8" s="21" t="s">
        <v>75</v>
      </c>
      <c r="Q8" s="22" t="s">
        <v>81</v>
      </c>
      <c r="R8" s="22" t="s">
        <v>81</v>
      </c>
      <c r="S8" s="22" t="s">
        <v>81</v>
      </c>
      <c r="T8" s="22" t="s">
        <v>81</v>
      </c>
      <c r="U8" s="22" t="s">
        <v>81</v>
      </c>
      <c r="V8" s="21" t="s">
        <v>75</v>
      </c>
      <c r="W8" s="21" t="s">
        <v>75</v>
      </c>
      <c r="X8" s="22" t="s">
        <v>81</v>
      </c>
      <c r="Y8" s="22" t="s">
        <v>81</v>
      </c>
      <c r="Z8" s="22" t="s">
        <v>81</v>
      </c>
      <c r="AA8" s="22" t="s">
        <v>81</v>
      </c>
      <c r="AB8" s="22" t="s">
        <v>81</v>
      </c>
      <c r="AC8" s="21" t="s">
        <v>75</v>
      </c>
      <c r="AD8" s="21" t="s">
        <v>75</v>
      </c>
      <c r="AE8" s="22" t="s">
        <v>81</v>
      </c>
      <c r="AF8" s="22" t="s">
        <v>81</v>
      </c>
      <c r="AG8" s="4">
        <f t="shared" si="0"/>
        <v>22</v>
      </c>
      <c r="AH8" s="5">
        <f t="shared" si="1"/>
        <v>22</v>
      </c>
      <c r="AI8" s="6">
        <f t="shared" si="2"/>
        <v>0</v>
      </c>
      <c r="AJ8" s="7">
        <f t="shared" si="3"/>
        <v>0</v>
      </c>
      <c r="AK8" s="7">
        <f t="shared" si="4"/>
        <v>0</v>
      </c>
      <c r="AL8" s="7">
        <f t="shared" si="5"/>
        <v>0</v>
      </c>
      <c r="AM8" s="7">
        <f t="shared" si="6"/>
        <v>0</v>
      </c>
      <c r="AN8" s="8">
        <f t="shared" si="7"/>
        <v>0</v>
      </c>
      <c r="AO8" s="12">
        <f t="shared" si="8"/>
        <v>22</v>
      </c>
      <c r="AP8" s="23">
        <f t="shared" si="9"/>
        <v>0</v>
      </c>
      <c r="AQ8" s="14">
        <f t="shared" si="10"/>
        <v>100</v>
      </c>
    </row>
    <row r="9" spans="1:44" x14ac:dyDescent="0.35">
      <c r="A9" s="2">
        <v>6</v>
      </c>
      <c r="B9" s="3" t="s">
        <v>118</v>
      </c>
      <c r="C9" s="22" t="s">
        <v>81</v>
      </c>
      <c r="D9" s="22" t="s">
        <v>81</v>
      </c>
      <c r="E9" s="22" t="s">
        <v>81</v>
      </c>
      <c r="F9" s="22" t="s">
        <v>81</v>
      </c>
      <c r="G9" s="22" t="s">
        <v>81</v>
      </c>
      <c r="H9" s="21" t="s">
        <v>75</v>
      </c>
      <c r="I9" s="21" t="s">
        <v>75</v>
      </c>
      <c r="J9" s="22" t="s">
        <v>81</v>
      </c>
      <c r="K9" s="22" t="s">
        <v>81</v>
      </c>
      <c r="L9" s="22" t="s">
        <v>81</v>
      </c>
      <c r="M9" s="22" t="s">
        <v>81</v>
      </c>
      <c r="N9" s="22" t="s">
        <v>81</v>
      </c>
      <c r="O9" s="21" t="s">
        <v>75</v>
      </c>
      <c r="P9" s="21" t="s">
        <v>75</v>
      </c>
      <c r="Q9" s="22" t="s">
        <v>81</v>
      </c>
      <c r="R9" s="22" t="s">
        <v>81</v>
      </c>
      <c r="S9" s="22" t="s">
        <v>81</v>
      </c>
      <c r="T9" s="22" t="s">
        <v>81</v>
      </c>
      <c r="U9" s="22" t="s">
        <v>81</v>
      </c>
      <c r="V9" s="21" t="s">
        <v>75</v>
      </c>
      <c r="W9" s="21" t="s">
        <v>75</v>
      </c>
      <c r="X9" s="22" t="s">
        <v>81</v>
      </c>
      <c r="Y9" s="22" t="s">
        <v>81</v>
      </c>
      <c r="Z9" s="22" t="s">
        <v>81</v>
      </c>
      <c r="AA9" s="22" t="s">
        <v>81</v>
      </c>
      <c r="AB9" s="22" t="s">
        <v>81</v>
      </c>
      <c r="AC9" s="21" t="s">
        <v>75</v>
      </c>
      <c r="AD9" s="21" t="s">
        <v>75</v>
      </c>
      <c r="AE9" s="22" t="s">
        <v>81</v>
      </c>
      <c r="AF9" s="22" t="s">
        <v>81</v>
      </c>
      <c r="AG9" s="4">
        <f t="shared" si="0"/>
        <v>22</v>
      </c>
      <c r="AH9" s="5">
        <f t="shared" si="1"/>
        <v>22</v>
      </c>
      <c r="AI9" s="6">
        <f t="shared" si="2"/>
        <v>0</v>
      </c>
      <c r="AJ9" s="7">
        <f t="shared" si="3"/>
        <v>0</v>
      </c>
      <c r="AK9" s="7">
        <f t="shared" si="4"/>
        <v>0</v>
      </c>
      <c r="AL9" s="7">
        <f t="shared" si="5"/>
        <v>0</v>
      </c>
      <c r="AM9" s="7">
        <f t="shared" si="6"/>
        <v>0</v>
      </c>
      <c r="AN9" s="8">
        <f t="shared" si="7"/>
        <v>0</v>
      </c>
      <c r="AO9" s="12">
        <f t="shared" si="8"/>
        <v>22</v>
      </c>
      <c r="AP9" s="23">
        <f t="shared" si="9"/>
        <v>0</v>
      </c>
      <c r="AQ9" s="14">
        <f t="shared" si="10"/>
        <v>100</v>
      </c>
    </row>
    <row r="10" spans="1:44" x14ac:dyDescent="0.35">
      <c r="A10" s="2">
        <v>7</v>
      </c>
      <c r="B10" s="3" t="s">
        <v>119</v>
      </c>
      <c r="C10" s="22" t="s">
        <v>81</v>
      </c>
      <c r="D10" s="22" t="s">
        <v>81</v>
      </c>
      <c r="E10" s="22" t="s">
        <v>81</v>
      </c>
      <c r="F10" s="22" t="s">
        <v>81</v>
      </c>
      <c r="G10" s="22" t="s">
        <v>81</v>
      </c>
      <c r="H10" s="21" t="s">
        <v>75</v>
      </c>
      <c r="I10" s="21" t="s">
        <v>75</v>
      </c>
      <c r="J10" s="22" t="s">
        <v>81</v>
      </c>
      <c r="K10" s="22" t="s">
        <v>81</v>
      </c>
      <c r="L10" s="22" t="s">
        <v>81</v>
      </c>
      <c r="M10" s="22" t="s">
        <v>81</v>
      </c>
      <c r="N10" s="22" t="s">
        <v>81</v>
      </c>
      <c r="O10" s="21" t="s">
        <v>75</v>
      </c>
      <c r="P10" s="21" t="s">
        <v>75</v>
      </c>
      <c r="Q10" s="22" t="s">
        <v>81</v>
      </c>
      <c r="R10" s="22" t="s">
        <v>81</v>
      </c>
      <c r="S10" s="22" t="s">
        <v>15</v>
      </c>
      <c r="T10" s="42" t="s">
        <v>20</v>
      </c>
      <c r="U10" s="22" t="s">
        <v>15</v>
      </c>
      <c r="V10" s="21" t="s">
        <v>75</v>
      </c>
      <c r="W10" s="21" t="s">
        <v>75</v>
      </c>
      <c r="X10" s="22" t="s">
        <v>81</v>
      </c>
      <c r="Y10" s="22" t="s">
        <v>81</v>
      </c>
      <c r="Z10" s="22" t="s">
        <v>81</v>
      </c>
      <c r="AA10" s="22" t="s">
        <v>81</v>
      </c>
      <c r="AB10" s="22" t="s">
        <v>81</v>
      </c>
      <c r="AC10" s="21" t="s">
        <v>75</v>
      </c>
      <c r="AD10" s="21" t="s">
        <v>75</v>
      </c>
      <c r="AE10" s="22" t="s">
        <v>81</v>
      </c>
      <c r="AF10" s="22" t="s">
        <v>81</v>
      </c>
      <c r="AG10" s="4">
        <f t="shared" si="0"/>
        <v>22</v>
      </c>
      <c r="AH10" s="5">
        <f t="shared" si="1"/>
        <v>19</v>
      </c>
      <c r="AI10" s="6">
        <f t="shared" si="2"/>
        <v>2</v>
      </c>
      <c r="AJ10" s="7">
        <f t="shared" si="3"/>
        <v>0</v>
      </c>
      <c r="AK10" s="7">
        <f t="shared" si="4"/>
        <v>0</v>
      </c>
      <c r="AL10" s="7">
        <f t="shared" si="5"/>
        <v>0</v>
      </c>
      <c r="AM10" s="7">
        <f t="shared" si="6"/>
        <v>0</v>
      </c>
      <c r="AN10" s="8">
        <f t="shared" si="7"/>
        <v>1</v>
      </c>
      <c r="AO10" s="12">
        <f t="shared" si="8"/>
        <v>21</v>
      </c>
      <c r="AP10" s="23">
        <f t="shared" si="9"/>
        <v>1</v>
      </c>
      <c r="AQ10" s="14">
        <f t="shared" si="10"/>
        <v>95.454545454545453</v>
      </c>
    </row>
    <row r="11" spans="1:44" x14ac:dyDescent="0.35">
      <c r="A11" s="2">
        <v>8</v>
      </c>
      <c r="B11" s="3" t="s">
        <v>120</v>
      </c>
      <c r="C11" s="22" t="s">
        <v>81</v>
      </c>
      <c r="D11" s="22" t="s">
        <v>81</v>
      </c>
      <c r="E11" s="22" t="s">
        <v>81</v>
      </c>
      <c r="F11" s="22" t="s">
        <v>81</v>
      </c>
      <c r="G11" s="22" t="s">
        <v>81</v>
      </c>
      <c r="H11" s="21" t="s">
        <v>75</v>
      </c>
      <c r="I11" s="21" t="s">
        <v>75</v>
      </c>
      <c r="J11" s="22" t="s">
        <v>81</v>
      </c>
      <c r="K11" s="22" t="s">
        <v>81</v>
      </c>
      <c r="L11" s="22" t="s">
        <v>81</v>
      </c>
      <c r="M11" s="22" t="s">
        <v>81</v>
      </c>
      <c r="N11" s="22" t="s">
        <v>81</v>
      </c>
      <c r="O11" s="21" t="s">
        <v>75</v>
      </c>
      <c r="P11" s="21" t="s">
        <v>75</v>
      </c>
      <c r="Q11" s="22" t="s">
        <v>81</v>
      </c>
      <c r="R11" s="22" t="s">
        <v>81</v>
      </c>
      <c r="S11" s="22" t="s">
        <v>81</v>
      </c>
      <c r="T11" s="22" t="s">
        <v>81</v>
      </c>
      <c r="U11" s="22" t="s">
        <v>81</v>
      </c>
      <c r="V11" s="21" t="s">
        <v>75</v>
      </c>
      <c r="W11" s="21" t="s">
        <v>75</v>
      </c>
      <c r="X11" s="22" t="s">
        <v>81</v>
      </c>
      <c r="Y11" s="22" t="s">
        <v>81</v>
      </c>
      <c r="Z11" s="22" t="s">
        <v>81</v>
      </c>
      <c r="AA11" s="22" t="s">
        <v>81</v>
      </c>
      <c r="AB11" s="22" t="s">
        <v>81</v>
      </c>
      <c r="AC11" s="21" t="s">
        <v>75</v>
      </c>
      <c r="AD11" s="21" t="s">
        <v>75</v>
      </c>
      <c r="AE11" s="22" t="s">
        <v>81</v>
      </c>
      <c r="AF11" s="22" t="s">
        <v>81</v>
      </c>
      <c r="AG11" s="4">
        <f t="shared" si="0"/>
        <v>22</v>
      </c>
      <c r="AH11" s="5">
        <f t="shared" si="1"/>
        <v>22</v>
      </c>
      <c r="AI11" s="6">
        <f t="shared" si="2"/>
        <v>0</v>
      </c>
      <c r="AJ11" s="7">
        <f t="shared" si="3"/>
        <v>0</v>
      </c>
      <c r="AK11" s="7">
        <f t="shared" si="4"/>
        <v>0</v>
      </c>
      <c r="AL11" s="7">
        <f t="shared" si="5"/>
        <v>0</v>
      </c>
      <c r="AM11" s="7">
        <f t="shared" si="6"/>
        <v>0</v>
      </c>
      <c r="AN11" s="8">
        <f t="shared" si="7"/>
        <v>0</v>
      </c>
      <c r="AO11" s="12">
        <f t="shared" si="8"/>
        <v>22</v>
      </c>
      <c r="AP11" s="23">
        <f t="shared" si="9"/>
        <v>0</v>
      </c>
      <c r="AQ11" s="14">
        <f t="shared" si="10"/>
        <v>100</v>
      </c>
    </row>
    <row r="12" spans="1:44" x14ac:dyDescent="0.35">
      <c r="A12" s="2">
        <v>10</v>
      </c>
      <c r="B12" s="3" t="s">
        <v>121</v>
      </c>
      <c r="C12" s="22" t="s">
        <v>81</v>
      </c>
      <c r="D12" s="22" t="s">
        <v>81</v>
      </c>
      <c r="E12" s="22" t="s">
        <v>81</v>
      </c>
      <c r="F12" s="22" t="s">
        <v>81</v>
      </c>
      <c r="G12" s="22" t="s">
        <v>81</v>
      </c>
      <c r="H12" s="21" t="s">
        <v>75</v>
      </c>
      <c r="I12" s="21" t="s">
        <v>75</v>
      </c>
      <c r="J12" s="22" t="s">
        <v>81</v>
      </c>
      <c r="K12" s="22" t="s">
        <v>81</v>
      </c>
      <c r="L12" s="22" t="s">
        <v>81</v>
      </c>
      <c r="M12" s="22" t="s">
        <v>81</v>
      </c>
      <c r="N12" s="22" t="s">
        <v>81</v>
      </c>
      <c r="O12" s="21" t="s">
        <v>75</v>
      </c>
      <c r="P12" s="21" t="s">
        <v>75</v>
      </c>
      <c r="Q12" s="22" t="s">
        <v>81</v>
      </c>
      <c r="R12" s="22" t="s">
        <v>81</v>
      </c>
      <c r="S12" s="22" t="s">
        <v>81</v>
      </c>
      <c r="T12" s="22"/>
      <c r="U12" s="22"/>
      <c r="V12" s="21" t="s">
        <v>75</v>
      </c>
      <c r="W12" s="21" t="s">
        <v>75</v>
      </c>
      <c r="X12" s="22" t="s">
        <v>81</v>
      </c>
      <c r="Y12" s="22" t="s">
        <v>81</v>
      </c>
      <c r="Z12" s="22" t="s">
        <v>81</v>
      </c>
      <c r="AA12" s="22" t="s">
        <v>81</v>
      </c>
      <c r="AB12" s="22" t="s">
        <v>81</v>
      </c>
      <c r="AC12" s="21" t="s">
        <v>75</v>
      </c>
      <c r="AD12" s="21" t="s">
        <v>75</v>
      </c>
      <c r="AE12" s="22" t="s">
        <v>81</v>
      </c>
      <c r="AF12" s="22" t="s">
        <v>81</v>
      </c>
      <c r="AG12" s="4">
        <f t="shared" si="0"/>
        <v>22</v>
      </c>
      <c r="AH12" s="5">
        <f t="shared" si="1"/>
        <v>20</v>
      </c>
      <c r="AI12" s="6">
        <f t="shared" si="2"/>
        <v>0</v>
      </c>
      <c r="AJ12" s="7">
        <f t="shared" si="3"/>
        <v>0</v>
      </c>
      <c r="AK12" s="7">
        <f t="shared" si="4"/>
        <v>0</v>
      </c>
      <c r="AL12" s="7">
        <f t="shared" si="5"/>
        <v>0</v>
      </c>
      <c r="AM12" s="7">
        <f t="shared" si="6"/>
        <v>0</v>
      </c>
      <c r="AN12" s="8">
        <f t="shared" si="7"/>
        <v>0</v>
      </c>
      <c r="AO12" s="12">
        <f t="shared" si="8"/>
        <v>20</v>
      </c>
      <c r="AP12" s="23">
        <f t="shared" si="9"/>
        <v>0</v>
      </c>
      <c r="AQ12" s="14">
        <f t="shared" si="10"/>
        <v>90.909090909090907</v>
      </c>
    </row>
    <row r="13" spans="1:44" x14ac:dyDescent="0.35">
      <c r="A13" s="2">
        <v>11</v>
      </c>
      <c r="B13" s="3" t="s">
        <v>122</v>
      </c>
      <c r="C13" s="22" t="s">
        <v>81</v>
      </c>
      <c r="D13" s="22" t="s">
        <v>81</v>
      </c>
      <c r="E13" s="22" t="s">
        <v>81</v>
      </c>
      <c r="F13" s="22" t="s">
        <v>81</v>
      </c>
      <c r="G13" s="22" t="s">
        <v>81</v>
      </c>
      <c r="H13" s="21" t="s">
        <v>75</v>
      </c>
      <c r="I13" s="21" t="s">
        <v>75</v>
      </c>
      <c r="J13" s="22" t="s">
        <v>81</v>
      </c>
      <c r="K13" s="22" t="s">
        <v>81</v>
      </c>
      <c r="L13" s="22" t="s">
        <v>81</v>
      </c>
      <c r="M13" s="22" t="s">
        <v>81</v>
      </c>
      <c r="N13" s="22" t="s">
        <v>81</v>
      </c>
      <c r="O13" s="21" t="s">
        <v>75</v>
      </c>
      <c r="P13" s="21" t="s">
        <v>75</v>
      </c>
      <c r="Q13" s="22" t="s">
        <v>81</v>
      </c>
      <c r="R13" s="22" t="s">
        <v>81</v>
      </c>
      <c r="S13" s="40" t="s">
        <v>82</v>
      </c>
      <c r="T13" s="40" t="s">
        <v>82</v>
      </c>
      <c r="U13" s="40" t="s">
        <v>82</v>
      </c>
      <c r="V13" s="21" t="s">
        <v>75</v>
      </c>
      <c r="W13" s="21" t="s">
        <v>75</v>
      </c>
      <c r="X13" s="22" t="s">
        <v>81</v>
      </c>
      <c r="Y13" s="22" t="s">
        <v>81</v>
      </c>
      <c r="Z13" s="22" t="s">
        <v>81</v>
      </c>
      <c r="AA13" s="22" t="s">
        <v>81</v>
      </c>
      <c r="AB13" s="22" t="s">
        <v>81</v>
      </c>
      <c r="AC13" s="21" t="s">
        <v>75</v>
      </c>
      <c r="AD13" s="21" t="s">
        <v>75</v>
      </c>
      <c r="AE13" s="22" t="s">
        <v>81</v>
      </c>
      <c r="AF13" s="22" t="s">
        <v>81</v>
      </c>
      <c r="AG13" s="4">
        <f t="shared" si="0"/>
        <v>22</v>
      </c>
      <c r="AH13" s="5">
        <f t="shared" si="1"/>
        <v>19</v>
      </c>
      <c r="AI13" s="6">
        <f t="shared" si="2"/>
        <v>0</v>
      </c>
      <c r="AJ13" s="7">
        <f t="shared" si="3"/>
        <v>0</v>
      </c>
      <c r="AK13" s="7">
        <f t="shared" si="4"/>
        <v>0</v>
      </c>
      <c r="AL13" s="7">
        <f t="shared" si="5"/>
        <v>0</v>
      </c>
      <c r="AM13" s="7">
        <f t="shared" si="6"/>
        <v>0</v>
      </c>
      <c r="AN13" s="8">
        <f t="shared" si="7"/>
        <v>0</v>
      </c>
      <c r="AO13" s="12">
        <f t="shared" si="8"/>
        <v>19</v>
      </c>
      <c r="AP13" s="23">
        <f t="shared" si="9"/>
        <v>0</v>
      </c>
      <c r="AQ13" s="14">
        <f t="shared" si="10"/>
        <v>86.36363636363636</v>
      </c>
    </row>
    <row r="14" spans="1:44" x14ac:dyDescent="0.35">
      <c r="A14" s="2">
        <v>12</v>
      </c>
      <c r="B14" s="41" t="s">
        <v>123</v>
      </c>
      <c r="C14" s="22" t="s">
        <v>81</v>
      </c>
      <c r="D14" s="22" t="s">
        <v>81</v>
      </c>
      <c r="E14" s="22" t="s">
        <v>81</v>
      </c>
      <c r="F14" s="22" t="s">
        <v>81</v>
      </c>
      <c r="G14" s="22" t="s">
        <v>81</v>
      </c>
      <c r="H14" s="21" t="s">
        <v>75</v>
      </c>
      <c r="I14" s="21" t="s">
        <v>75</v>
      </c>
      <c r="J14" s="22" t="s">
        <v>81</v>
      </c>
      <c r="K14" s="22" t="s">
        <v>81</v>
      </c>
      <c r="L14" s="22" t="s">
        <v>81</v>
      </c>
      <c r="M14" s="22" t="s">
        <v>81</v>
      </c>
      <c r="N14" s="22" t="s">
        <v>81</v>
      </c>
      <c r="O14" s="21" t="s">
        <v>75</v>
      </c>
      <c r="P14" s="21" t="s">
        <v>75</v>
      </c>
      <c r="Q14" s="22" t="s">
        <v>81</v>
      </c>
      <c r="R14" s="22" t="s">
        <v>81</v>
      </c>
      <c r="S14" s="45" t="s">
        <v>82</v>
      </c>
      <c r="T14" s="45" t="s">
        <v>82</v>
      </c>
      <c r="U14" s="45" t="s">
        <v>82</v>
      </c>
      <c r="V14" s="21" t="s">
        <v>75</v>
      </c>
      <c r="W14" s="21" t="s">
        <v>75</v>
      </c>
      <c r="X14" s="45" t="s">
        <v>82</v>
      </c>
      <c r="Y14" s="45" t="s">
        <v>82</v>
      </c>
      <c r="Z14" s="45" t="s">
        <v>82</v>
      </c>
      <c r="AA14" s="45" t="s">
        <v>82</v>
      </c>
      <c r="AB14" s="45" t="s">
        <v>82</v>
      </c>
      <c r="AC14" s="21" t="s">
        <v>75</v>
      </c>
      <c r="AD14" s="21" t="s">
        <v>75</v>
      </c>
      <c r="AE14" s="45" t="s">
        <v>82</v>
      </c>
      <c r="AF14" s="45" t="s">
        <v>82</v>
      </c>
      <c r="AG14" s="4">
        <f t="shared" si="0"/>
        <v>22</v>
      </c>
      <c r="AH14" s="5">
        <f t="shared" si="1"/>
        <v>12</v>
      </c>
      <c r="AI14" s="6">
        <f t="shared" si="2"/>
        <v>0</v>
      </c>
      <c r="AJ14" s="7">
        <f t="shared" si="3"/>
        <v>0</v>
      </c>
      <c r="AK14" s="7">
        <f t="shared" si="4"/>
        <v>0</v>
      </c>
      <c r="AL14" s="7">
        <f t="shared" si="5"/>
        <v>0</v>
      </c>
      <c r="AM14" s="7">
        <f t="shared" si="6"/>
        <v>0</v>
      </c>
      <c r="AN14" s="8">
        <f t="shared" si="7"/>
        <v>0</v>
      </c>
      <c r="AO14" s="12">
        <f t="shared" si="8"/>
        <v>12</v>
      </c>
      <c r="AP14" s="23">
        <f t="shared" si="9"/>
        <v>0</v>
      </c>
      <c r="AQ14" s="14">
        <f t="shared" si="10"/>
        <v>54.54545454545454</v>
      </c>
      <c r="AR14" t="s">
        <v>166</v>
      </c>
    </row>
    <row r="15" spans="1:44" x14ac:dyDescent="0.35">
      <c r="A15" s="2">
        <v>13</v>
      </c>
      <c r="B15" s="3" t="s">
        <v>124</v>
      </c>
      <c r="C15" s="22" t="s">
        <v>81</v>
      </c>
      <c r="D15" s="22" t="s">
        <v>81</v>
      </c>
      <c r="E15" s="22" t="s">
        <v>81</v>
      </c>
      <c r="F15" s="22" t="s">
        <v>81</v>
      </c>
      <c r="G15" s="22" t="s">
        <v>81</v>
      </c>
      <c r="H15" s="21" t="s">
        <v>75</v>
      </c>
      <c r="I15" s="21" t="s">
        <v>75</v>
      </c>
      <c r="J15" s="22" t="s">
        <v>81</v>
      </c>
      <c r="K15" s="22" t="s">
        <v>81</v>
      </c>
      <c r="L15" s="22" t="s">
        <v>81</v>
      </c>
      <c r="M15" s="22" t="s">
        <v>81</v>
      </c>
      <c r="N15" s="22" t="s">
        <v>81</v>
      </c>
      <c r="O15" s="21" t="s">
        <v>75</v>
      </c>
      <c r="P15" s="21" t="s">
        <v>75</v>
      </c>
      <c r="Q15" s="22" t="s">
        <v>15</v>
      </c>
      <c r="R15" s="22" t="s">
        <v>81</v>
      </c>
      <c r="S15" s="22" t="s">
        <v>81</v>
      </c>
      <c r="T15" s="22" t="s">
        <v>81</v>
      </c>
      <c r="U15" s="22" t="s">
        <v>81</v>
      </c>
      <c r="V15" s="21" t="s">
        <v>75</v>
      </c>
      <c r="W15" s="21" t="s">
        <v>75</v>
      </c>
      <c r="X15" s="22" t="s">
        <v>81</v>
      </c>
      <c r="Y15" s="22" t="s">
        <v>15</v>
      </c>
      <c r="Z15" s="42" t="s">
        <v>20</v>
      </c>
      <c r="AA15" s="22" t="s">
        <v>81</v>
      </c>
      <c r="AB15" s="22" t="s">
        <v>81</v>
      </c>
      <c r="AC15" s="21" t="s">
        <v>75</v>
      </c>
      <c r="AD15" s="21" t="s">
        <v>75</v>
      </c>
      <c r="AE15" s="22" t="s">
        <v>81</v>
      </c>
      <c r="AF15" s="22" t="s">
        <v>81</v>
      </c>
      <c r="AG15" s="4">
        <f t="shared" si="0"/>
        <v>22</v>
      </c>
      <c r="AH15" s="5">
        <f t="shared" si="1"/>
        <v>19</v>
      </c>
      <c r="AI15" s="6">
        <f t="shared" si="2"/>
        <v>2</v>
      </c>
      <c r="AJ15" s="7">
        <f t="shared" si="3"/>
        <v>0</v>
      </c>
      <c r="AK15" s="7">
        <f t="shared" si="4"/>
        <v>0</v>
      </c>
      <c r="AL15" s="7">
        <f t="shared" si="5"/>
        <v>0</v>
      </c>
      <c r="AM15" s="7">
        <f t="shared" si="6"/>
        <v>0</v>
      </c>
      <c r="AN15" s="8">
        <f t="shared" si="7"/>
        <v>1</v>
      </c>
      <c r="AO15" s="12">
        <f t="shared" si="8"/>
        <v>21</v>
      </c>
      <c r="AP15" s="23">
        <f t="shared" si="9"/>
        <v>1</v>
      </c>
      <c r="AQ15" s="14">
        <f t="shared" si="10"/>
        <v>95.454545454545453</v>
      </c>
    </row>
    <row r="16" spans="1:44" x14ac:dyDescent="0.35">
      <c r="A16" s="2">
        <v>14</v>
      </c>
      <c r="B16" s="3" t="s">
        <v>125</v>
      </c>
      <c r="C16" s="22" t="s">
        <v>81</v>
      </c>
      <c r="D16" s="22" t="s">
        <v>81</v>
      </c>
      <c r="E16" s="22" t="s">
        <v>81</v>
      </c>
      <c r="F16" s="22" t="s">
        <v>81</v>
      </c>
      <c r="G16" s="22" t="s">
        <v>81</v>
      </c>
      <c r="H16" s="21" t="s">
        <v>75</v>
      </c>
      <c r="I16" s="21" t="s">
        <v>75</v>
      </c>
      <c r="J16" s="22" t="s">
        <v>81</v>
      </c>
      <c r="K16" s="22" t="s">
        <v>81</v>
      </c>
      <c r="L16" s="22" t="s">
        <v>81</v>
      </c>
      <c r="M16" s="22" t="s">
        <v>15</v>
      </c>
      <c r="N16" s="22" t="s">
        <v>81</v>
      </c>
      <c r="O16" s="21" t="s">
        <v>75</v>
      </c>
      <c r="P16" s="21" t="s">
        <v>75</v>
      </c>
      <c r="Q16" s="22" t="s">
        <v>81</v>
      </c>
      <c r="R16" s="22" t="s">
        <v>81</v>
      </c>
      <c r="S16" s="22" t="s">
        <v>81</v>
      </c>
      <c r="T16" s="22" t="s">
        <v>81</v>
      </c>
      <c r="U16" s="22" t="s">
        <v>81</v>
      </c>
      <c r="V16" s="21" t="s">
        <v>75</v>
      </c>
      <c r="W16" s="21" t="s">
        <v>75</v>
      </c>
      <c r="X16" s="22" t="s">
        <v>81</v>
      </c>
      <c r="Y16" s="22" t="s">
        <v>81</v>
      </c>
      <c r="Z16" s="22" t="s">
        <v>81</v>
      </c>
      <c r="AA16" s="22" t="s">
        <v>81</v>
      </c>
      <c r="AB16" s="22" t="s">
        <v>81</v>
      </c>
      <c r="AC16" s="21" t="s">
        <v>75</v>
      </c>
      <c r="AD16" s="21" t="s">
        <v>75</v>
      </c>
      <c r="AE16" s="22" t="s">
        <v>81</v>
      </c>
      <c r="AF16" s="22" t="s">
        <v>81</v>
      </c>
      <c r="AG16" s="4">
        <f>30-COUNTIF(C16:AF16,"WO")-COUNTIF(C16:AF16,"H")</f>
        <v>22</v>
      </c>
      <c r="AH16" s="5">
        <f>COUNTIF(C16:AF16,"P")</f>
        <v>21</v>
      </c>
      <c r="AI16" s="6">
        <f>COUNTIF(C16:AF16,"WFH")</f>
        <v>1</v>
      </c>
      <c r="AJ16" s="7">
        <f>COUNTIF(C16:AF16,"HD")</f>
        <v>0</v>
      </c>
      <c r="AK16" s="7">
        <f>COUNTIF(C16:AF16,"EL")</f>
        <v>0</v>
      </c>
      <c r="AL16" s="7">
        <f>COUNTIF(C16:AF16,"SL")</f>
        <v>0</v>
      </c>
      <c r="AM16" s="7">
        <f>COUNTIF(C16:AF16,"CL")</f>
        <v>0</v>
      </c>
      <c r="AN16" s="8">
        <f>COUNTIF(C16:AF16,"LOP")</f>
        <v>0</v>
      </c>
      <c r="AO16" s="12">
        <f>AH16+AI16+AJ16*0.5+AK16+AL16+AM16</f>
        <v>22</v>
      </c>
      <c r="AP16" s="23">
        <f>AN16</f>
        <v>0</v>
      </c>
      <c r="AQ16" s="14">
        <f>IFERROR(AO16/AG16*100,0)</f>
        <v>100</v>
      </c>
    </row>
    <row r="17" spans="1:43" x14ac:dyDescent="0.35">
      <c r="A17" s="2">
        <v>15</v>
      </c>
      <c r="B17" s="3" t="s">
        <v>126</v>
      </c>
      <c r="C17" s="22" t="s">
        <v>81</v>
      </c>
      <c r="D17" s="22" t="s">
        <v>81</v>
      </c>
      <c r="E17" s="22" t="s">
        <v>81</v>
      </c>
      <c r="F17" s="22" t="s">
        <v>81</v>
      </c>
      <c r="G17" s="22" t="s">
        <v>81</v>
      </c>
      <c r="H17" s="21" t="s">
        <v>75</v>
      </c>
      <c r="I17" s="21" t="s">
        <v>75</v>
      </c>
      <c r="J17" s="22" t="s">
        <v>81</v>
      </c>
      <c r="K17" s="22" t="s">
        <v>81</v>
      </c>
      <c r="L17" s="22" t="s">
        <v>81</v>
      </c>
      <c r="M17" s="22" t="s">
        <v>81</v>
      </c>
      <c r="N17" s="22" t="s">
        <v>81</v>
      </c>
      <c r="O17" s="21" t="s">
        <v>75</v>
      </c>
      <c r="P17" s="21" t="s">
        <v>75</v>
      </c>
      <c r="Q17" s="22" t="s">
        <v>81</v>
      </c>
      <c r="R17" s="22" t="s">
        <v>81</v>
      </c>
      <c r="S17" s="22" t="s">
        <v>81</v>
      </c>
      <c r="T17" s="22" t="s">
        <v>81</v>
      </c>
      <c r="U17" s="22" t="s">
        <v>81</v>
      </c>
      <c r="V17" s="21" t="s">
        <v>75</v>
      </c>
      <c r="W17" s="21" t="s">
        <v>75</v>
      </c>
      <c r="X17" s="22" t="s">
        <v>81</v>
      </c>
      <c r="Y17" s="22" t="s">
        <v>81</v>
      </c>
      <c r="Z17" s="22" t="s">
        <v>81</v>
      </c>
      <c r="AA17" s="22" t="s">
        <v>81</v>
      </c>
      <c r="AB17" s="22" t="s">
        <v>81</v>
      </c>
      <c r="AC17" s="21" t="s">
        <v>75</v>
      </c>
      <c r="AD17" s="21" t="s">
        <v>75</v>
      </c>
      <c r="AE17" s="22" t="s">
        <v>81</v>
      </c>
      <c r="AF17" s="22" t="s">
        <v>81</v>
      </c>
      <c r="AG17" s="4">
        <f t="shared" ref="AG17:AG25" si="11">30-COUNTIF(C17:AF17,"WO")-COUNTIF(C17:AF17,"H")</f>
        <v>22</v>
      </c>
      <c r="AH17" s="5">
        <f t="shared" ref="AH17:AH25" si="12">COUNTIF(C17:AF17,"P")</f>
        <v>22</v>
      </c>
      <c r="AI17" s="6">
        <f t="shared" ref="AI17:AI25" si="13">COUNTIF(C17:AF17,"WFH")</f>
        <v>0</v>
      </c>
      <c r="AJ17" s="7">
        <f t="shared" ref="AJ17:AJ25" si="14">COUNTIF(C17:AF17,"HD")</f>
        <v>0</v>
      </c>
      <c r="AK17" s="7">
        <f t="shared" ref="AK17:AK25" si="15">COUNTIF(C17:AF17,"EL")</f>
        <v>0</v>
      </c>
      <c r="AL17" s="7">
        <f t="shared" ref="AL17:AL25" si="16">COUNTIF(C17:AF17,"SL")</f>
        <v>0</v>
      </c>
      <c r="AM17" s="7">
        <f t="shared" ref="AM17:AM25" si="17">COUNTIF(C17:AF17,"CL")</f>
        <v>0</v>
      </c>
      <c r="AN17" s="8">
        <f t="shared" ref="AN17:AN25" si="18">COUNTIF(C17:AF17,"LOP")</f>
        <v>0</v>
      </c>
      <c r="AO17" s="12">
        <f t="shared" ref="AO17:AO25" si="19">AH17+AI17+AJ17*0.5+AK17+AL17+AM17</f>
        <v>22</v>
      </c>
      <c r="AP17" s="23">
        <f t="shared" ref="AP17:AP25" si="20">AN17</f>
        <v>0</v>
      </c>
      <c r="AQ17" s="14">
        <f t="shared" ref="AQ17:AQ25" si="21">IFERROR(AO17/AG17*100,0)</f>
        <v>100</v>
      </c>
    </row>
    <row r="18" spans="1:43" x14ac:dyDescent="0.35">
      <c r="A18" s="2">
        <v>16</v>
      </c>
      <c r="B18" s="3" t="s">
        <v>127</v>
      </c>
      <c r="C18" s="22" t="s">
        <v>81</v>
      </c>
      <c r="D18" s="22" t="s">
        <v>81</v>
      </c>
      <c r="E18" s="22" t="s">
        <v>81</v>
      </c>
      <c r="F18" s="22" t="s">
        <v>81</v>
      </c>
      <c r="G18" s="22" t="s">
        <v>81</v>
      </c>
      <c r="H18" s="21" t="s">
        <v>75</v>
      </c>
      <c r="I18" s="21" t="s">
        <v>75</v>
      </c>
      <c r="J18" s="22" t="s">
        <v>81</v>
      </c>
      <c r="K18" s="22" t="s">
        <v>81</v>
      </c>
      <c r="L18" s="22" t="s">
        <v>81</v>
      </c>
      <c r="M18" s="22" t="s">
        <v>81</v>
      </c>
      <c r="N18" s="22" t="s">
        <v>81</v>
      </c>
      <c r="O18" s="21" t="s">
        <v>75</v>
      </c>
      <c r="P18" s="21" t="s">
        <v>75</v>
      </c>
      <c r="Q18" s="22" t="s">
        <v>81</v>
      </c>
      <c r="R18" s="22" t="s">
        <v>81</v>
      </c>
      <c r="S18" s="22" t="s">
        <v>81</v>
      </c>
      <c r="T18" s="22" t="s">
        <v>81</v>
      </c>
      <c r="U18" s="22" t="s">
        <v>81</v>
      </c>
      <c r="V18" s="21" t="s">
        <v>75</v>
      </c>
      <c r="W18" s="21" t="s">
        <v>75</v>
      </c>
      <c r="X18" s="22" t="s">
        <v>81</v>
      </c>
      <c r="Y18" s="22" t="s">
        <v>81</v>
      </c>
      <c r="Z18" s="22" t="s">
        <v>81</v>
      </c>
      <c r="AA18" s="22" t="s">
        <v>81</v>
      </c>
      <c r="AB18" s="22" t="s">
        <v>81</v>
      </c>
      <c r="AC18" s="21" t="s">
        <v>75</v>
      </c>
      <c r="AD18" s="21" t="s">
        <v>75</v>
      </c>
      <c r="AE18" s="22" t="s">
        <v>81</v>
      </c>
      <c r="AF18" s="22" t="s">
        <v>81</v>
      </c>
      <c r="AG18" s="4">
        <f t="shared" si="11"/>
        <v>22</v>
      </c>
      <c r="AH18" s="5">
        <f t="shared" si="12"/>
        <v>22</v>
      </c>
      <c r="AI18" s="6">
        <f t="shared" si="13"/>
        <v>0</v>
      </c>
      <c r="AJ18" s="7">
        <f t="shared" si="14"/>
        <v>0</v>
      </c>
      <c r="AK18" s="7">
        <f t="shared" si="15"/>
        <v>0</v>
      </c>
      <c r="AL18" s="7">
        <f t="shared" si="16"/>
        <v>0</v>
      </c>
      <c r="AM18" s="7">
        <f t="shared" si="17"/>
        <v>0</v>
      </c>
      <c r="AN18" s="8">
        <f t="shared" si="18"/>
        <v>0</v>
      </c>
      <c r="AO18" s="12">
        <f t="shared" si="19"/>
        <v>22</v>
      </c>
      <c r="AP18" s="23">
        <f t="shared" si="20"/>
        <v>0</v>
      </c>
      <c r="AQ18" s="14">
        <f t="shared" si="21"/>
        <v>100</v>
      </c>
    </row>
    <row r="19" spans="1:43" x14ac:dyDescent="0.35">
      <c r="A19" s="2">
        <v>17</v>
      </c>
      <c r="B19" s="3" t="s">
        <v>128</v>
      </c>
      <c r="C19" s="22" t="s">
        <v>81</v>
      </c>
      <c r="D19" s="22" t="s">
        <v>81</v>
      </c>
      <c r="E19" s="22" t="s">
        <v>81</v>
      </c>
      <c r="F19" s="22" t="s">
        <v>81</v>
      </c>
      <c r="G19" s="22" t="s">
        <v>81</v>
      </c>
      <c r="H19" s="21" t="s">
        <v>75</v>
      </c>
      <c r="I19" s="21" t="s">
        <v>75</v>
      </c>
      <c r="J19" s="22" t="s">
        <v>81</v>
      </c>
      <c r="K19" s="22" t="s">
        <v>81</v>
      </c>
      <c r="L19" s="22" t="s">
        <v>81</v>
      </c>
      <c r="M19" s="22" t="s">
        <v>81</v>
      </c>
      <c r="N19" s="22" t="s">
        <v>81</v>
      </c>
      <c r="O19" s="21" t="s">
        <v>75</v>
      </c>
      <c r="P19" s="21" t="s">
        <v>75</v>
      </c>
      <c r="Q19" s="22" t="s">
        <v>81</v>
      </c>
      <c r="R19" s="22" t="s">
        <v>81</v>
      </c>
      <c r="S19" s="22" t="s">
        <v>81</v>
      </c>
      <c r="T19" s="22" t="s">
        <v>15</v>
      </c>
      <c r="U19" s="22" t="s">
        <v>81</v>
      </c>
      <c r="V19" s="21" t="s">
        <v>75</v>
      </c>
      <c r="W19" s="21" t="s">
        <v>75</v>
      </c>
      <c r="X19" s="22" t="s">
        <v>81</v>
      </c>
      <c r="Y19" s="22" t="s">
        <v>81</v>
      </c>
      <c r="Z19" s="22" t="s">
        <v>82</v>
      </c>
      <c r="AA19" s="22" t="s">
        <v>81</v>
      </c>
      <c r="AB19" s="22" t="s">
        <v>81</v>
      </c>
      <c r="AC19" s="21" t="s">
        <v>75</v>
      </c>
      <c r="AD19" s="21" t="s">
        <v>75</v>
      </c>
      <c r="AE19" s="22" t="s">
        <v>81</v>
      </c>
      <c r="AF19" s="22" t="s">
        <v>81</v>
      </c>
      <c r="AG19" s="4">
        <f t="shared" si="11"/>
        <v>22</v>
      </c>
      <c r="AH19" s="5">
        <f t="shared" si="12"/>
        <v>20</v>
      </c>
      <c r="AI19" s="6">
        <f t="shared" si="13"/>
        <v>1</v>
      </c>
      <c r="AJ19" s="7">
        <f t="shared" si="14"/>
        <v>0</v>
      </c>
      <c r="AK19" s="7">
        <f t="shared" si="15"/>
        <v>0</v>
      </c>
      <c r="AL19" s="7">
        <f t="shared" si="16"/>
        <v>0</v>
      </c>
      <c r="AM19" s="7">
        <f t="shared" si="17"/>
        <v>0</v>
      </c>
      <c r="AN19" s="8">
        <f t="shared" si="18"/>
        <v>0</v>
      </c>
      <c r="AO19" s="12">
        <f t="shared" si="19"/>
        <v>21</v>
      </c>
      <c r="AP19" s="23">
        <f t="shared" si="20"/>
        <v>0</v>
      </c>
      <c r="AQ19" s="14">
        <f t="shared" si="21"/>
        <v>95.454545454545453</v>
      </c>
    </row>
    <row r="20" spans="1:43" x14ac:dyDescent="0.35">
      <c r="A20" s="2">
        <v>18</v>
      </c>
      <c r="B20" s="3" t="s">
        <v>129</v>
      </c>
      <c r="C20" s="22" t="s">
        <v>81</v>
      </c>
      <c r="D20" s="22" t="s">
        <v>81</v>
      </c>
      <c r="E20" s="22" t="s">
        <v>81</v>
      </c>
      <c r="F20" s="22" t="s">
        <v>81</v>
      </c>
      <c r="G20" s="22" t="s">
        <v>81</v>
      </c>
      <c r="H20" s="21" t="s">
        <v>75</v>
      </c>
      <c r="I20" s="21" t="s">
        <v>75</v>
      </c>
      <c r="J20" s="22" t="s">
        <v>81</v>
      </c>
      <c r="K20" s="22" t="s">
        <v>81</v>
      </c>
      <c r="L20" s="22" t="s">
        <v>81</v>
      </c>
      <c r="M20" s="22" t="s">
        <v>81</v>
      </c>
      <c r="N20" s="22" t="s">
        <v>81</v>
      </c>
      <c r="O20" s="21" t="s">
        <v>75</v>
      </c>
      <c r="P20" s="21" t="s">
        <v>75</v>
      </c>
      <c r="Q20" s="22" t="s">
        <v>81</v>
      </c>
      <c r="R20" s="22" t="s">
        <v>81</v>
      </c>
      <c r="S20" s="22" t="s">
        <v>81</v>
      </c>
      <c r="T20" s="22" t="s">
        <v>81</v>
      </c>
      <c r="U20" s="22" t="s">
        <v>81</v>
      </c>
      <c r="V20" s="21" t="s">
        <v>75</v>
      </c>
      <c r="W20" s="21" t="s">
        <v>75</v>
      </c>
      <c r="X20" s="22" t="s">
        <v>81</v>
      </c>
      <c r="Y20" s="22" t="s">
        <v>81</v>
      </c>
      <c r="Z20" s="22" t="s">
        <v>81</v>
      </c>
      <c r="AA20" s="22" t="s">
        <v>81</v>
      </c>
      <c r="AB20" s="22" t="s">
        <v>81</v>
      </c>
      <c r="AC20" s="21" t="s">
        <v>75</v>
      </c>
      <c r="AD20" s="21" t="s">
        <v>75</v>
      </c>
      <c r="AE20" s="22" t="s">
        <v>81</v>
      </c>
      <c r="AF20" s="22" t="s">
        <v>81</v>
      </c>
      <c r="AG20" s="4">
        <f t="shared" si="11"/>
        <v>22</v>
      </c>
      <c r="AH20" s="5">
        <f t="shared" si="12"/>
        <v>22</v>
      </c>
      <c r="AI20" s="6">
        <f t="shared" si="13"/>
        <v>0</v>
      </c>
      <c r="AJ20" s="7">
        <f t="shared" si="14"/>
        <v>0</v>
      </c>
      <c r="AK20" s="7">
        <f t="shared" si="15"/>
        <v>0</v>
      </c>
      <c r="AL20" s="7">
        <f t="shared" si="16"/>
        <v>0</v>
      </c>
      <c r="AM20" s="7">
        <f t="shared" si="17"/>
        <v>0</v>
      </c>
      <c r="AN20" s="8">
        <f t="shared" si="18"/>
        <v>0</v>
      </c>
      <c r="AO20" s="12">
        <f t="shared" si="19"/>
        <v>22</v>
      </c>
      <c r="AP20" s="23">
        <f t="shared" si="20"/>
        <v>0</v>
      </c>
      <c r="AQ20" s="14">
        <f t="shared" si="21"/>
        <v>100</v>
      </c>
    </row>
    <row r="21" spans="1:43" x14ac:dyDescent="0.35">
      <c r="A21" s="2">
        <v>19</v>
      </c>
      <c r="B21" s="3" t="s">
        <v>130</v>
      </c>
      <c r="C21" s="22" t="s">
        <v>81</v>
      </c>
      <c r="D21" s="22" t="s">
        <v>81</v>
      </c>
      <c r="E21" s="22" t="s">
        <v>81</v>
      </c>
      <c r="F21" s="22" t="s">
        <v>81</v>
      </c>
      <c r="G21" s="22" t="s">
        <v>81</v>
      </c>
      <c r="H21" s="21" t="s">
        <v>75</v>
      </c>
      <c r="I21" s="21" t="s">
        <v>75</v>
      </c>
      <c r="J21" s="22" t="s">
        <v>81</v>
      </c>
      <c r="K21" s="22" t="s">
        <v>81</v>
      </c>
      <c r="L21" s="22" t="s">
        <v>81</v>
      </c>
      <c r="M21" s="22" t="s">
        <v>81</v>
      </c>
      <c r="N21" s="22" t="s">
        <v>81</v>
      </c>
      <c r="O21" s="21" t="s">
        <v>75</v>
      </c>
      <c r="P21" s="21" t="s">
        <v>75</v>
      </c>
      <c r="Q21" s="22" t="s">
        <v>81</v>
      </c>
      <c r="R21" s="22" t="s">
        <v>81</v>
      </c>
      <c r="S21" s="22" t="s">
        <v>81</v>
      </c>
      <c r="T21" s="22" t="s">
        <v>81</v>
      </c>
      <c r="U21" s="22" t="s">
        <v>81</v>
      </c>
      <c r="V21" s="21" t="s">
        <v>75</v>
      </c>
      <c r="W21" s="21" t="s">
        <v>75</v>
      </c>
      <c r="X21" s="22" t="s">
        <v>81</v>
      </c>
      <c r="Y21" s="22" t="s">
        <v>81</v>
      </c>
      <c r="Z21" s="22" t="s">
        <v>81</v>
      </c>
      <c r="AA21" s="22" t="s">
        <v>81</v>
      </c>
      <c r="AB21" s="22" t="s">
        <v>81</v>
      </c>
      <c r="AC21" s="21" t="s">
        <v>75</v>
      </c>
      <c r="AD21" s="21" t="s">
        <v>75</v>
      </c>
      <c r="AE21" s="22" t="s">
        <v>81</v>
      </c>
      <c r="AF21" s="22" t="s">
        <v>81</v>
      </c>
      <c r="AG21" s="4">
        <f t="shared" si="11"/>
        <v>22</v>
      </c>
      <c r="AH21" s="5">
        <f t="shared" si="12"/>
        <v>22</v>
      </c>
      <c r="AI21" s="6">
        <f t="shared" si="13"/>
        <v>0</v>
      </c>
      <c r="AJ21" s="7">
        <f t="shared" si="14"/>
        <v>0</v>
      </c>
      <c r="AK21" s="7">
        <f t="shared" si="15"/>
        <v>0</v>
      </c>
      <c r="AL21" s="7">
        <f t="shared" si="16"/>
        <v>0</v>
      </c>
      <c r="AM21" s="7">
        <f t="shared" si="17"/>
        <v>0</v>
      </c>
      <c r="AN21" s="8">
        <f t="shared" si="18"/>
        <v>0</v>
      </c>
      <c r="AO21" s="12">
        <f t="shared" si="19"/>
        <v>22</v>
      </c>
      <c r="AP21" s="23">
        <f t="shared" si="20"/>
        <v>0</v>
      </c>
      <c r="AQ21" s="14">
        <f t="shared" si="21"/>
        <v>100</v>
      </c>
    </row>
    <row r="22" spans="1:43" x14ac:dyDescent="0.35">
      <c r="A22" s="2">
        <v>20</v>
      </c>
      <c r="B22" s="3" t="s">
        <v>131</v>
      </c>
      <c r="C22" s="22" t="s">
        <v>81</v>
      </c>
      <c r="D22" s="22" t="s">
        <v>81</v>
      </c>
      <c r="E22" s="22" t="s">
        <v>81</v>
      </c>
      <c r="F22" s="22" t="s">
        <v>81</v>
      </c>
      <c r="G22" s="22" t="s">
        <v>81</v>
      </c>
      <c r="H22" s="21" t="s">
        <v>75</v>
      </c>
      <c r="I22" s="21" t="s">
        <v>75</v>
      </c>
      <c r="J22" s="22" t="s">
        <v>81</v>
      </c>
      <c r="K22" s="22" t="s">
        <v>81</v>
      </c>
      <c r="L22" s="22" t="s">
        <v>81</v>
      </c>
      <c r="M22" s="22" t="s">
        <v>81</v>
      </c>
      <c r="N22" s="22" t="s">
        <v>81</v>
      </c>
      <c r="O22" s="21" t="s">
        <v>75</v>
      </c>
      <c r="P22" s="21" t="s">
        <v>75</v>
      </c>
      <c r="Q22" s="22" t="s">
        <v>15</v>
      </c>
      <c r="R22" s="22" t="s">
        <v>15</v>
      </c>
      <c r="S22" s="22" t="s">
        <v>81</v>
      </c>
      <c r="T22" s="22" t="s">
        <v>81</v>
      </c>
      <c r="U22" s="22" t="s">
        <v>81</v>
      </c>
      <c r="V22" s="21" t="s">
        <v>75</v>
      </c>
      <c r="W22" s="21" t="s">
        <v>75</v>
      </c>
      <c r="X22" s="22" t="s">
        <v>81</v>
      </c>
      <c r="Y22" s="22" t="s">
        <v>81</v>
      </c>
      <c r="Z22" s="22" t="s">
        <v>81</v>
      </c>
      <c r="AA22" s="22" t="s">
        <v>81</v>
      </c>
      <c r="AB22" s="22" t="s">
        <v>81</v>
      </c>
      <c r="AC22" s="21" t="s">
        <v>75</v>
      </c>
      <c r="AD22" s="21" t="s">
        <v>75</v>
      </c>
      <c r="AE22" s="22" t="s">
        <v>81</v>
      </c>
      <c r="AF22" s="22" t="s">
        <v>81</v>
      </c>
      <c r="AG22" s="4">
        <f t="shared" si="11"/>
        <v>22</v>
      </c>
      <c r="AH22" s="5">
        <f t="shared" si="12"/>
        <v>20</v>
      </c>
      <c r="AI22" s="6">
        <f t="shared" si="13"/>
        <v>2</v>
      </c>
      <c r="AJ22" s="7">
        <f t="shared" si="14"/>
        <v>0</v>
      </c>
      <c r="AK22" s="7">
        <f t="shared" si="15"/>
        <v>0</v>
      </c>
      <c r="AL22" s="7">
        <f t="shared" si="16"/>
        <v>0</v>
      </c>
      <c r="AM22" s="7">
        <f t="shared" si="17"/>
        <v>0</v>
      </c>
      <c r="AN22" s="8">
        <f t="shared" si="18"/>
        <v>0</v>
      </c>
      <c r="AO22" s="12">
        <f t="shared" si="19"/>
        <v>22</v>
      </c>
      <c r="AP22" s="23">
        <f t="shared" si="20"/>
        <v>0</v>
      </c>
      <c r="AQ22" s="14">
        <f t="shared" si="21"/>
        <v>100</v>
      </c>
    </row>
    <row r="23" spans="1:43" x14ac:dyDescent="0.35">
      <c r="A23" s="2">
        <v>21</v>
      </c>
      <c r="B23" s="3" t="s">
        <v>132</v>
      </c>
      <c r="C23" s="22" t="s">
        <v>81</v>
      </c>
      <c r="D23" s="22" t="s">
        <v>81</v>
      </c>
      <c r="E23" s="22" t="s">
        <v>81</v>
      </c>
      <c r="F23" s="22" t="s">
        <v>81</v>
      </c>
      <c r="G23" s="22" t="s">
        <v>81</v>
      </c>
      <c r="H23" s="21" t="s">
        <v>75</v>
      </c>
      <c r="I23" s="21" t="s">
        <v>75</v>
      </c>
      <c r="J23" s="22" t="s">
        <v>81</v>
      </c>
      <c r="K23" s="22" t="s">
        <v>81</v>
      </c>
      <c r="L23" s="22" t="s">
        <v>81</v>
      </c>
      <c r="M23" s="22" t="s">
        <v>81</v>
      </c>
      <c r="N23" s="22" t="s">
        <v>81</v>
      </c>
      <c r="O23" s="21" t="s">
        <v>75</v>
      </c>
      <c r="P23" s="21" t="s">
        <v>75</v>
      </c>
      <c r="Q23" s="22" t="s">
        <v>81</v>
      </c>
      <c r="R23" s="22" t="s">
        <v>81</v>
      </c>
      <c r="S23" s="22" t="s">
        <v>81</v>
      </c>
      <c r="T23" s="22" t="s">
        <v>81</v>
      </c>
      <c r="U23" s="22" t="s">
        <v>81</v>
      </c>
      <c r="V23" s="21" t="s">
        <v>75</v>
      </c>
      <c r="W23" s="21" t="s">
        <v>75</v>
      </c>
      <c r="X23" s="22" t="s">
        <v>81</v>
      </c>
      <c r="Y23" s="22" t="s">
        <v>81</v>
      </c>
      <c r="Z23" s="22" t="s">
        <v>81</v>
      </c>
      <c r="AA23" s="22" t="s">
        <v>81</v>
      </c>
      <c r="AB23" s="22" t="s">
        <v>81</v>
      </c>
      <c r="AC23" s="21" t="s">
        <v>75</v>
      </c>
      <c r="AD23" s="21" t="s">
        <v>75</v>
      </c>
      <c r="AE23" s="22" t="s">
        <v>81</v>
      </c>
      <c r="AF23" s="22" t="s">
        <v>81</v>
      </c>
      <c r="AG23" s="4">
        <f t="shared" si="11"/>
        <v>22</v>
      </c>
      <c r="AH23" s="5">
        <f t="shared" si="12"/>
        <v>22</v>
      </c>
      <c r="AI23" s="6">
        <f t="shared" si="13"/>
        <v>0</v>
      </c>
      <c r="AJ23" s="7">
        <f t="shared" si="14"/>
        <v>0</v>
      </c>
      <c r="AK23" s="7">
        <f t="shared" si="15"/>
        <v>0</v>
      </c>
      <c r="AL23" s="7">
        <f t="shared" si="16"/>
        <v>0</v>
      </c>
      <c r="AM23" s="7">
        <f t="shared" si="17"/>
        <v>0</v>
      </c>
      <c r="AN23" s="8">
        <f t="shared" si="18"/>
        <v>0</v>
      </c>
      <c r="AO23" s="12">
        <f t="shared" si="19"/>
        <v>22</v>
      </c>
      <c r="AP23" s="23">
        <f t="shared" si="20"/>
        <v>0</v>
      </c>
      <c r="AQ23" s="14">
        <f t="shared" si="21"/>
        <v>100</v>
      </c>
    </row>
    <row r="24" spans="1:43" x14ac:dyDescent="0.35">
      <c r="A24" s="2">
        <v>22</v>
      </c>
      <c r="B24" s="3" t="s">
        <v>133</v>
      </c>
      <c r="C24" s="22" t="s">
        <v>81</v>
      </c>
      <c r="D24" s="22" t="s">
        <v>81</v>
      </c>
      <c r="E24" s="22" t="s">
        <v>81</v>
      </c>
      <c r="F24" s="22" t="s">
        <v>81</v>
      </c>
      <c r="G24" s="22" t="s">
        <v>81</v>
      </c>
      <c r="H24" s="21" t="s">
        <v>75</v>
      </c>
      <c r="I24" s="21" t="s">
        <v>75</v>
      </c>
      <c r="J24" s="22" t="s">
        <v>81</v>
      </c>
      <c r="K24" s="22" t="s">
        <v>81</v>
      </c>
      <c r="L24" s="22" t="s">
        <v>81</v>
      </c>
      <c r="M24" s="22" t="s">
        <v>81</v>
      </c>
      <c r="N24" s="22" t="s">
        <v>81</v>
      </c>
      <c r="O24" s="21" t="s">
        <v>75</v>
      </c>
      <c r="P24" s="21" t="s">
        <v>75</v>
      </c>
      <c r="Q24" s="22" t="s">
        <v>81</v>
      </c>
      <c r="R24" s="22" t="s">
        <v>81</v>
      </c>
      <c r="S24" s="22" t="s">
        <v>81</v>
      </c>
      <c r="T24" s="22" t="s">
        <v>81</v>
      </c>
      <c r="U24" s="22" t="s">
        <v>81</v>
      </c>
      <c r="V24" s="21" t="s">
        <v>75</v>
      </c>
      <c r="W24" s="21" t="s">
        <v>75</v>
      </c>
      <c r="X24" s="22" t="s">
        <v>81</v>
      </c>
      <c r="Y24" s="22" t="s">
        <v>81</v>
      </c>
      <c r="Z24" s="22" t="s">
        <v>81</v>
      </c>
      <c r="AA24" s="22" t="s">
        <v>81</v>
      </c>
      <c r="AB24" s="22" t="s">
        <v>81</v>
      </c>
      <c r="AC24" s="21" t="s">
        <v>75</v>
      </c>
      <c r="AD24" s="21" t="s">
        <v>75</v>
      </c>
      <c r="AE24" s="22" t="s">
        <v>81</v>
      </c>
      <c r="AF24" s="22" t="s">
        <v>81</v>
      </c>
      <c r="AG24" s="4">
        <f t="shared" si="11"/>
        <v>22</v>
      </c>
      <c r="AH24" s="5">
        <f t="shared" si="12"/>
        <v>22</v>
      </c>
      <c r="AI24" s="6">
        <f t="shared" si="13"/>
        <v>0</v>
      </c>
      <c r="AJ24" s="7">
        <f t="shared" si="14"/>
        <v>0</v>
      </c>
      <c r="AK24" s="7">
        <f t="shared" si="15"/>
        <v>0</v>
      </c>
      <c r="AL24" s="7">
        <f t="shared" si="16"/>
        <v>0</v>
      </c>
      <c r="AM24" s="7">
        <f t="shared" si="17"/>
        <v>0</v>
      </c>
      <c r="AN24" s="8">
        <f t="shared" si="18"/>
        <v>0</v>
      </c>
      <c r="AO24" s="12">
        <f t="shared" si="19"/>
        <v>22</v>
      </c>
      <c r="AP24" s="23">
        <f t="shared" si="20"/>
        <v>0</v>
      </c>
      <c r="AQ24" s="14">
        <f t="shared" si="21"/>
        <v>100</v>
      </c>
    </row>
    <row r="25" spans="1:43" x14ac:dyDescent="0.35">
      <c r="A25" s="2">
        <v>23</v>
      </c>
      <c r="B25" s="3" t="s">
        <v>134</v>
      </c>
      <c r="C25" s="22" t="s">
        <v>81</v>
      </c>
      <c r="D25" s="22" t="s">
        <v>81</v>
      </c>
      <c r="E25" s="22" t="s">
        <v>81</v>
      </c>
      <c r="F25" s="22" t="s">
        <v>81</v>
      </c>
      <c r="G25" s="22" t="s">
        <v>81</v>
      </c>
      <c r="H25" s="21" t="s">
        <v>75</v>
      </c>
      <c r="I25" s="21" t="s">
        <v>75</v>
      </c>
      <c r="J25" s="22" t="s">
        <v>81</v>
      </c>
      <c r="K25" s="22" t="s">
        <v>81</v>
      </c>
      <c r="L25" s="22" t="s">
        <v>81</v>
      </c>
      <c r="M25" s="22" t="s">
        <v>81</v>
      </c>
      <c r="N25" s="22" t="s">
        <v>81</v>
      </c>
      <c r="O25" s="21" t="s">
        <v>75</v>
      </c>
      <c r="P25" s="21" t="s">
        <v>75</v>
      </c>
      <c r="Q25" s="22" t="s">
        <v>81</v>
      </c>
      <c r="R25" s="22" t="s">
        <v>81</v>
      </c>
      <c r="S25" s="22" t="s">
        <v>81</v>
      </c>
      <c r="T25" s="22" t="s">
        <v>81</v>
      </c>
      <c r="U25" s="22" t="s">
        <v>81</v>
      </c>
      <c r="V25" s="21" t="s">
        <v>75</v>
      </c>
      <c r="W25" s="21" t="s">
        <v>75</v>
      </c>
      <c r="X25" s="22" t="s">
        <v>81</v>
      </c>
      <c r="Y25" s="22" t="s">
        <v>81</v>
      </c>
      <c r="Z25" s="22" t="s">
        <v>81</v>
      </c>
      <c r="AA25" s="22" t="s">
        <v>81</v>
      </c>
      <c r="AB25" s="22" t="s">
        <v>81</v>
      </c>
      <c r="AC25" s="21" t="s">
        <v>75</v>
      </c>
      <c r="AD25" s="21" t="s">
        <v>75</v>
      </c>
      <c r="AE25" s="22" t="s">
        <v>81</v>
      </c>
      <c r="AF25" s="22" t="s">
        <v>81</v>
      </c>
      <c r="AG25" s="4">
        <f t="shared" si="11"/>
        <v>22</v>
      </c>
      <c r="AH25" s="5">
        <f t="shared" si="12"/>
        <v>22</v>
      </c>
      <c r="AI25" s="6">
        <f t="shared" si="13"/>
        <v>0</v>
      </c>
      <c r="AJ25" s="7">
        <f t="shared" si="14"/>
        <v>0</v>
      </c>
      <c r="AK25" s="7">
        <f t="shared" si="15"/>
        <v>0</v>
      </c>
      <c r="AL25" s="7">
        <f t="shared" si="16"/>
        <v>0</v>
      </c>
      <c r="AM25" s="7">
        <f t="shared" si="17"/>
        <v>0</v>
      </c>
      <c r="AN25" s="8">
        <f t="shared" si="18"/>
        <v>0</v>
      </c>
      <c r="AO25" s="12">
        <f t="shared" si="19"/>
        <v>22</v>
      </c>
      <c r="AP25" s="23">
        <f t="shared" si="20"/>
        <v>0</v>
      </c>
      <c r="AQ25" s="14">
        <f t="shared" si="21"/>
        <v>100</v>
      </c>
    </row>
    <row r="26" spans="1:43" x14ac:dyDescent="0.35">
      <c r="A26" s="2">
        <v>24</v>
      </c>
      <c r="B26" s="3" t="s">
        <v>135</v>
      </c>
      <c r="C26" s="22" t="s">
        <v>81</v>
      </c>
      <c r="D26" s="22" t="s">
        <v>81</v>
      </c>
      <c r="E26" s="22" t="s">
        <v>81</v>
      </c>
      <c r="F26" s="22" t="s">
        <v>81</v>
      </c>
      <c r="G26" s="22" t="s">
        <v>81</v>
      </c>
      <c r="H26" s="21" t="s">
        <v>75</v>
      </c>
      <c r="I26" s="21" t="s">
        <v>75</v>
      </c>
      <c r="J26" s="42" t="s">
        <v>20</v>
      </c>
      <c r="K26" s="42" t="s">
        <v>20</v>
      </c>
      <c r="L26" s="42" t="s">
        <v>20</v>
      </c>
      <c r="M26" s="22" t="s">
        <v>81</v>
      </c>
      <c r="N26" s="22" t="s">
        <v>81</v>
      </c>
      <c r="O26" s="21" t="s">
        <v>75</v>
      </c>
      <c r="P26" s="21" t="s">
        <v>75</v>
      </c>
      <c r="Q26" s="22" t="s">
        <v>81</v>
      </c>
      <c r="R26" s="22" t="s">
        <v>81</v>
      </c>
      <c r="S26" s="22" t="s">
        <v>81</v>
      </c>
      <c r="T26" s="22" t="s">
        <v>81</v>
      </c>
      <c r="U26" s="22" t="s">
        <v>81</v>
      </c>
      <c r="V26" s="21" t="s">
        <v>75</v>
      </c>
      <c r="W26" s="21" t="s">
        <v>75</v>
      </c>
      <c r="X26" s="22" t="s">
        <v>81</v>
      </c>
      <c r="Y26" s="22" t="s">
        <v>81</v>
      </c>
      <c r="Z26" s="22" t="s">
        <v>81</v>
      </c>
      <c r="AA26" s="22" t="s">
        <v>81</v>
      </c>
      <c r="AB26" s="22" t="s">
        <v>81</v>
      </c>
      <c r="AC26" s="21" t="s">
        <v>75</v>
      </c>
      <c r="AD26" s="21" t="s">
        <v>75</v>
      </c>
      <c r="AE26" s="22" t="s">
        <v>81</v>
      </c>
      <c r="AF26" s="22" t="s">
        <v>81</v>
      </c>
      <c r="AG26" s="4">
        <f t="shared" ref="AG26:AG56" si="22">30-COUNTIF(C26:AF26,"WO")-COUNTIF(C26:AF26,"H")</f>
        <v>22</v>
      </c>
      <c r="AH26" s="5">
        <f t="shared" ref="AH26:AH56" si="23">COUNTIF(C26:AF26,"P")</f>
        <v>19</v>
      </c>
      <c r="AI26" s="6">
        <f t="shared" ref="AI26:AI56" si="24">COUNTIF(C26:AF26,"WFH")</f>
        <v>0</v>
      </c>
      <c r="AJ26" s="7">
        <f t="shared" ref="AJ26:AJ56" si="25">COUNTIF(C26:AF26,"HD")</f>
        <v>0</v>
      </c>
      <c r="AK26" s="7">
        <f t="shared" ref="AK26:AK56" si="26">COUNTIF(C26:AF26,"EL")</f>
        <v>0</v>
      </c>
      <c r="AL26" s="7">
        <f t="shared" ref="AL26:AL56" si="27">COUNTIF(C26:AF26,"SL")</f>
        <v>0</v>
      </c>
      <c r="AM26" s="7">
        <f t="shared" ref="AM26:AM56" si="28">COUNTIF(C26:AF26,"CL")</f>
        <v>0</v>
      </c>
      <c r="AN26" s="8">
        <f t="shared" ref="AN26:AN56" si="29">COUNTIF(C26:AF26,"LOP")</f>
        <v>3</v>
      </c>
      <c r="AO26" s="12">
        <f t="shared" ref="AO26:AO56" si="30">AH26+AI26+AJ26*0.5+AK26+AL26+AM26</f>
        <v>19</v>
      </c>
      <c r="AP26" s="23">
        <f t="shared" ref="AP26:AP56" si="31">AN26</f>
        <v>3</v>
      </c>
      <c r="AQ26" s="14">
        <f t="shared" ref="AQ26:AQ56" si="32">IFERROR(AO26/AG26*100,0)</f>
        <v>86.36363636363636</v>
      </c>
    </row>
    <row r="27" spans="1:43" x14ac:dyDescent="0.35">
      <c r="A27" s="2">
        <v>25</v>
      </c>
      <c r="B27" s="3" t="s">
        <v>136</v>
      </c>
      <c r="C27" s="22" t="s">
        <v>81</v>
      </c>
      <c r="D27" s="22" t="s">
        <v>81</v>
      </c>
      <c r="E27" s="22" t="s">
        <v>81</v>
      </c>
      <c r="F27" s="22" t="s">
        <v>81</v>
      </c>
      <c r="G27" s="22" t="s">
        <v>81</v>
      </c>
      <c r="H27" s="21" t="s">
        <v>75</v>
      </c>
      <c r="I27" s="21" t="s">
        <v>75</v>
      </c>
      <c r="J27" s="22" t="s">
        <v>81</v>
      </c>
      <c r="K27" s="42" t="s">
        <v>20</v>
      </c>
      <c r="L27" s="22" t="s">
        <v>15</v>
      </c>
      <c r="M27" s="22" t="s">
        <v>81</v>
      </c>
      <c r="N27" s="22" t="s">
        <v>81</v>
      </c>
      <c r="O27" s="21" t="s">
        <v>75</v>
      </c>
      <c r="P27" s="21" t="s">
        <v>75</v>
      </c>
      <c r="Q27" s="22" t="s">
        <v>81</v>
      </c>
      <c r="R27" s="22" t="s">
        <v>81</v>
      </c>
      <c r="S27" s="22" t="s">
        <v>15</v>
      </c>
      <c r="T27" s="22" t="s">
        <v>15</v>
      </c>
      <c r="U27" s="22" t="s">
        <v>81</v>
      </c>
      <c r="V27" s="21" t="s">
        <v>75</v>
      </c>
      <c r="W27" s="21" t="s">
        <v>75</v>
      </c>
      <c r="X27" s="22" t="s">
        <v>15</v>
      </c>
      <c r="Y27" s="22" t="s">
        <v>81</v>
      </c>
      <c r="Z27" s="22" t="s">
        <v>81</v>
      </c>
      <c r="AA27" s="22" t="s">
        <v>81</v>
      </c>
      <c r="AB27" s="22" t="s">
        <v>81</v>
      </c>
      <c r="AC27" s="21" t="s">
        <v>75</v>
      </c>
      <c r="AD27" s="21" t="s">
        <v>75</v>
      </c>
      <c r="AE27" s="22" t="s">
        <v>81</v>
      </c>
      <c r="AF27" s="22" t="s">
        <v>81</v>
      </c>
      <c r="AG27" s="4">
        <f t="shared" si="22"/>
        <v>22</v>
      </c>
      <c r="AH27" s="5">
        <f t="shared" si="23"/>
        <v>17</v>
      </c>
      <c r="AI27" s="6">
        <f t="shared" si="24"/>
        <v>4</v>
      </c>
      <c r="AJ27" s="7">
        <f t="shared" si="25"/>
        <v>0</v>
      </c>
      <c r="AK27" s="7">
        <f t="shared" si="26"/>
        <v>0</v>
      </c>
      <c r="AL27" s="7">
        <f t="shared" si="27"/>
        <v>0</v>
      </c>
      <c r="AM27" s="7">
        <f t="shared" si="28"/>
        <v>0</v>
      </c>
      <c r="AN27" s="8">
        <f t="shared" si="29"/>
        <v>1</v>
      </c>
      <c r="AO27" s="12">
        <f t="shared" si="30"/>
        <v>21</v>
      </c>
      <c r="AP27" s="23">
        <f t="shared" si="31"/>
        <v>1</v>
      </c>
      <c r="AQ27" s="14">
        <f t="shared" si="32"/>
        <v>95.454545454545453</v>
      </c>
    </row>
    <row r="28" spans="1:43" x14ac:dyDescent="0.35">
      <c r="A28" s="2">
        <v>26</v>
      </c>
      <c r="B28" s="3" t="s">
        <v>137</v>
      </c>
      <c r="C28" s="22" t="s">
        <v>81</v>
      </c>
      <c r="D28" s="22" t="s">
        <v>81</v>
      </c>
      <c r="E28" s="22" t="s">
        <v>81</v>
      </c>
      <c r="F28" s="22" t="s">
        <v>81</v>
      </c>
      <c r="G28" s="22" t="s">
        <v>81</v>
      </c>
      <c r="H28" s="21" t="s">
        <v>75</v>
      </c>
      <c r="I28" s="21" t="s">
        <v>75</v>
      </c>
      <c r="J28" s="22" t="s">
        <v>81</v>
      </c>
      <c r="K28" s="22" t="s">
        <v>81</v>
      </c>
      <c r="L28" s="22" t="s">
        <v>81</v>
      </c>
      <c r="M28" s="22" t="s">
        <v>81</v>
      </c>
      <c r="N28" s="22" t="s">
        <v>81</v>
      </c>
      <c r="O28" s="21" t="s">
        <v>75</v>
      </c>
      <c r="P28" s="21" t="s">
        <v>75</v>
      </c>
      <c r="Q28" s="22" t="s">
        <v>81</v>
      </c>
      <c r="R28" s="22" t="s">
        <v>81</v>
      </c>
      <c r="S28" s="22" t="s">
        <v>81</v>
      </c>
      <c r="T28" s="22" t="s">
        <v>81</v>
      </c>
      <c r="U28" s="22" t="s">
        <v>81</v>
      </c>
      <c r="V28" s="21" t="s">
        <v>75</v>
      </c>
      <c r="W28" s="21" t="s">
        <v>75</v>
      </c>
      <c r="X28" s="22" t="s">
        <v>81</v>
      </c>
      <c r="Y28" s="22" t="s">
        <v>81</v>
      </c>
      <c r="Z28" s="22" t="s">
        <v>81</v>
      </c>
      <c r="AA28" s="22" t="s">
        <v>81</v>
      </c>
      <c r="AB28" s="22" t="s">
        <v>81</v>
      </c>
      <c r="AC28" s="21" t="s">
        <v>75</v>
      </c>
      <c r="AD28" s="21" t="s">
        <v>75</v>
      </c>
      <c r="AE28" s="22" t="s">
        <v>81</v>
      </c>
      <c r="AF28" s="22" t="s">
        <v>81</v>
      </c>
      <c r="AG28" s="4">
        <f t="shared" si="22"/>
        <v>22</v>
      </c>
      <c r="AH28" s="5">
        <f t="shared" si="23"/>
        <v>22</v>
      </c>
      <c r="AI28" s="6">
        <f t="shared" si="24"/>
        <v>0</v>
      </c>
      <c r="AJ28" s="7">
        <f t="shared" si="25"/>
        <v>0</v>
      </c>
      <c r="AK28" s="7">
        <f t="shared" si="26"/>
        <v>0</v>
      </c>
      <c r="AL28" s="7">
        <f t="shared" si="27"/>
        <v>0</v>
      </c>
      <c r="AM28" s="7">
        <f t="shared" si="28"/>
        <v>0</v>
      </c>
      <c r="AN28" s="8">
        <f t="shared" si="29"/>
        <v>0</v>
      </c>
      <c r="AO28" s="12">
        <f t="shared" si="30"/>
        <v>22</v>
      </c>
      <c r="AP28" s="23">
        <f t="shared" si="31"/>
        <v>0</v>
      </c>
      <c r="AQ28" s="14">
        <f t="shared" si="32"/>
        <v>100</v>
      </c>
    </row>
    <row r="29" spans="1:43" x14ac:dyDescent="0.35">
      <c r="A29" s="2">
        <v>27</v>
      </c>
      <c r="B29" s="3" t="s">
        <v>138</v>
      </c>
      <c r="C29" s="22" t="s">
        <v>81</v>
      </c>
      <c r="D29" s="22" t="s">
        <v>81</v>
      </c>
      <c r="E29" s="22" t="s">
        <v>81</v>
      </c>
      <c r="F29" s="22" t="s">
        <v>81</v>
      </c>
      <c r="G29" s="22" t="s">
        <v>81</v>
      </c>
      <c r="H29" s="21" t="s">
        <v>75</v>
      </c>
      <c r="I29" s="21" t="s">
        <v>75</v>
      </c>
      <c r="J29" s="22" t="s">
        <v>81</v>
      </c>
      <c r="K29" s="22" t="s">
        <v>81</v>
      </c>
      <c r="L29" s="22" t="s">
        <v>81</v>
      </c>
      <c r="M29" s="22" t="s">
        <v>81</v>
      </c>
      <c r="N29" s="22" t="s">
        <v>81</v>
      </c>
      <c r="O29" s="21" t="s">
        <v>75</v>
      </c>
      <c r="P29" s="21" t="s">
        <v>75</v>
      </c>
      <c r="Q29" s="22" t="s">
        <v>81</v>
      </c>
      <c r="R29" s="22" t="s">
        <v>81</v>
      </c>
      <c r="S29" s="22" t="s">
        <v>81</v>
      </c>
      <c r="T29" s="22" t="s">
        <v>81</v>
      </c>
      <c r="U29" s="22" t="s">
        <v>81</v>
      </c>
      <c r="V29" s="21" t="s">
        <v>75</v>
      </c>
      <c r="W29" s="21" t="s">
        <v>75</v>
      </c>
      <c r="X29" s="22" t="s">
        <v>81</v>
      </c>
      <c r="Y29" s="22" t="s">
        <v>81</v>
      </c>
      <c r="Z29" s="22" t="s">
        <v>81</v>
      </c>
      <c r="AA29" s="22" t="s">
        <v>81</v>
      </c>
      <c r="AB29" s="22" t="s">
        <v>81</v>
      </c>
      <c r="AC29" s="21" t="s">
        <v>75</v>
      </c>
      <c r="AD29" s="21" t="s">
        <v>75</v>
      </c>
      <c r="AE29" s="22" t="s">
        <v>81</v>
      </c>
      <c r="AF29" s="22" t="s">
        <v>81</v>
      </c>
      <c r="AG29" s="4">
        <f t="shared" si="22"/>
        <v>22</v>
      </c>
      <c r="AH29" s="5">
        <f t="shared" si="23"/>
        <v>22</v>
      </c>
      <c r="AI29" s="6">
        <f t="shared" si="24"/>
        <v>0</v>
      </c>
      <c r="AJ29" s="7">
        <f t="shared" si="25"/>
        <v>0</v>
      </c>
      <c r="AK29" s="7">
        <f t="shared" si="26"/>
        <v>0</v>
      </c>
      <c r="AL29" s="7">
        <f t="shared" si="27"/>
        <v>0</v>
      </c>
      <c r="AM29" s="7">
        <f t="shared" si="28"/>
        <v>0</v>
      </c>
      <c r="AN29" s="8">
        <f t="shared" si="29"/>
        <v>0</v>
      </c>
      <c r="AO29" s="12">
        <f t="shared" si="30"/>
        <v>22</v>
      </c>
      <c r="AP29" s="23">
        <f t="shared" si="31"/>
        <v>0</v>
      </c>
      <c r="AQ29" s="14">
        <f t="shared" si="32"/>
        <v>100</v>
      </c>
    </row>
    <row r="30" spans="1:43" x14ac:dyDescent="0.35">
      <c r="A30" s="2">
        <v>28</v>
      </c>
      <c r="B30" s="3" t="s">
        <v>139</v>
      </c>
      <c r="C30" s="22" t="s">
        <v>81</v>
      </c>
      <c r="D30" s="22" t="s">
        <v>81</v>
      </c>
      <c r="E30" s="22" t="s">
        <v>81</v>
      </c>
      <c r="F30" s="22" t="s">
        <v>81</v>
      </c>
      <c r="G30" s="22" t="s">
        <v>81</v>
      </c>
      <c r="H30" s="21" t="s">
        <v>75</v>
      </c>
      <c r="I30" s="21" t="s">
        <v>75</v>
      </c>
      <c r="J30" s="22" t="s">
        <v>81</v>
      </c>
      <c r="K30" s="22" t="s">
        <v>15</v>
      </c>
      <c r="L30" s="22" t="s">
        <v>81</v>
      </c>
      <c r="M30" s="22" t="s">
        <v>81</v>
      </c>
      <c r="N30" s="22" t="s">
        <v>81</v>
      </c>
      <c r="O30" s="21" t="s">
        <v>75</v>
      </c>
      <c r="P30" s="21" t="s">
        <v>75</v>
      </c>
      <c r="Q30" s="22" t="s">
        <v>81</v>
      </c>
      <c r="R30" s="22" t="s">
        <v>81</v>
      </c>
      <c r="S30" s="22" t="s">
        <v>81</v>
      </c>
      <c r="T30" s="22" t="s">
        <v>81</v>
      </c>
      <c r="U30" s="22" t="s">
        <v>81</v>
      </c>
      <c r="V30" s="21" t="s">
        <v>75</v>
      </c>
      <c r="W30" s="21" t="s">
        <v>75</v>
      </c>
      <c r="X30" s="22" t="s">
        <v>81</v>
      </c>
      <c r="Y30" s="22" t="s">
        <v>81</v>
      </c>
      <c r="Z30" s="22" t="s">
        <v>81</v>
      </c>
      <c r="AA30" s="22" t="s">
        <v>81</v>
      </c>
      <c r="AB30" s="22" t="s">
        <v>81</v>
      </c>
      <c r="AC30" s="21" t="s">
        <v>75</v>
      </c>
      <c r="AD30" s="21" t="s">
        <v>75</v>
      </c>
      <c r="AE30" s="22" t="s">
        <v>81</v>
      </c>
      <c r="AF30" s="22" t="s">
        <v>81</v>
      </c>
      <c r="AG30" s="4">
        <f t="shared" si="22"/>
        <v>22</v>
      </c>
      <c r="AH30" s="5">
        <f t="shared" si="23"/>
        <v>21</v>
      </c>
      <c r="AI30" s="6">
        <f t="shared" si="24"/>
        <v>1</v>
      </c>
      <c r="AJ30" s="7">
        <f t="shared" si="25"/>
        <v>0</v>
      </c>
      <c r="AK30" s="7">
        <f t="shared" si="26"/>
        <v>0</v>
      </c>
      <c r="AL30" s="7">
        <f t="shared" si="27"/>
        <v>0</v>
      </c>
      <c r="AM30" s="7">
        <f t="shared" si="28"/>
        <v>0</v>
      </c>
      <c r="AN30" s="8">
        <f t="shared" si="29"/>
        <v>0</v>
      </c>
      <c r="AO30" s="12">
        <f t="shared" si="30"/>
        <v>22</v>
      </c>
      <c r="AP30" s="23">
        <f t="shared" si="31"/>
        <v>0</v>
      </c>
      <c r="AQ30" s="14">
        <f t="shared" si="32"/>
        <v>100</v>
      </c>
    </row>
    <row r="31" spans="1:43" x14ac:dyDescent="0.35">
      <c r="A31" s="2">
        <v>29</v>
      </c>
      <c r="B31" s="3" t="s">
        <v>140</v>
      </c>
      <c r="C31" s="22" t="s">
        <v>81</v>
      </c>
      <c r="D31" s="22" t="s">
        <v>81</v>
      </c>
      <c r="E31" s="42" t="s">
        <v>20</v>
      </c>
      <c r="F31" s="22" t="s">
        <v>81</v>
      </c>
      <c r="G31" s="22" t="s">
        <v>81</v>
      </c>
      <c r="H31" s="21" t="s">
        <v>75</v>
      </c>
      <c r="I31" s="21" t="s">
        <v>75</v>
      </c>
      <c r="J31" s="22" t="s">
        <v>81</v>
      </c>
      <c r="K31" s="22" t="s">
        <v>81</v>
      </c>
      <c r="L31" s="22" t="s">
        <v>81</v>
      </c>
      <c r="M31" s="22" t="s">
        <v>81</v>
      </c>
      <c r="N31" s="22" t="s">
        <v>81</v>
      </c>
      <c r="O31" s="21" t="s">
        <v>75</v>
      </c>
      <c r="P31" s="21" t="s">
        <v>75</v>
      </c>
      <c r="Q31" s="22" t="s">
        <v>81</v>
      </c>
      <c r="R31" s="22" t="s">
        <v>81</v>
      </c>
      <c r="S31" s="22" t="s">
        <v>81</v>
      </c>
      <c r="T31" s="22" t="s">
        <v>81</v>
      </c>
      <c r="U31" s="22" t="s">
        <v>81</v>
      </c>
      <c r="V31" s="21" t="s">
        <v>75</v>
      </c>
      <c r="W31" s="21" t="s">
        <v>75</v>
      </c>
      <c r="X31" s="22" t="s">
        <v>81</v>
      </c>
      <c r="Y31" s="22" t="s">
        <v>81</v>
      </c>
      <c r="Z31" s="22" t="s">
        <v>81</v>
      </c>
      <c r="AA31" s="22" t="s">
        <v>81</v>
      </c>
      <c r="AB31" s="22" t="s">
        <v>81</v>
      </c>
      <c r="AC31" s="21" t="s">
        <v>75</v>
      </c>
      <c r="AD31" s="21" t="s">
        <v>75</v>
      </c>
      <c r="AE31" s="22" t="s">
        <v>81</v>
      </c>
      <c r="AF31" s="22" t="s">
        <v>81</v>
      </c>
      <c r="AG31" s="4">
        <f t="shared" si="22"/>
        <v>22</v>
      </c>
      <c r="AH31" s="5">
        <f t="shared" si="23"/>
        <v>21</v>
      </c>
      <c r="AI31" s="6">
        <f t="shared" si="24"/>
        <v>0</v>
      </c>
      <c r="AJ31" s="7">
        <f t="shared" si="25"/>
        <v>0</v>
      </c>
      <c r="AK31" s="7">
        <f t="shared" si="26"/>
        <v>0</v>
      </c>
      <c r="AL31" s="7">
        <f t="shared" si="27"/>
        <v>0</v>
      </c>
      <c r="AM31" s="7">
        <f t="shared" si="28"/>
        <v>0</v>
      </c>
      <c r="AN31" s="8">
        <f t="shared" si="29"/>
        <v>1</v>
      </c>
      <c r="AO31" s="12">
        <f t="shared" si="30"/>
        <v>21</v>
      </c>
      <c r="AP31" s="23">
        <f t="shared" si="31"/>
        <v>1</v>
      </c>
      <c r="AQ31" s="14">
        <f t="shared" si="32"/>
        <v>95.454545454545453</v>
      </c>
    </row>
    <row r="32" spans="1:43" x14ac:dyDescent="0.35">
      <c r="A32" s="2">
        <v>30</v>
      </c>
      <c r="B32" s="3" t="s">
        <v>141</v>
      </c>
      <c r="C32" s="22" t="s">
        <v>81</v>
      </c>
      <c r="D32" s="22" t="s">
        <v>81</v>
      </c>
      <c r="E32" s="22" t="s">
        <v>81</v>
      </c>
      <c r="F32" s="22" t="s">
        <v>81</v>
      </c>
      <c r="G32" s="22" t="s">
        <v>81</v>
      </c>
      <c r="H32" s="21" t="s">
        <v>75</v>
      </c>
      <c r="I32" s="21" t="s">
        <v>75</v>
      </c>
      <c r="J32" s="22" t="s">
        <v>81</v>
      </c>
      <c r="K32" s="22" t="s">
        <v>81</v>
      </c>
      <c r="L32" s="22" t="s">
        <v>81</v>
      </c>
      <c r="M32" s="22" t="s">
        <v>81</v>
      </c>
      <c r="N32" s="22" t="s">
        <v>81</v>
      </c>
      <c r="O32" s="21" t="s">
        <v>75</v>
      </c>
      <c r="P32" s="21" t="s">
        <v>75</v>
      </c>
      <c r="Q32" s="22" t="s">
        <v>81</v>
      </c>
      <c r="R32" s="22" t="s">
        <v>81</v>
      </c>
      <c r="S32" s="22" t="s">
        <v>81</v>
      </c>
      <c r="T32" s="22" t="s">
        <v>81</v>
      </c>
      <c r="U32" s="22" t="s">
        <v>81</v>
      </c>
      <c r="V32" s="21" t="s">
        <v>75</v>
      </c>
      <c r="W32" s="21" t="s">
        <v>75</v>
      </c>
      <c r="X32" s="22" t="s">
        <v>81</v>
      </c>
      <c r="Y32" s="22" t="s">
        <v>81</v>
      </c>
      <c r="Z32" s="22" t="s">
        <v>81</v>
      </c>
      <c r="AA32" s="22" t="s">
        <v>81</v>
      </c>
      <c r="AB32" s="22" t="s">
        <v>81</v>
      </c>
      <c r="AC32" s="21" t="s">
        <v>75</v>
      </c>
      <c r="AD32" s="21" t="s">
        <v>75</v>
      </c>
      <c r="AE32" s="22" t="s">
        <v>81</v>
      </c>
      <c r="AF32" s="22" t="s">
        <v>81</v>
      </c>
      <c r="AG32" s="4">
        <f t="shared" si="22"/>
        <v>22</v>
      </c>
      <c r="AH32" s="5">
        <f t="shared" si="23"/>
        <v>22</v>
      </c>
      <c r="AI32" s="6">
        <f t="shared" si="24"/>
        <v>0</v>
      </c>
      <c r="AJ32" s="7">
        <f t="shared" si="25"/>
        <v>0</v>
      </c>
      <c r="AK32" s="7">
        <f t="shared" si="26"/>
        <v>0</v>
      </c>
      <c r="AL32" s="7">
        <f t="shared" si="27"/>
        <v>0</v>
      </c>
      <c r="AM32" s="7">
        <f t="shared" si="28"/>
        <v>0</v>
      </c>
      <c r="AN32" s="8">
        <f t="shared" si="29"/>
        <v>0</v>
      </c>
      <c r="AO32" s="12">
        <f t="shared" si="30"/>
        <v>22</v>
      </c>
      <c r="AP32" s="23">
        <f t="shared" si="31"/>
        <v>0</v>
      </c>
      <c r="AQ32" s="14">
        <f t="shared" si="32"/>
        <v>100</v>
      </c>
    </row>
    <row r="33" spans="1:43" x14ac:dyDescent="0.35">
      <c r="A33" s="2">
        <v>31</v>
      </c>
      <c r="B33" s="3" t="s">
        <v>142</v>
      </c>
      <c r="C33" s="22" t="s">
        <v>81</v>
      </c>
      <c r="D33" s="22" t="s">
        <v>81</v>
      </c>
      <c r="E33" s="42" t="s">
        <v>20</v>
      </c>
      <c r="F33" s="22" t="s">
        <v>81</v>
      </c>
      <c r="G33" s="22" t="s">
        <v>81</v>
      </c>
      <c r="H33" s="21" t="s">
        <v>75</v>
      </c>
      <c r="I33" s="21" t="s">
        <v>75</v>
      </c>
      <c r="J33" s="22" t="s">
        <v>81</v>
      </c>
      <c r="K33" s="22" t="s">
        <v>81</v>
      </c>
      <c r="L33" s="22" t="s">
        <v>81</v>
      </c>
      <c r="M33" s="22" t="s">
        <v>81</v>
      </c>
      <c r="N33" s="22" t="s">
        <v>81</v>
      </c>
      <c r="O33" s="21" t="s">
        <v>75</v>
      </c>
      <c r="P33" s="21" t="s">
        <v>75</v>
      </c>
      <c r="Q33" s="22" t="s">
        <v>81</v>
      </c>
      <c r="R33" s="22" t="s">
        <v>81</v>
      </c>
      <c r="S33" s="22" t="s">
        <v>81</v>
      </c>
      <c r="T33" s="22" t="s">
        <v>81</v>
      </c>
      <c r="U33" s="22" t="s">
        <v>81</v>
      </c>
      <c r="V33" s="21" t="s">
        <v>75</v>
      </c>
      <c r="W33" s="21" t="s">
        <v>75</v>
      </c>
      <c r="X33" s="22" t="s">
        <v>81</v>
      </c>
      <c r="Y33" s="22" t="s">
        <v>81</v>
      </c>
      <c r="Z33" s="22" t="s">
        <v>81</v>
      </c>
      <c r="AA33" s="22" t="s">
        <v>81</v>
      </c>
      <c r="AB33" s="22" t="s">
        <v>81</v>
      </c>
      <c r="AC33" s="21" t="s">
        <v>75</v>
      </c>
      <c r="AD33" s="21" t="s">
        <v>75</v>
      </c>
      <c r="AE33" s="22" t="s">
        <v>81</v>
      </c>
      <c r="AF33" s="22" t="s">
        <v>81</v>
      </c>
      <c r="AG33" s="4">
        <f t="shared" si="22"/>
        <v>22</v>
      </c>
      <c r="AH33" s="5">
        <f t="shared" si="23"/>
        <v>21</v>
      </c>
      <c r="AI33" s="6">
        <f t="shared" si="24"/>
        <v>0</v>
      </c>
      <c r="AJ33" s="7">
        <f t="shared" si="25"/>
        <v>0</v>
      </c>
      <c r="AK33" s="7">
        <f t="shared" si="26"/>
        <v>0</v>
      </c>
      <c r="AL33" s="7">
        <f t="shared" si="27"/>
        <v>0</v>
      </c>
      <c r="AM33" s="7">
        <f t="shared" si="28"/>
        <v>0</v>
      </c>
      <c r="AN33" s="8">
        <f t="shared" si="29"/>
        <v>1</v>
      </c>
      <c r="AO33" s="12">
        <f t="shared" si="30"/>
        <v>21</v>
      </c>
      <c r="AP33" s="23">
        <f t="shared" si="31"/>
        <v>1</v>
      </c>
      <c r="AQ33" s="14">
        <f t="shared" si="32"/>
        <v>95.454545454545453</v>
      </c>
    </row>
    <row r="34" spans="1:43" x14ac:dyDescent="0.35">
      <c r="A34" s="2">
        <v>32</v>
      </c>
      <c r="B34" s="3" t="s">
        <v>143</v>
      </c>
      <c r="C34" s="22" t="s">
        <v>81</v>
      </c>
      <c r="D34" s="22" t="s">
        <v>81</v>
      </c>
      <c r="E34" s="22" t="s">
        <v>81</v>
      </c>
      <c r="F34" s="22" t="s">
        <v>20</v>
      </c>
      <c r="G34" s="22" t="s">
        <v>20</v>
      </c>
      <c r="H34" s="21" t="s">
        <v>75</v>
      </c>
      <c r="I34" s="21" t="s">
        <v>75</v>
      </c>
      <c r="J34" s="22" t="s">
        <v>81</v>
      </c>
      <c r="K34" s="22" t="s">
        <v>81</v>
      </c>
      <c r="L34" s="22" t="s">
        <v>81</v>
      </c>
      <c r="M34" s="22" t="s">
        <v>81</v>
      </c>
      <c r="N34" s="22" t="s">
        <v>81</v>
      </c>
      <c r="O34" s="21" t="s">
        <v>75</v>
      </c>
      <c r="P34" s="21" t="s">
        <v>75</v>
      </c>
      <c r="Q34" s="22" t="s">
        <v>81</v>
      </c>
      <c r="R34" s="22" t="s">
        <v>81</v>
      </c>
      <c r="S34" s="22" t="s">
        <v>81</v>
      </c>
      <c r="T34" s="22" t="s">
        <v>81</v>
      </c>
      <c r="U34" s="22" t="s">
        <v>81</v>
      </c>
      <c r="V34" s="21" t="s">
        <v>75</v>
      </c>
      <c r="W34" s="21" t="s">
        <v>75</v>
      </c>
      <c r="X34" s="22" t="s">
        <v>81</v>
      </c>
      <c r="Y34" s="22" t="s">
        <v>81</v>
      </c>
      <c r="Z34" s="22" t="s">
        <v>81</v>
      </c>
      <c r="AA34" s="22" t="s">
        <v>81</v>
      </c>
      <c r="AB34" s="22" t="s">
        <v>81</v>
      </c>
      <c r="AC34" s="21" t="s">
        <v>75</v>
      </c>
      <c r="AD34" s="21" t="s">
        <v>75</v>
      </c>
      <c r="AE34" s="22" t="s">
        <v>81</v>
      </c>
      <c r="AF34" s="22" t="s">
        <v>81</v>
      </c>
      <c r="AG34" s="4">
        <f t="shared" si="22"/>
        <v>22</v>
      </c>
      <c r="AH34" s="5">
        <f t="shared" si="23"/>
        <v>20</v>
      </c>
      <c r="AI34" s="6">
        <f t="shared" si="24"/>
        <v>0</v>
      </c>
      <c r="AJ34" s="7">
        <f t="shared" si="25"/>
        <v>0</v>
      </c>
      <c r="AK34" s="7">
        <f t="shared" si="26"/>
        <v>0</v>
      </c>
      <c r="AL34" s="7">
        <f t="shared" si="27"/>
        <v>0</v>
      </c>
      <c r="AM34" s="7">
        <f t="shared" si="28"/>
        <v>0</v>
      </c>
      <c r="AN34" s="8">
        <f t="shared" si="29"/>
        <v>2</v>
      </c>
      <c r="AO34" s="12">
        <f t="shared" si="30"/>
        <v>20</v>
      </c>
      <c r="AP34" s="23">
        <f t="shared" si="31"/>
        <v>2</v>
      </c>
      <c r="AQ34" s="14">
        <f t="shared" si="32"/>
        <v>90.909090909090907</v>
      </c>
    </row>
    <row r="35" spans="1:43" x14ac:dyDescent="0.35">
      <c r="A35" s="2">
        <v>33</v>
      </c>
      <c r="B35" s="3" t="s">
        <v>144</v>
      </c>
      <c r="C35" s="22" t="s">
        <v>81</v>
      </c>
      <c r="D35" s="22" t="s">
        <v>81</v>
      </c>
      <c r="E35" s="22" t="s">
        <v>81</v>
      </c>
      <c r="F35" s="22" t="s">
        <v>81</v>
      </c>
      <c r="G35" s="22" t="s">
        <v>81</v>
      </c>
      <c r="H35" s="21" t="s">
        <v>75</v>
      </c>
      <c r="I35" s="21" t="s">
        <v>75</v>
      </c>
      <c r="J35" s="22" t="s">
        <v>81</v>
      </c>
      <c r="K35" s="22" t="s">
        <v>81</v>
      </c>
      <c r="L35" s="22" t="s">
        <v>81</v>
      </c>
      <c r="M35" s="22" t="s">
        <v>81</v>
      </c>
      <c r="N35" s="22" t="s">
        <v>81</v>
      </c>
      <c r="O35" s="21" t="s">
        <v>75</v>
      </c>
      <c r="P35" s="21" t="s">
        <v>75</v>
      </c>
      <c r="Q35" s="22" t="s">
        <v>81</v>
      </c>
      <c r="R35" s="22" t="s">
        <v>81</v>
      </c>
      <c r="S35" s="22" t="s">
        <v>81</v>
      </c>
      <c r="T35" s="22" t="s">
        <v>81</v>
      </c>
      <c r="U35" s="22" t="s">
        <v>81</v>
      </c>
      <c r="V35" s="21" t="s">
        <v>75</v>
      </c>
      <c r="W35" s="21" t="s">
        <v>75</v>
      </c>
      <c r="X35" s="22" t="s">
        <v>81</v>
      </c>
      <c r="Y35" s="22" t="s">
        <v>81</v>
      </c>
      <c r="Z35" s="22" t="s">
        <v>81</v>
      </c>
      <c r="AA35" s="22" t="s">
        <v>81</v>
      </c>
      <c r="AB35" s="22" t="s">
        <v>81</v>
      </c>
      <c r="AC35" s="21" t="s">
        <v>75</v>
      </c>
      <c r="AD35" s="21" t="s">
        <v>75</v>
      </c>
      <c r="AE35" s="22" t="s">
        <v>81</v>
      </c>
      <c r="AF35" s="22" t="s">
        <v>81</v>
      </c>
      <c r="AG35" s="4">
        <f t="shared" si="22"/>
        <v>22</v>
      </c>
      <c r="AH35" s="5">
        <f t="shared" si="23"/>
        <v>22</v>
      </c>
      <c r="AI35" s="6">
        <f t="shared" si="24"/>
        <v>0</v>
      </c>
      <c r="AJ35" s="7">
        <f t="shared" si="25"/>
        <v>0</v>
      </c>
      <c r="AK35" s="7">
        <f t="shared" si="26"/>
        <v>0</v>
      </c>
      <c r="AL35" s="7">
        <f t="shared" si="27"/>
        <v>0</v>
      </c>
      <c r="AM35" s="7">
        <f t="shared" si="28"/>
        <v>0</v>
      </c>
      <c r="AN35" s="8">
        <f t="shared" si="29"/>
        <v>0</v>
      </c>
      <c r="AO35" s="12">
        <f t="shared" si="30"/>
        <v>22</v>
      </c>
      <c r="AP35" s="23">
        <f t="shared" si="31"/>
        <v>0</v>
      </c>
      <c r="AQ35" s="14">
        <f t="shared" si="32"/>
        <v>100</v>
      </c>
    </row>
    <row r="36" spans="1:43" x14ac:dyDescent="0.35">
      <c r="A36" s="2">
        <v>34</v>
      </c>
      <c r="B36" s="3" t="s">
        <v>145</v>
      </c>
      <c r="C36" s="22" t="s">
        <v>81</v>
      </c>
      <c r="D36" s="22" t="s">
        <v>81</v>
      </c>
      <c r="E36" s="22" t="s">
        <v>81</v>
      </c>
      <c r="F36" s="22" t="s">
        <v>81</v>
      </c>
      <c r="G36" s="22" t="s">
        <v>81</v>
      </c>
      <c r="H36" s="21" t="s">
        <v>75</v>
      </c>
      <c r="I36" s="21" t="s">
        <v>75</v>
      </c>
      <c r="J36" s="22" t="s">
        <v>81</v>
      </c>
      <c r="K36" s="22" t="s">
        <v>81</v>
      </c>
      <c r="L36" s="22" t="s">
        <v>81</v>
      </c>
      <c r="M36" s="22" t="s">
        <v>81</v>
      </c>
      <c r="N36" s="22" t="s">
        <v>81</v>
      </c>
      <c r="O36" s="21" t="s">
        <v>75</v>
      </c>
      <c r="P36" s="21" t="s">
        <v>75</v>
      </c>
      <c r="Q36" s="22" t="s">
        <v>81</v>
      </c>
      <c r="R36" s="22" t="s">
        <v>81</v>
      </c>
      <c r="S36" s="22" t="s">
        <v>81</v>
      </c>
      <c r="T36" s="22" t="s">
        <v>81</v>
      </c>
      <c r="U36" s="22" t="s">
        <v>81</v>
      </c>
      <c r="V36" s="21" t="s">
        <v>75</v>
      </c>
      <c r="W36" s="21" t="s">
        <v>75</v>
      </c>
      <c r="X36" s="22" t="s">
        <v>81</v>
      </c>
      <c r="Y36" s="22" t="s">
        <v>81</v>
      </c>
      <c r="Z36" s="22" t="s">
        <v>81</v>
      </c>
      <c r="AA36" s="22" t="s">
        <v>81</v>
      </c>
      <c r="AB36" s="22" t="s">
        <v>81</v>
      </c>
      <c r="AC36" s="21" t="s">
        <v>75</v>
      </c>
      <c r="AD36" s="21" t="s">
        <v>75</v>
      </c>
      <c r="AE36" s="22" t="s">
        <v>81</v>
      </c>
      <c r="AF36" s="22" t="s">
        <v>81</v>
      </c>
      <c r="AG36" s="4">
        <f t="shared" si="22"/>
        <v>22</v>
      </c>
      <c r="AH36" s="5">
        <f t="shared" si="23"/>
        <v>22</v>
      </c>
      <c r="AI36" s="6">
        <f t="shared" si="24"/>
        <v>0</v>
      </c>
      <c r="AJ36" s="7">
        <f t="shared" si="25"/>
        <v>0</v>
      </c>
      <c r="AK36" s="7">
        <f t="shared" si="26"/>
        <v>0</v>
      </c>
      <c r="AL36" s="7">
        <f t="shared" si="27"/>
        <v>0</v>
      </c>
      <c r="AM36" s="7">
        <f t="shared" si="28"/>
        <v>0</v>
      </c>
      <c r="AN36" s="8">
        <f t="shared" si="29"/>
        <v>0</v>
      </c>
      <c r="AO36" s="12">
        <f t="shared" si="30"/>
        <v>22</v>
      </c>
      <c r="AP36" s="23">
        <f t="shared" si="31"/>
        <v>0</v>
      </c>
      <c r="AQ36" s="14">
        <f t="shared" si="32"/>
        <v>100</v>
      </c>
    </row>
    <row r="37" spans="1:43" x14ac:dyDescent="0.35">
      <c r="A37" s="2">
        <v>35</v>
      </c>
      <c r="B37" s="3" t="s">
        <v>146</v>
      </c>
      <c r="C37" s="22" t="s">
        <v>81</v>
      </c>
      <c r="D37" s="22" t="s">
        <v>81</v>
      </c>
      <c r="E37" s="22" t="s">
        <v>81</v>
      </c>
      <c r="F37" s="22" t="s">
        <v>81</v>
      </c>
      <c r="G37" s="22" t="s">
        <v>81</v>
      </c>
      <c r="H37" s="21" t="s">
        <v>75</v>
      </c>
      <c r="I37" s="21" t="s">
        <v>75</v>
      </c>
      <c r="J37" s="22" t="s">
        <v>81</v>
      </c>
      <c r="K37" s="22" t="s">
        <v>81</v>
      </c>
      <c r="L37" s="22" t="s">
        <v>81</v>
      </c>
      <c r="M37" s="22" t="s">
        <v>81</v>
      </c>
      <c r="N37" s="22" t="s">
        <v>81</v>
      </c>
      <c r="O37" s="21" t="s">
        <v>75</v>
      </c>
      <c r="P37" s="21" t="s">
        <v>75</v>
      </c>
      <c r="Q37" s="42" t="s">
        <v>20</v>
      </c>
      <c r="R37" s="42" t="s">
        <v>20</v>
      </c>
      <c r="S37" s="22" t="s">
        <v>81</v>
      </c>
      <c r="T37" s="22" t="s">
        <v>81</v>
      </c>
      <c r="U37" s="22" t="s">
        <v>81</v>
      </c>
      <c r="V37" s="21" t="s">
        <v>75</v>
      </c>
      <c r="W37" s="21" t="s">
        <v>75</v>
      </c>
      <c r="X37" s="22" t="s">
        <v>81</v>
      </c>
      <c r="Y37" s="22" t="s">
        <v>81</v>
      </c>
      <c r="Z37" s="22" t="s">
        <v>81</v>
      </c>
      <c r="AA37" s="22" t="s">
        <v>81</v>
      </c>
      <c r="AB37" s="22" t="s">
        <v>81</v>
      </c>
      <c r="AC37" s="21" t="s">
        <v>75</v>
      </c>
      <c r="AD37" s="21" t="s">
        <v>75</v>
      </c>
      <c r="AE37" s="22" t="s">
        <v>81</v>
      </c>
      <c r="AF37" s="22" t="s">
        <v>81</v>
      </c>
      <c r="AG37" s="4">
        <f t="shared" si="22"/>
        <v>22</v>
      </c>
      <c r="AH37" s="5">
        <f t="shared" si="23"/>
        <v>20</v>
      </c>
      <c r="AI37" s="6">
        <f t="shared" si="24"/>
        <v>0</v>
      </c>
      <c r="AJ37" s="7">
        <f t="shared" si="25"/>
        <v>0</v>
      </c>
      <c r="AK37" s="7">
        <f t="shared" si="26"/>
        <v>0</v>
      </c>
      <c r="AL37" s="7">
        <f t="shared" si="27"/>
        <v>0</v>
      </c>
      <c r="AM37" s="7">
        <f t="shared" si="28"/>
        <v>0</v>
      </c>
      <c r="AN37" s="8">
        <f t="shared" si="29"/>
        <v>2</v>
      </c>
      <c r="AO37" s="12">
        <f t="shared" si="30"/>
        <v>20</v>
      </c>
      <c r="AP37" s="23">
        <f t="shared" si="31"/>
        <v>2</v>
      </c>
      <c r="AQ37" s="14">
        <f t="shared" si="32"/>
        <v>90.909090909090907</v>
      </c>
    </row>
    <row r="38" spans="1:43" x14ac:dyDescent="0.35">
      <c r="A38" s="2">
        <v>36</v>
      </c>
      <c r="B38" s="3" t="s">
        <v>147</v>
      </c>
      <c r="C38" s="22" t="s">
        <v>81</v>
      </c>
      <c r="D38" s="22" t="s">
        <v>81</v>
      </c>
      <c r="E38" s="22" t="s">
        <v>81</v>
      </c>
      <c r="F38" s="22" t="s">
        <v>81</v>
      </c>
      <c r="G38" s="22" t="s">
        <v>81</v>
      </c>
      <c r="H38" s="21" t="s">
        <v>75</v>
      </c>
      <c r="I38" s="21" t="s">
        <v>75</v>
      </c>
      <c r="J38" s="22" t="s">
        <v>81</v>
      </c>
      <c r="K38" s="22" t="s">
        <v>81</v>
      </c>
      <c r="L38" s="22" t="s">
        <v>81</v>
      </c>
      <c r="M38" s="22" t="s">
        <v>81</v>
      </c>
      <c r="N38" s="22" t="s">
        <v>81</v>
      </c>
      <c r="O38" s="21" t="s">
        <v>75</v>
      </c>
      <c r="P38" s="21" t="s">
        <v>75</v>
      </c>
      <c r="Q38" s="22" t="s">
        <v>81</v>
      </c>
      <c r="R38" s="22" t="s">
        <v>81</v>
      </c>
      <c r="S38" s="22" t="s">
        <v>81</v>
      </c>
      <c r="T38" s="22" t="s">
        <v>81</v>
      </c>
      <c r="U38" s="22" t="s">
        <v>81</v>
      </c>
      <c r="V38" s="21" t="s">
        <v>75</v>
      </c>
      <c r="W38" s="21" t="s">
        <v>75</v>
      </c>
      <c r="X38" s="22" t="s">
        <v>81</v>
      </c>
      <c r="Y38" s="22" t="s">
        <v>81</v>
      </c>
      <c r="Z38" s="22" t="s">
        <v>81</v>
      </c>
      <c r="AA38" s="22" t="s">
        <v>81</v>
      </c>
      <c r="AB38" s="22" t="s">
        <v>81</v>
      </c>
      <c r="AC38" s="21" t="s">
        <v>75</v>
      </c>
      <c r="AD38" s="21" t="s">
        <v>75</v>
      </c>
      <c r="AE38" s="22" t="s">
        <v>81</v>
      </c>
      <c r="AF38" s="22" t="s">
        <v>81</v>
      </c>
      <c r="AG38" s="4">
        <f t="shared" si="22"/>
        <v>22</v>
      </c>
      <c r="AH38" s="5">
        <f t="shared" si="23"/>
        <v>22</v>
      </c>
      <c r="AI38" s="6">
        <f t="shared" si="24"/>
        <v>0</v>
      </c>
      <c r="AJ38" s="7">
        <f t="shared" si="25"/>
        <v>0</v>
      </c>
      <c r="AK38" s="7">
        <f t="shared" si="26"/>
        <v>0</v>
      </c>
      <c r="AL38" s="7">
        <f t="shared" si="27"/>
        <v>0</v>
      </c>
      <c r="AM38" s="7">
        <f t="shared" si="28"/>
        <v>0</v>
      </c>
      <c r="AN38" s="8">
        <f t="shared" si="29"/>
        <v>0</v>
      </c>
      <c r="AO38" s="12">
        <f t="shared" si="30"/>
        <v>22</v>
      </c>
      <c r="AP38" s="23">
        <f t="shared" si="31"/>
        <v>0</v>
      </c>
      <c r="AQ38" s="14">
        <f t="shared" si="32"/>
        <v>100</v>
      </c>
    </row>
    <row r="39" spans="1:43" x14ac:dyDescent="0.35">
      <c r="A39" s="2">
        <v>37</v>
      </c>
      <c r="B39" s="41" t="s">
        <v>148</v>
      </c>
      <c r="C39" s="22" t="s">
        <v>81</v>
      </c>
      <c r="D39" s="22" t="s">
        <v>81</v>
      </c>
      <c r="E39" s="22" t="s">
        <v>81</v>
      </c>
      <c r="F39" s="22" t="s">
        <v>81</v>
      </c>
      <c r="G39" s="22" t="s">
        <v>81</v>
      </c>
      <c r="H39" s="21" t="s">
        <v>75</v>
      </c>
      <c r="I39" s="21" t="s">
        <v>75</v>
      </c>
      <c r="J39" s="22" t="s">
        <v>82</v>
      </c>
      <c r="K39" s="42" t="s">
        <v>82</v>
      </c>
      <c r="L39" s="42" t="s">
        <v>82</v>
      </c>
      <c r="M39" s="42" t="s">
        <v>82</v>
      </c>
      <c r="N39" s="42" t="s">
        <v>82</v>
      </c>
      <c r="O39" s="21" t="s">
        <v>75</v>
      </c>
      <c r="P39" s="21" t="s">
        <v>75</v>
      </c>
      <c r="Q39" s="42" t="s">
        <v>82</v>
      </c>
      <c r="R39" s="42" t="s">
        <v>82</v>
      </c>
      <c r="S39" s="42" t="s">
        <v>82</v>
      </c>
      <c r="T39" s="42" t="s">
        <v>82</v>
      </c>
      <c r="U39" s="42" t="s">
        <v>82</v>
      </c>
      <c r="V39" s="21" t="s">
        <v>75</v>
      </c>
      <c r="W39" s="21" t="s">
        <v>75</v>
      </c>
      <c r="X39" s="42" t="s">
        <v>82</v>
      </c>
      <c r="Y39" s="42" t="s">
        <v>82</v>
      </c>
      <c r="Z39" s="42" t="s">
        <v>82</v>
      </c>
      <c r="AA39" s="42" t="s">
        <v>82</v>
      </c>
      <c r="AB39" s="42" t="s">
        <v>82</v>
      </c>
      <c r="AC39" s="21" t="s">
        <v>75</v>
      </c>
      <c r="AD39" s="21" t="s">
        <v>75</v>
      </c>
      <c r="AE39" s="42" t="s">
        <v>82</v>
      </c>
      <c r="AF39" s="42" t="s">
        <v>82</v>
      </c>
      <c r="AG39" s="4">
        <f t="shared" si="22"/>
        <v>22</v>
      </c>
      <c r="AH39" s="5">
        <f t="shared" si="23"/>
        <v>5</v>
      </c>
      <c r="AI39" s="6">
        <f t="shared" si="24"/>
        <v>0</v>
      </c>
      <c r="AJ39" s="7">
        <f t="shared" si="25"/>
        <v>0</v>
      </c>
      <c r="AK39" s="7">
        <f t="shared" si="26"/>
        <v>0</v>
      </c>
      <c r="AL39" s="7">
        <f t="shared" si="27"/>
        <v>0</v>
      </c>
      <c r="AM39" s="7">
        <f t="shared" si="28"/>
        <v>0</v>
      </c>
      <c r="AN39" s="8">
        <f t="shared" si="29"/>
        <v>0</v>
      </c>
      <c r="AO39" s="12">
        <f t="shared" si="30"/>
        <v>5</v>
      </c>
      <c r="AP39" s="23">
        <f t="shared" si="31"/>
        <v>0</v>
      </c>
      <c r="AQ39" s="14">
        <f t="shared" si="32"/>
        <v>22.727272727272727</v>
      </c>
    </row>
    <row r="40" spans="1:43" x14ac:dyDescent="0.35">
      <c r="A40" s="2">
        <v>38</v>
      </c>
      <c r="B40" s="3" t="s">
        <v>149</v>
      </c>
      <c r="C40" s="22" t="s">
        <v>81</v>
      </c>
      <c r="D40" s="22" t="s">
        <v>81</v>
      </c>
      <c r="E40" s="22" t="s">
        <v>81</v>
      </c>
      <c r="F40" s="22" t="s">
        <v>81</v>
      </c>
      <c r="G40" s="22" t="s">
        <v>81</v>
      </c>
      <c r="H40" s="21" t="s">
        <v>75</v>
      </c>
      <c r="I40" s="21" t="s">
        <v>75</v>
      </c>
      <c r="J40" s="22" t="s">
        <v>81</v>
      </c>
      <c r="K40" s="22" t="s">
        <v>81</v>
      </c>
      <c r="L40" s="22" t="s">
        <v>81</v>
      </c>
      <c r="M40" s="22" t="s">
        <v>81</v>
      </c>
      <c r="N40" s="22" t="s">
        <v>81</v>
      </c>
      <c r="O40" s="21" t="s">
        <v>75</v>
      </c>
      <c r="P40" s="21" t="s">
        <v>75</v>
      </c>
      <c r="Q40" s="22" t="s">
        <v>81</v>
      </c>
      <c r="R40" s="22" t="s">
        <v>81</v>
      </c>
      <c r="S40" s="22" t="s">
        <v>81</v>
      </c>
      <c r="T40" s="22" t="s">
        <v>81</v>
      </c>
      <c r="U40" s="22" t="s">
        <v>81</v>
      </c>
      <c r="V40" s="21" t="s">
        <v>75</v>
      </c>
      <c r="W40" s="21" t="s">
        <v>75</v>
      </c>
      <c r="X40" s="22" t="s">
        <v>81</v>
      </c>
      <c r="Y40" s="22" t="s">
        <v>81</v>
      </c>
      <c r="Z40" s="22" t="s">
        <v>81</v>
      </c>
      <c r="AA40" s="22" t="s">
        <v>81</v>
      </c>
      <c r="AB40" s="22" t="s">
        <v>81</v>
      </c>
      <c r="AC40" s="21" t="s">
        <v>75</v>
      </c>
      <c r="AD40" s="21" t="s">
        <v>75</v>
      </c>
      <c r="AE40" s="22" t="s">
        <v>81</v>
      </c>
      <c r="AF40" s="22" t="s">
        <v>81</v>
      </c>
      <c r="AG40" s="4">
        <f t="shared" si="22"/>
        <v>22</v>
      </c>
      <c r="AH40" s="5">
        <f t="shared" si="23"/>
        <v>22</v>
      </c>
      <c r="AI40" s="6">
        <f t="shared" si="24"/>
        <v>0</v>
      </c>
      <c r="AJ40" s="7">
        <f t="shared" si="25"/>
        <v>0</v>
      </c>
      <c r="AK40" s="7">
        <f t="shared" si="26"/>
        <v>0</v>
      </c>
      <c r="AL40" s="7">
        <f t="shared" si="27"/>
        <v>0</v>
      </c>
      <c r="AM40" s="7">
        <f t="shared" si="28"/>
        <v>0</v>
      </c>
      <c r="AN40" s="8">
        <f t="shared" si="29"/>
        <v>0</v>
      </c>
      <c r="AO40" s="12">
        <f t="shared" si="30"/>
        <v>22</v>
      </c>
      <c r="AP40" s="23">
        <f t="shared" si="31"/>
        <v>0</v>
      </c>
      <c r="AQ40" s="14">
        <f t="shared" si="32"/>
        <v>100</v>
      </c>
    </row>
    <row r="41" spans="1:43" x14ac:dyDescent="0.35">
      <c r="A41" s="2">
        <v>39</v>
      </c>
      <c r="B41" s="3" t="s">
        <v>150</v>
      </c>
      <c r="C41" s="22" t="s">
        <v>81</v>
      </c>
      <c r="D41" s="22" t="s">
        <v>81</v>
      </c>
      <c r="E41" s="22" t="s">
        <v>81</v>
      </c>
      <c r="F41" s="22" t="s">
        <v>81</v>
      </c>
      <c r="G41" s="22" t="s">
        <v>81</v>
      </c>
      <c r="H41" s="21" t="s">
        <v>75</v>
      </c>
      <c r="I41" s="21" t="s">
        <v>75</v>
      </c>
      <c r="J41" s="22" t="s">
        <v>81</v>
      </c>
      <c r="K41" s="22" t="s">
        <v>81</v>
      </c>
      <c r="L41" s="22" t="s">
        <v>81</v>
      </c>
      <c r="M41" s="22" t="s">
        <v>81</v>
      </c>
      <c r="N41" s="22" t="s">
        <v>81</v>
      </c>
      <c r="O41" s="21" t="s">
        <v>75</v>
      </c>
      <c r="P41" s="21" t="s">
        <v>75</v>
      </c>
      <c r="Q41" s="22" t="s">
        <v>81</v>
      </c>
      <c r="R41" s="22" t="s">
        <v>81</v>
      </c>
      <c r="S41" s="22" t="s">
        <v>81</v>
      </c>
      <c r="T41" s="22" t="s">
        <v>81</v>
      </c>
      <c r="U41" s="22" t="s">
        <v>81</v>
      </c>
      <c r="V41" s="21" t="s">
        <v>75</v>
      </c>
      <c r="W41" s="21" t="s">
        <v>75</v>
      </c>
      <c r="X41" s="22" t="s">
        <v>81</v>
      </c>
      <c r="Y41" s="22" t="s">
        <v>81</v>
      </c>
      <c r="Z41" s="22" t="s">
        <v>81</v>
      </c>
      <c r="AA41" s="22" t="s">
        <v>81</v>
      </c>
      <c r="AB41" s="22" t="s">
        <v>81</v>
      </c>
      <c r="AC41" s="21" t="s">
        <v>75</v>
      </c>
      <c r="AD41" s="21" t="s">
        <v>75</v>
      </c>
      <c r="AE41" s="22" t="s">
        <v>81</v>
      </c>
      <c r="AF41" s="22" t="s">
        <v>81</v>
      </c>
      <c r="AG41" s="4">
        <f t="shared" si="22"/>
        <v>22</v>
      </c>
      <c r="AH41" s="5">
        <f t="shared" si="23"/>
        <v>22</v>
      </c>
      <c r="AI41" s="6">
        <f t="shared" si="24"/>
        <v>0</v>
      </c>
      <c r="AJ41" s="7">
        <f t="shared" si="25"/>
        <v>0</v>
      </c>
      <c r="AK41" s="7">
        <f t="shared" si="26"/>
        <v>0</v>
      </c>
      <c r="AL41" s="7">
        <f t="shared" si="27"/>
        <v>0</v>
      </c>
      <c r="AM41" s="7">
        <f t="shared" si="28"/>
        <v>0</v>
      </c>
      <c r="AN41" s="8">
        <f t="shared" si="29"/>
        <v>0</v>
      </c>
      <c r="AO41" s="12">
        <f t="shared" si="30"/>
        <v>22</v>
      </c>
      <c r="AP41" s="23">
        <f t="shared" si="31"/>
        <v>0</v>
      </c>
      <c r="AQ41" s="14">
        <f t="shared" si="32"/>
        <v>100</v>
      </c>
    </row>
    <row r="42" spans="1:43" x14ac:dyDescent="0.35">
      <c r="A42" s="2">
        <v>40</v>
      </c>
      <c r="B42" s="3" t="s">
        <v>151</v>
      </c>
      <c r="C42" s="22" t="s">
        <v>81</v>
      </c>
      <c r="D42" s="22" t="s">
        <v>81</v>
      </c>
      <c r="E42" s="22" t="s">
        <v>81</v>
      </c>
      <c r="F42" s="22" t="s">
        <v>81</v>
      </c>
      <c r="G42" s="22" t="s">
        <v>81</v>
      </c>
      <c r="H42" s="21" t="s">
        <v>75</v>
      </c>
      <c r="I42" s="21" t="s">
        <v>75</v>
      </c>
      <c r="J42" s="22" t="s">
        <v>81</v>
      </c>
      <c r="K42" s="22" t="s">
        <v>81</v>
      </c>
      <c r="L42" s="22" t="s">
        <v>81</v>
      </c>
      <c r="M42" s="22" t="s">
        <v>81</v>
      </c>
      <c r="N42" s="22" t="s">
        <v>81</v>
      </c>
      <c r="O42" s="21" t="s">
        <v>75</v>
      </c>
      <c r="P42" s="21" t="s">
        <v>75</v>
      </c>
      <c r="Q42" s="22" t="s">
        <v>81</v>
      </c>
      <c r="R42" s="22" t="s">
        <v>81</v>
      </c>
      <c r="S42" s="22" t="s">
        <v>81</v>
      </c>
      <c r="T42" s="22" t="s">
        <v>81</v>
      </c>
      <c r="U42" s="22" t="s">
        <v>81</v>
      </c>
      <c r="V42" s="21" t="s">
        <v>75</v>
      </c>
      <c r="W42" s="21" t="s">
        <v>75</v>
      </c>
      <c r="X42" s="22" t="s">
        <v>81</v>
      </c>
      <c r="Y42" s="22" t="s">
        <v>81</v>
      </c>
      <c r="Z42" s="22" t="s">
        <v>81</v>
      </c>
      <c r="AA42" s="22" t="s">
        <v>81</v>
      </c>
      <c r="AB42" s="22" t="s">
        <v>81</v>
      </c>
      <c r="AC42" s="21" t="s">
        <v>75</v>
      </c>
      <c r="AD42" s="21" t="s">
        <v>75</v>
      </c>
      <c r="AE42" s="22" t="s">
        <v>81</v>
      </c>
      <c r="AF42" s="22" t="s">
        <v>81</v>
      </c>
      <c r="AG42" s="4">
        <f t="shared" si="22"/>
        <v>22</v>
      </c>
      <c r="AH42" s="5">
        <f t="shared" si="23"/>
        <v>22</v>
      </c>
      <c r="AI42" s="6">
        <f t="shared" si="24"/>
        <v>0</v>
      </c>
      <c r="AJ42" s="7">
        <f t="shared" si="25"/>
        <v>0</v>
      </c>
      <c r="AK42" s="7">
        <f t="shared" si="26"/>
        <v>0</v>
      </c>
      <c r="AL42" s="7">
        <f t="shared" si="27"/>
        <v>0</v>
      </c>
      <c r="AM42" s="7">
        <f t="shared" si="28"/>
        <v>0</v>
      </c>
      <c r="AN42" s="8">
        <f t="shared" si="29"/>
        <v>0</v>
      </c>
      <c r="AO42" s="12">
        <f t="shared" si="30"/>
        <v>22</v>
      </c>
      <c r="AP42" s="23">
        <f t="shared" si="31"/>
        <v>0</v>
      </c>
      <c r="AQ42" s="14">
        <f t="shared" si="32"/>
        <v>100</v>
      </c>
    </row>
    <row r="43" spans="1:43" x14ac:dyDescent="0.35">
      <c r="A43" s="2">
        <v>41</v>
      </c>
      <c r="B43" s="3" t="s">
        <v>152</v>
      </c>
      <c r="C43" s="22" t="s">
        <v>81</v>
      </c>
      <c r="D43" s="22" t="s">
        <v>81</v>
      </c>
      <c r="E43" s="22" t="s">
        <v>81</v>
      </c>
      <c r="F43" s="22" t="s">
        <v>81</v>
      </c>
      <c r="G43" s="22" t="s">
        <v>81</v>
      </c>
      <c r="H43" s="21" t="s">
        <v>75</v>
      </c>
      <c r="I43" s="21" t="s">
        <v>75</v>
      </c>
      <c r="J43" s="22" t="s">
        <v>81</v>
      </c>
      <c r="K43" s="22" t="s">
        <v>81</v>
      </c>
      <c r="L43" s="22" t="s">
        <v>81</v>
      </c>
      <c r="M43" s="22" t="s">
        <v>81</v>
      </c>
      <c r="N43" s="22" t="s">
        <v>81</v>
      </c>
      <c r="O43" s="21" t="s">
        <v>75</v>
      </c>
      <c r="P43" s="21" t="s">
        <v>75</v>
      </c>
      <c r="Q43" s="22" t="s">
        <v>81</v>
      </c>
      <c r="R43" s="22" t="s">
        <v>81</v>
      </c>
      <c r="S43" s="22" t="s">
        <v>81</v>
      </c>
      <c r="T43" s="22" t="s">
        <v>81</v>
      </c>
      <c r="U43" s="22" t="s">
        <v>81</v>
      </c>
      <c r="V43" s="21" t="s">
        <v>75</v>
      </c>
      <c r="W43" s="21" t="s">
        <v>75</v>
      </c>
      <c r="X43" s="22" t="s">
        <v>81</v>
      </c>
      <c r="Y43" s="22" t="s">
        <v>81</v>
      </c>
      <c r="Z43" s="22" t="s">
        <v>81</v>
      </c>
      <c r="AA43" s="22" t="s">
        <v>81</v>
      </c>
      <c r="AB43" s="22" t="s">
        <v>81</v>
      </c>
      <c r="AC43" s="21" t="s">
        <v>75</v>
      </c>
      <c r="AD43" s="21" t="s">
        <v>75</v>
      </c>
      <c r="AE43" s="22" t="s">
        <v>81</v>
      </c>
      <c r="AF43" s="22" t="s">
        <v>81</v>
      </c>
      <c r="AG43" s="4">
        <f t="shared" si="22"/>
        <v>22</v>
      </c>
      <c r="AH43" s="5">
        <f t="shared" si="23"/>
        <v>22</v>
      </c>
      <c r="AI43" s="6">
        <f t="shared" si="24"/>
        <v>0</v>
      </c>
      <c r="AJ43" s="7">
        <f t="shared" si="25"/>
        <v>0</v>
      </c>
      <c r="AK43" s="7">
        <f t="shared" si="26"/>
        <v>0</v>
      </c>
      <c r="AL43" s="7">
        <f t="shared" si="27"/>
        <v>0</v>
      </c>
      <c r="AM43" s="7">
        <f t="shared" si="28"/>
        <v>0</v>
      </c>
      <c r="AN43" s="8">
        <f t="shared" si="29"/>
        <v>0</v>
      </c>
      <c r="AO43" s="12">
        <f t="shared" si="30"/>
        <v>22</v>
      </c>
      <c r="AP43" s="23">
        <f t="shared" si="31"/>
        <v>0</v>
      </c>
      <c r="AQ43" s="14">
        <f t="shared" si="32"/>
        <v>100</v>
      </c>
    </row>
    <row r="44" spans="1:43" x14ac:dyDescent="0.35">
      <c r="A44" s="2">
        <v>42</v>
      </c>
      <c r="B44" s="3" t="s">
        <v>153</v>
      </c>
      <c r="C44" s="22" t="s">
        <v>81</v>
      </c>
      <c r="D44" s="22" t="s">
        <v>81</v>
      </c>
      <c r="E44" s="22" t="s">
        <v>81</v>
      </c>
      <c r="F44" s="22" t="s">
        <v>15</v>
      </c>
      <c r="G44" s="22" t="s">
        <v>81</v>
      </c>
      <c r="H44" s="21" t="s">
        <v>75</v>
      </c>
      <c r="I44" s="21" t="s">
        <v>75</v>
      </c>
      <c r="J44" s="22" t="s">
        <v>81</v>
      </c>
      <c r="K44" s="22" t="s">
        <v>81</v>
      </c>
      <c r="L44" s="22" t="s">
        <v>81</v>
      </c>
      <c r="M44" s="22" t="s">
        <v>81</v>
      </c>
      <c r="N44" s="22" t="s">
        <v>81</v>
      </c>
      <c r="O44" s="21" t="s">
        <v>75</v>
      </c>
      <c r="P44" s="21" t="s">
        <v>75</v>
      </c>
      <c r="Q44" s="22" t="s">
        <v>81</v>
      </c>
      <c r="R44" s="22" t="s">
        <v>81</v>
      </c>
      <c r="S44" s="22" t="s">
        <v>81</v>
      </c>
      <c r="T44" s="22" t="s">
        <v>81</v>
      </c>
      <c r="U44" s="22" t="s">
        <v>81</v>
      </c>
      <c r="V44" s="21" t="s">
        <v>75</v>
      </c>
      <c r="W44" s="21" t="s">
        <v>75</v>
      </c>
      <c r="X44" s="22" t="s">
        <v>81</v>
      </c>
      <c r="Y44" s="22" t="s">
        <v>81</v>
      </c>
      <c r="Z44" s="22" t="s">
        <v>81</v>
      </c>
      <c r="AA44" s="22" t="s">
        <v>81</v>
      </c>
      <c r="AB44" s="22" t="s">
        <v>81</v>
      </c>
      <c r="AC44" s="21" t="s">
        <v>75</v>
      </c>
      <c r="AD44" s="21" t="s">
        <v>75</v>
      </c>
      <c r="AE44" s="22" t="s">
        <v>81</v>
      </c>
      <c r="AF44" s="22" t="s">
        <v>81</v>
      </c>
      <c r="AG44" s="4">
        <f t="shared" si="22"/>
        <v>22</v>
      </c>
      <c r="AH44" s="5">
        <f t="shared" si="23"/>
        <v>21</v>
      </c>
      <c r="AI44" s="6">
        <f t="shared" si="24"/>
        <v>1</v>
      </c>
      <c r="AJ44" s="7">
        <f t="shared" si="25"/>
        <v>0</v>
      </c>
      <c r="AK44" s="7">
        <f t="shared" si="26"/>
        <v>0</v>
      </c>
      <c r="AL44" s="7">
        <f t="shared" si="27"/>
        <v>0</v>
      </c>
      <c r="AM44" s="7">
        <f t="shared" si="28"/>
        <v>0</v>
      </c>
      <c r="AN44" s="8">
        <f t="shared" si="29"/>
        <v>0</v>
      </c>
      <c r="AO44" s="12">
        <f t="shared" si="30"/>
        <v>22</v>
      </c>
      <c r="AP44" s="23">
        <f t="shared" si="31"/>
        <v>0</v>
      </c>
      <c r="AQ44" s="14">
        <f t="shared" si="32"/>
        <v>100</v>
      </c>
    </row>
    <row r="45" spans="1:43" x14ac:dyDescent="0.35">
      <c r="A45" s="2">
        <v>43</v>
      </c>
      <c r="B45" s="3" t="s">
        <v>154</v>
      </c>
      <c r="C45" s="22" t="s">
        <v>81</v>
      </c>
      <c r="D45" s="22" t="s">
        <v>81</v>
      </c>
      <c r="E45" s="22" t="s">
        <v>81</v>
      </c>
      <c r="F45" s="22" t="s">
        <v>81</v>
      </c>
      <c r="G45" s="22" t="s">
        <v>81</v>
      </c>
      <c r="H45" s="21" t="s">
        <v>75</v>
      </c>
      <c r="I45" s="21" t="s">
        <v>75</v>
      </c>
      <c r="J45" s="22" t="s">
        <v>81</v>
      </c>
      <c r="K45" s="22" t="s">
        <v>81</v>
      </c>
      <c r="L45" s="22" t="s">
        <v>81</v>
      </c>
      <c r="M45" s="22" t="s">
        <v>81</v>
      </c>
      <c r="N45" s="42" t="s">
        <v>81</v>
      </c>
      <c r="O45" s="21" t="s">
        <v>75</v>
      </c>
      <c r="P45" s="21" t="s">
        <v>75</v>
      </c>
      <c r="Q45" s="42" t="s">
        <v>81</v>
      </c>
      <c r="R45" s="42" t="s">
        <v>81</v>
      </c>
      <c r="S45" s="22" t="s">
        <v>81</v>
      </c>
      <c r="T45" s="42" t="s">
        <v>20</v>
      </c>
      <c r="U45" s="22" t="s">
        <v>81</v>
      </c>
      <c r="V45" s="21" t="s">
        <v>75</v>
      </c>
      <c r="W45" s="21" t="s">
        <v>75</v>
      </c>
      <c r="X45" s="22" t="s">
        <v>81</v>
      </c>
      <c r="Y45" s="22" t="s">
        <v>81</v>
      </c>
      <c r="Z45" s="22" t="s">
        <v>81</v>
      </c>
      <c r="AA45" s="22" t="s">
        <v>81</v>
      </c>
      <c r="AB45" s="22" t="s">
        <v>81</v>
      </c>
      <c r="AC45" s="21" t="s">
        <v>75</v>
      </c>
      <c r="AD45" s="21" t="s">
        <v>75</v>
      </c>
      <c r="AE45" s="22" t="s">
        <v>81</v>
      </c>
      <c r="AF45" s="22" t="s">
        <v>81</v>
      </c>
      <c r="AG45" s="4">
        <f t="shared" si="22"/>
        <v>22</v>
      </c>
      <c r="AH45" s="5">
        <f t="shared" si="23"/>
        <v>21</v>
      </c>
      <c r="AI45" s="6">
        <f t="shared" si="24"/>
        <v>0</v>
      </c>
      <c r="AJ45" s="7">
        <f t="shared" si="25"/>
        <v>0</v>
      </c>
      <c r="AK45" s="7">
        <f t="shared" si="26"/>
        <v>0</v>
      </c>
      <c r="AL45" s="7">
        <f t="shared" si="27"/>
        <v>0</v>
      </c>
      <c r="AM45" s="7">
        <f t="shared" si="28"/>
        <v>0</v>
      </c>
      <c r="AN45" s="8">
        <f t="shared" si="29"/>
        <v>1</v>
      </c>
      <c r="AO45" s="12">
        <f t="shared" si="30"/>
        <v>21</v>
      </c>
      <c r="AP45" s="23">
        <f t="shared" si="31"/>
        <v>1</v>
      </c>
      <c r="AQ45" s="14">
        <f t="shared" si="32"/>
        <v>95.454545454545453</v>
      </c>
    </row>
    <row r="46" spans="1:43" x14ac:dyDescent="0.35">
      <c r="A46" s="2">
        <v>44</v>
      </c>
      <c r="B46" s="3" t="s">
        <v>155</v>
      </c>
      <c r="C46" s="22" t="s">
        <v>81</v>
      </c>
      <c r="D46" s="22" t="s">
        <v>81</v>
      </c>
      <c r="E46" s="22" t="s">
        <v>81</v>
      </c>
      <c r="F46" s="22" t="s">
        <v>81</v>
      </c>
      <c r="G46" s="22" t="s">
        <v>81</v>
      </c>
      <c r="H46" s="21" t="s">
        <v>75</v>
      </c>
      <c r="I46" s="21" t="s">
        <v>75</v>
      </c>
      <c r="J46" s="22" t="s">
        <v>81</v>
      </c>
      <c r="K46" s="22" t="s">
        <v>81</v>
      </c>
      <c r="L46" s="22" t="s">
        <v>81</v>
      </c>
      <c r="M46" s="22" t="s">
        <v>81</v>
      </c>
      <c r="N46" s="22" t="s">
        <v>81</v>
      </c>
      <c r="O46" s="21" t="s">
        <v>75</v>
      </c>
      <c r="P46" s="21" t="s">
        <v>75</v>
      </c>
      <c r="Q46" s="22" t="s">
        <v>81</v>
      </c>
      <c r="R46" s="22" t="s">
        <v>81</v>
      </c>
      <c r="S46" s="22" t="s">
        <v>81</v>
      </c>
      <c r="T46" s="35" t="s">
        <v>81</v>
      </c>
      <c r="U46" s="35" t="s">
        <v>81</v>
      </c>
      <c r="V46" s="21" t="s">
        <v>75</v>
      </c>
      <c r="W46" s="21" t="s">
        <v>75</v>
      </c>
      <c r="X46" s="22" t="s">
        <v>81</v>
      </c>
      <c r="Y46" s="22" t="s">
        <v>81</v>
      </c>
      <c r="Z46" s="22" t="s">
        <v>81</v>
      </c>
      <c r="AA46" s="22" t="s">
        <v>81</v>
      </c>
      <c r="AB46" s="22" t="s">
        <v>81</v>
      </c>
      <c r="AC46" s="21" t="s">
        <v>75</v>
      </c>
      <c r="AD46" s="21" t="s">
        <v>75</v>
      </c>
      <c r="AE46" s="22" t="s">
        <v>81</v>
      </c>
      <c r="AF46" s="22" t="s">
        <v>81</v>
      </c>
      <c r="AG46" s="4">
        <f t="shared" si="22"/>
        <v>22</v>
      </c>
      <c r="AH46" s="5">
        <f t="shared" si="23"/>
        <v>22</v>
      </c>
      <c r="AI46" s="6">
        <f t="shared" si="24"/>
        <v>0</v>
      </c>
      <c r="AJ46" s="7">
        <f t="shared" si="25"/>
        <v>0</v>
      </c>
      <c r="AK46" s="7">
        <f t="shared" si="26"/>
        <v>0</v>
      </c>
      <c r="AL46" s="7">
        <f t="shared" si="27"/>
        <v>0</v>
      </c>
      <c r="AM46" s="7">
        <f t="shared" si="28"/>
        <v>0</v>
      </c>
      <c r="AN46" s="8">
        <f t="shared" si="29"/>
        <v>0</v>
      </c>
      <c r="AO46" s="12">
        <f t="shared" si="30"/>
        <v>22</v>
      </c>
      <c r="AP46" s="23">
        <f t="shared" si="31"/>
        <v>0</v>
      </c>
      <c r="AQ46" s="14">
        <f t="shared" si="32"/>
        <v>100</v>
      </c>
    </row>
    <row r="47" spans="1:43" x14ac:dyDescent="0.35">
      <c r="A47" s="2">
        <v>45</v>
      </c>
      <c r="B47" s="3" t="s">
        <v>156</v>
      </c>
      <c r="C47" s="22" t="s">
        <v>81</v>
      </c>
      <c r="D47" s="22" t="s">
        <v>81</v>
      </c>
      <c r="E47" s="22" t="s">
        <v>81</v>
      </c>
      <c r="F47" s="22" t="s">
        <v>81</v>
      </c>
      <c r="G47" s="22" t="s">
        <v>81</v>
      </c>
      <c r="H47" s="21" t="s">
        <v>75</v>
      </c>
      <c r="I47" s="21" t="s">
        <v>75</v>
      </c>
      <c r="J47" s="42" t="s">
        <v>20</v>
      </c>
      <c r="K47" s="42" t="s">
        <v>20</v>
      </c>
      <c r="L47" s="42" t="s">
        <v>20</v>
      </c>
      <c r="M47" s="22" t="s">
        <v>81</v>
      </c>
      <c r="N47" s="22" t="s">
        <v>81</v>
      </c>
      <c r="O47" s="21" t="s">
        <v>75</v>
      </c>
      <c r="P47" s="21" t="s">
        <v>75</v>
      </c>
      <c r="Q47" s="42" t="s">
        <v>81</v>
      </c>
      <c r="R47" s="42" t="s">
        <v>81</v>
      </c>
      <c r="S47" s="42" t="s">
        <v>81</v>
      </c>
      <c r="T47" s="42" t="s">
        <v>81</v>
      </c>
      <c r="U47" s="42" t="s">
        <v>81</v>
      </c>
      <c r="V47" s="21" t="s">
        <v>75</v>
      </c>
      <c r="W47" s="21" t="s">
        <v>75</v>
      </c>
      <c r="X47" s="42" t="s">
        <v>81</v>
      </c>
      <c r="Y47" s="42" t="s">
        <v>81</v>
      </c>
      <c r="Z47" s="42" t="s">
        <v>81</v>
      </c>
      <c r="AA47" s="42" t="s">
        <v>81</v>
      </c>
      <c r="AB47" s="42" t="s">
        <v>81</v>
      </c>
      <c r="AC47" s="21" t="s">
        <v>75</v>
      </c>
      <c r="AD47" s="21" t="s">
        <v>75</v>
      </c>
      <c r="AE47" s="22" t="s">
        <v>81</v>
      </c>
      <c r="AF47" s="22" t="s">
        <v>81</v>
      </c>
      <c r="AG47" s="4">
        <f t="shared" si="22"/>
        <v>22</v>
      </c>
      <c r="AH47" s="5">
        <f t="shared" si="23"/>
        <v>19</v>
      </c>
      <c r="AI47" s="6">
        <f t="shared" si="24"/>
        <v>0</v>
      </c>
      <c r="AJ47" s="7">
        <f t="shared" si="25"/>
        <v>0</v>
      </c>
      <c r="AK47" s="7">
        <f t="shared" si="26"/>
        <v>0</v>
      </c>
      <c r="AL47" s="7">
        <f t="shared" si="27"/>
        <v>0</v>
      </c>
      <c r="AM47" s="7">
        <f t="shared" si="28"/>
        <v>0</v>
      </c>
      <c r="AN47" s="8">
        <f t="shared" si="29"/>
        <v>3</v>
      </c>
      <c r="AO47" s="12">
        <f t="shared" si="30"/>
        <v>19</v>
      </c>
      <c r="AP47" s="23">
        <f t="shared" si="31"/>
        <v>3</v>
      </c>
      <c r="AQ47" s="14">
        <f t="shared" si="32"/>
        <v>86.36363636363636</v>
      </c>
    </row>
    <row r="48" spans="1:43" x14ac:dyDescent="0.35">
      <c r="A48" s="2">
        <v>46</v>
      </c>
      <c r="B48" s="3" t="s">
        <v>157</v>
      </c>
      <c r="C48" s="22" t="s">
        <v>81</v>
      </c>
      <c r="D48" s="22" t="s">
        <v>81</v>
      </c>
      <c r="E48" s="22" t="s">
        <v>81</v>
      </c>
      <c r="F48" s="22" t="s">
        <v>81</v>
      </c>
      <c r="G48" s="22" t="s">
        <v>81</v>
      </c>
      <c r="H48" s="21" t="s">
        <v>75</v>
      </c>
      <c r="I48" s="21" t="s">
        <v>75</v>
      </c>
      <c r="J48" s="22" t="s">
        <v>81</v>
      </c>
      <c r="K48" s="22" t="s">
        <v>81</v>
      </c>
      <c r="L48" s="22" t="s">
        <v>81</v>
      </c>
      <c r="M48" s="22" t="s">
        <v>81</v>
      </c>
      <c r="N48" s="22" t="s">
        <v>81</v>
      </c>
      <c r="O48" s="21" t="s">
        <v>75</v>
      </c>
      <c r="P48" s="21" t="s">
        <v>75</v>
      </c>
      <c r="Q48" s="22" t="s">
        <v>81</v>
      </c>
      <c r="R48" s="22" t="s">
        <v>81</v>
      </c>
      <c r="S48" s="22" t="s">
        <v>15</v>
      </c>
      <c r="T48" s="35" t="s">
        <v>81</v>
      </c>
      <c r="U48" s="22" t="s">
        <v>15</v>
      </c>
      <c r="V48" s="21" t="s">
        <v>75</v>
      </c>
      <c r="W48" s="21" t="s">
        <v>75</v>
      </c>
      <c r="X48" s="22" t="s">
        <v>81</v>
      </c>
      <c r="Y48" s="22" t="s">
        <v>81</v>
      </c>
      <c r="Z48" s="22" t="s">
        <v>81</v>
      </c>
      <c r="AA48" s="22" t="s">
        <v>81</v>
      </c>
      <c r="AB48" s="22" t="s">
        <v>81</v>
      </c>
      <c r="AC48" s="21" t="s">
        <v>75</v>
      </c>
      <c r="AD48" s="21" t="s">
        <v>75</v>
      </c>
      <c r="AE48" s="22" t="s">
        <v>81</v>
      </c>
      <c r="AF48" s="22" t="s">
        <v>81</v>
      </c>
      <c r="AG48" s="4">
        <f t="shared" si="22"/>
        <v>22</v>
      </c>
      <c r="AH48" s="5">
        <f t="shared" si="23"/>
        <v>20</v>
      </c>
      <c r="AI48" s="6">
        <f t="shared" si="24"/>
        <v>2</v>
      </c>
      <c r="AJ48" s="7">
        <f t="shared" si="25"/>
        <v>0</v>
      </c>
      <c r="AK48" s="7">
        <f t="shared" si="26"/>
        <v>0</v>
      </c>
      <c r="AL48" s="7">
        <f t="shared" si="27"/>
        <v>0</v>
      </c>
      <c r="AM48" s="7">
        <f t="shared" si="28"/>
        <v>0</v>
      </c>
      <c r="AN48" s="8">
        <f t="shared" si="29"/>
        <v>0</v>
      </c>
      <c r="AO48" s="12">
        <f t="shared" si="30"/>
        <v>22</v>
      </c>
      <c r="AP48" s="23">
        <f t="shared" si="31"/>
        <v>0</v>
      </c>
      <c r="AQ48" s="14">
        <f t="shared" si="32"/>
        <v>100</v>
      </c>
    </row>
    <row r="49" spans="1:43" x14ac:dyDescent="0.35">
      <c r="A49" s="2">
        <v>47</v>
      </c>
      <c r="B49" s="3" t="s">
        <v>158</v>
      </c>
      <c r="C49" s="22" t="s">
        <v>81</v>
      </c>
      <c r="D49" s="22" t="s">
        <v>81</v>
      </c>
      <c r="E49" s="22" t="s">
        <v>81</v>
      </c>
      <c r="F49" s="22" t="s">
        <v>81</v>
      </c>
      <c r="G49" s="22" t="s">
        <v>81</v>
      </c>
      <c r="H49" s="21" t="s">
        <v>75</v>
      </c>
      <c r="I49" s="21" t="s">
        <v>75</v>
      </c>
      <c r="J49" s="22" t="s">
        <v>81</v>
      </c>
      <c r="K49" s="22" t="s">
        <v>81</v>
      </c>
      <c r="L49" s="22" t="s">
        <v>81</v>
      </c>
      <c r="M49" s="22" t="s">
        <v>81</v>
      </c>
      <c r="N49" s="22" t="s">
        <v>81</v>
      </c>
      <c r="O49" s="21" t="s">
        <v>75</v>
      </c>
      <c r="P49" s="21" t="s">
        <v>75</v>
      </c>
      <c r="Q49" s="22" t="s">
        <v>81</v>
      </c>
      <c r="R49" s="22" t="s">
        <v>81</v>
      </c>
      <c r="S49" s="22" t="s">
        <v>81</v>
      </c>
      <c r="T49" s="35" t="s">
        <v>81</v>
      </c>
      <c r="U49" s="22" t="s">
        <v>81</v>
      </c>
      <c r="V49" s="21" t="s">
        <v>75</v>
      </c>
      <c r="W49" s="21" t="s">
        <v>75</v>
      </c>
      <c r="X49" s="22" t="s">
        <v>81</v>
      </c>
      <c r="Y49" s="22" t="s">
        <v>81</v>
      </c>
      <c r="Z49" s="22" t="s">
        <v>81</v>
      </c>
      <c r="AA49" s="22" t="s">
        <v>81</v>
      </c>
      <c r="AB49" s="22" t="s">
        <v>81</v>
      </c>
      <c r="AC49" s="21" t="s">
        <v>75</v>
      </c>
      <c r="AD49" s="21" t="s">
        <v>75</v>
      </c>
      <c r="AE49" s="22" t="s">
        <v>81</v>
      </c>
      <c r="AF49" s="22" t="s">
        <v>81</v>
      </c>
      <c r="AG49" s="4">
        <f t="shared" si="22"/>
        <v>22</v>
      </c>
      <c r="AH49" s="5">
        <f t="shared" si="23"/>
        <v>22</v>
      </c>
      <c r="AI49" s="6">
        <f t="shared" si="24"/>
        <v>0</v>
      </c>
      <c r="AJ49" s="7">
        <f t="shared" si="25"/>
        <v>0</v>
      </c>
      <c r="AK49" s="7">
        <f t="shared" si="26"/>
        <v>0</v>
      </c>
      <c r="AL49" s="7">
        <f t="shared" si="27"/>
        <v>0</v>
      </c>
      <c r="AM49" s="7">
        <f t="shared" si="28"/>
        <v>0</v>
      </c>
      <c r="AN49" s="8">
        <f t="shared" si="29"/>
        <v>0</v>
      </c>
      <c r="AO49" s="12">
        <f t="shared" si="30"/>
        <v>22</v>
      </c>
      <c r="AP49" s="23">
        <f t="shared" si="31"/>
        <v>0</v>
      </c>
      <c r="AQ49" s="14">
        <f t="shared" si="32"/>
        <v>100</v>
      </c>
    </row>
    <row r="50" spans="1:43" x14ac:dyDescent="0.35">
      <c r="A50" s="2">
        <v>48</v>
      </c>
      <c r="B50" s="3" t="s">
        <v>159</v>
      </c>
      <c r="C50" s="22" t="s">
        <v>81</v>
      </c>
      <c r="D50" s="22" t="s">
        <v>81</v>
      </c>
      <c r="E50" s="22" t="s">
        <v>81</v>
      </c>
      <c r="F50" s="22" t="s">
        <v>81</v>
      </c>
      <c r="G50" s="22" t="s">
        <v>81</v>
      </c>
      <c r="H50" s="21" t="s">
        <v>75</v>
      </c>
      <c r="I50" s="21" t="s">
        <v>75</v>
      </c>
      <c r="J50" s="22" t="s">
        <v>81</v>
      </c>
      <c r="K50" s="22" t="s">
        <v>81</v>
      </c>
      <c r="L50" s="22" t="s">
        <v>81</v>
      </c>
      <c r="M50" s="22" t="s">
        <v>81</v>
      </c>
      <c r="N50" s="22" t="s">
        <v>81</v>
      </c>
      <c r="O50" s="21" t="s">
        <v>75</v>
      </c>
      <c r="P50" s="21" t="s">
        <v>75</v>
      </c>
      <c r="Q50" s="22" t="s">
        <v>81</v>
      </c>
      <c r="R50" s="22" t="s">
        <v>81</v>
      </c>
      <c r="S50" s="22" t="s">
        <v>81</v>
      </c>
      <c r="T50" s="35" t="s">
        <v>81</v>
      </c>
      <c r="U50" s="22" t="s">
        <v>81</v>
      </c>
      <c r="V50" s="21" t="s">
        <v>75</v>
      </c>
      <c r="W50" s="21" t="s">
        <v>75</v>
      </c>
      <c r="X50" s="22" t="s">
        <v>81</v>
      </c>
      <c r="Y50" s="22" t="s">
        <v>81</v>
      </c>
      <c r="Z50" s="22" t="s">
        <v>81</v>
      </c>
      <c r="AA50" s="22" t="s">
        <v>81</v>
      </c>
      <c r="AB50" s="22" t="s">
        <v>81</v>
      </c>
      <c r="AC50" s="21" t="s">
        <v>75</v>
      </c>
      <c r="AD50" s="21" t="s">
        <v>75</v>
      </c>
      <c r="AE50" s="22" t="s">
        <v>81</v>
      </c>
      <c r="AF50" s="22" t="s">
        <v>81</v>
      </c>
      <c r="AG50" s="4">
        <f t="shared" si="22"/>
        <v>22</v>
      </c>
      <c r="AH50" s="5">
        <f t="shared" si="23"/>
        <v>22</v>
      </c>
      <c r="AI50" s="6">
        <f t="shared" si="24"/>
        <v>0</v>
      </c>
      <c r="AJ50" s="7">
        <f t="shared" si="25"/>
        <v>0</v>
      </c>
      <c r="AK50" s="7">
        <f t="shared" si="26"/>
        <v>0</v>
      </c>
      <c r="AL50" s="7">
        <f t="shared" si="27"/>
        <v>0</v>
      </c>
      <c r="AM50" s="7">
        <f t="shared" si="28"/>
        <v>0</v>
      </c>
      <c r="AN50" s="8">
        <f t="shared" si="29"/>
        <v>0</v>
      </c>
      <c r="AO50" s="12">
        <f t="shared" si="30"/>
        <v>22</v>
      </c>
      <c r="AP50" s="23">
        <f t="shared" si="31"/>
        <v>0</v>
      </c>
      <c r="AQ50" s="14">
        <f t="shared" si="32"/>
        <v>100</v>
      </c>
    </row>
    <row r="51" spans="1:43" x14ac:dyDescent="0.35">
      <c r="A51" s="2">
        <v>49</v>
      </c>
      <c r="B51" s="3" t="s">
        <v>160</v>
      </c>
      <c r="C51" s="22" t="s">
        <v>81</v>
      </c>
      <c r="D51" s="22" t="s">
        <v>81</v>
      </c>
      <c r="E51" s="22" t="s">
        <v>81</v>
      </c>
      <c r="F51" s="22" t="s">
        <v>81</v>
      </c>
      <c r="G51" s="22" t="s">
        <v>81</v>
      </c>
      <c r="H51" s="21" t="s">
        <v>75</v>
      </c>
      <c r="I51" s="21" t="s">
        <v>75</v>
      </c>
      <c r="J51" s="22" t="s">
        <v>81</v>
      </c>
      <c r="K51" s="22" t="s">
        <v>81</v>
      </c>
      <c r="L51" s="22" t="s">
        <v>81</v>
      </c>
      <c r="M51" s="22" t="s">
        <v>81</v>
      </c>
      <c r="N51" s="22" t="s">
        <v>81</v>
      </c>
      <c r="O51" s="21" t="s">
        <v>75</v>
      </c>
      <c r="P51" s="21" t="s">
        <v>75</v>
      </c>
      <c r="Q51" s="22" t="s">
        <v>81</v>
      </c>
      <c r="R51" s="22" t="s">
        <v>81</v>
      </c>
      <c r="S51" s="22" t="s">
        <v>81</v>
      </c>
      <c r="T51" s="35" t="s">
        <v>81</v>
      </c>
      <c r="U51" s="22" t="s">
        <v>81</v>
      </c>
      <c r="V51" s="21" t="s">
        <v>75</v>
      </c>
      <c r="W51" s="21" t="s">
        <v>75</v>
      </c>
      <c r="X51" s="22" t="s">
        <v>81</v>
      </c>
      <c r="Y51" s="22" t="s">
        <v>81</v>
      </c>
      <c r="Z51" s="22" t="s">
        <v>81</v>
      </c>
      <c r="AA51" s="22" t="s">
        <v>81</v>
      </c>
      <c r="AB51" s="22" t="s">
        <v>81</v>
      </c>
      <c r="AC51" s="21" t="s">
        <v>75</v>
      </c>
      <c r="AD51" s="21" t="s">
        <v>75</v>
      </c>
      <c r="AE51" s="22" t="s">
        <v>81</v>
      </c>
      <c r="AF51" s="22" t="s">
        <v>81</v>
      </c>
      <c r="AG51" s="4">
        <f t="shared" si="22"/>
        <v>22</v>
      </c>
      <c r="AH51" s="5">
        <f t="shared" si="23"/>
        <v>22</v>
      </c>
      <c r="AI51" s="6">
        <f t="shared" si="24"/>
        <v>0</v>
      </c>
      <c r="AJ51" s="7">
        <f t="shared" si="25"/>
        <v>0</v>
      </c>
      <c r="AK51" s="7">
        <f t="shared" si="26"/>
        <v>0</v>
      </c>
      <c r="AL51" s="7">
        <f t="shared" si="27"/>
        <v>0</v>
      </c>
      <c r="AM51" s="7">
        <f t="shared" si="28"/>
        <v>0</v>
      </c>
      <c r="AN51" s="8">
        <f t="shared" si="29"/>
        <v>0</v>
      </c>
      <c r="AO51" s="12">
        <f t="shared" si="30"/>
        <v>22</v>
      </c>
      <c r="AP51" s="23">
        <f t="shared" si="31"/>
        <v>0</v>
      </c>
      <c r="AQ51" s="14">
        <f t="shared" si="32"/>
        <v>100</v>
      </c>
    </row>
    <row r="52" spans="1:43" x14ac:dyDescent="0.35">
      <c r="A52" s="2">
        <v>50</v>
      </c>
      <c r="B52" s="3" t="s">
        <v>161</v>
      </c>
      <c r="C52" s="22" t="s">
        <v>81</v>
      </c>
      <c r="D52" s="22" t="s">
        <v>81</v>
      </c>
      <c r="E52" s="22" t="s">
        <v>81</v>
      </c>
      <c r="F52" s="22" t="s">
        <v>81</v>
      </c>
      <c r="G52" s="22" t="s">
        <v>81</v>
      </c>
      <c r="H52" s="21" t="s">
        <v>75</v>
      </c>
      <c r="I52" s="21" t="s">
        <v>75</v>
      </c>
      <c r="J52" s="22" t="s">
        <v>81</v>
      </c>
      <c r="K52" s="22" t="s">
        <v>81</v>
      </c>
      <c r="L52" s="22" t="s">
        <v>81</v>
      </c>
      <c r="M52" s="22" t="s">
        <v>81</v>
      </c>
      <c r="N52" s="22" t="s">
        <v>81</v>
      </c>
      <c r="O52" s="21" t="s">
        <v>75</v>
      </c>
      <c r="P52" s="21" t="s">
        <v>75</v>
      </c>
      <c r="Q52" s="22" t="s">
        <v>81</v>
      </c>
      <c r="R52" s="22" t="s">
        <v>81</v>
      </c>
      <c r="S52" s="22" t="s">
        <v>81</v>
      </c>
      <c r="T52" s="35" t="s">
        <v>81</v>
      </c>
      <c r="U52" s="22" t="s">
        <v>81</v>
      </c>
      <c r="V52" s="21" t="s">
        <v>75</v>
      </c>
      <c r="W52" s="21" t="s">
        <v>75</v>
      </c>
      <c r="X52" s="22" t="s">
        <v>81</v>
      </c>
      <c r="Y52" s="22" t="s">
        <v>81</v>
      </c>
      <c r="Z52" s="22" t="s">
        <v>81</v>
      </c>
      <c r="AA52" s="22" t="s">
        <v>81</v>
      </c>
      <c r="AB52" s="22" t="s">
        <v>81</v>
      </c>
      <c r="AC52" s="21" t="s">
        <v>75</v>
      </c>
      <c r="AD52" s="21" t="s">
        <v>75</v>
      </c>
      <c r="AE52" s="22" t="s">
        <v>81</v>
      </c>
      <c r="AF52" s="22" t="s">
        <v>81</v>
      </c>
      <c r="AG52" s="4">
        <f t="shared" si="22"/>
        <v>22</v>
      </c>
      <c r="AH52" s="5">
        <f t="shared" si="23"/>
        <v>22</v>
      </c>
      <c r="AI52" s="6">
        <f t="shared" si="24"/>
        <v>0</v>
      </c>
      <c r="AJ52" s="7">
        <f t="shared" si="25"/>
        <v>0</v>
      </c>
      <c r="AK52" s="7">
        <f t="shared" si="26"/>
        <v>0</v>
      </c>
      <c r="AL52" s="7">
        <f t="shared" si="27"/>
        <v>0</v>
      </c>
      <c r="AM52" s="7">
        <f t="shared" si="28"/>
        <v>0</v>
      </c>
      <c r="AN52" s="8">
        <f t="shared" si="29"/>
        <v>0</v>
      </c>
      <c r="AO52" s="12">
        <f t="shared" si="30"/>
        <v>22</v>
      </c>
      <c r="AP52" s="23">
        <f t="shared" si="31"/>
        <v>0</v>
      </c>
      <c r="AQ52" s="14">
        <f t="shared" si="32"/>
        <v>100</v>
      </c>
    </row>
    <row r="53" spans="1:43" x14ac:dyDescent="0.35">
      <c r="A53" s="2">
        <v>51</v>
      </c>
      <c r="B53" s="3" t="s">
        <v>162</v>
      </c>
      <c r="C53" s="22" t="s">
        <v>81</v>
      </c>
      <c r="D53" s="22" t="s">
        <v>81</v>
      </c>
      <c r="E53" s="22" t="s">
        <v>81</v>
      </c>
      <c r="F53" s="22" t="s">
        <v>81</v>
      </c>
      <c r="G53" s="22" t="s">
        <v>81</v>
      </c>
      <c r="H53" s="21" t="s">
        <v>75</v>
      </c>
      <c r="I53" s="21" t="s">
        <v>75</v>
      </c>
      <c r="J53" s="22" t="s">
        <v>81</v>
      </c>
      <c r="K53" s="22" t="s">
        <v>81</v>
      </c>
      <c r="L53" s="22" t="s">
        <v>81</v>
      </c>
      <c r="M53" s="22" t="s">
        <v>81</v>
      </c>
      <c r="N53" s="22" t="s">
        <v>81</v>
      </c>
      <c r="O53" s="21" t="s">
        <v>75</v>
      </c>
      <c r="P53" s="21" t="s">
        <v>75</v>
      </c>
      <c r="Q53" s="22" t="s">
        <v>81</v>
      </c>
      <c r="R53" s="22" t="s">
        <v>81</v>
      </c>
      <c r="S53" s="22" t="s">
        <v>81</v>
      </c>
      <c r="T53" s="35" t="s">
        <v>81</v>
      </c>
      <c r="U53" s="22" t="s">
        <v>81</v>
      </c>
      <c r="V53" s="21" t="s">
        <v>75</v>
      </c>
      <c r="W53" s="21" t="s">
        <v>75</v>
      </c>
      <c r="X53" s="22" t="s">
        <v>81</v>
      </c>
      <c r="Y53" s="22" t="s">
        <v>81</v>
      </c>
      <c r="Z53" s="22" t="s">
        <v>81</v>
      </c>
      <c r="AA53" s="22" t="s">
        <v>81</v>
      </c>
      <c r="AB53" s="22" t="s">
        <v>81</v>
      </c>
      <c r="AC53" s="21" t="s">
        <v>75</v>
      </c>
      <c r="AD53" s="21" t="s">
        <v>75</v>
      </c>
      <c r="AE53" s="22" t="s">
        <v>81</v>
      </c>
      <c r="AF53" s="22" t="s">
        <v>81</v>
      </c>
      <c r="AG53" s="4">
        <f t="shared" si="22"/>
        <v>22</v>
      </c>
      <c r="AH53" s="5">
        <f t="shared" si="23"/>
        <v>22</v>
      </c>
      <c r="AI53" s="6">
        <f t="shared" si="24"/>
        <v>0</v>
      </c>
      <c r="AJ53" s="7">
        <f t="shared" si="25"/>
        <v>0</v>
      </c>
      <c r="AK53" s="7">
        <f t="shared" si="26"/>
        <v>0</v>
      </c>
      <c r="AL53" s="7">
        <f t="shared" si="27"/>
        <v>0</v>
      </c>
      <c r="AM53" s="7">
        <f t="shared" si="28"/>
        <v>0</v>
      </c>
      <c r="AN53" s="8">
        <f t="shared" si="29"/>
        <v>0</v>
      </c>
      <c r="AO53" s="12">
        <f t="shared" si="30"/>
        <v>22</v>
      </c>
      <c r="AP53" s="23">
        <f t="shared" si="31"/>
        <v>0</v>
      </c>
      <c r="AQ53" s="14">
        <f t="shared" si="32"/>
        <v>100</v>
      </c>
    </row>
    <row r="54" spans="1:43" x14ac:dyDescent="0.35">
      <c r="A54" s="2">
        <v>52</v>
      </c>
      <c r="B54" s="3" t="s">
        <v>163</v>
      </c>
      <c r="C54" s="22" t="s">
        <v>81</v>
      </c>
      <c r="D54" s="22" t="s">
        <v>81</v>
      </c>
      <c r="E54" s="22" t="s">
        <v>81</v>
      </c>
      <c r="F54" s="22" t="s">
        <v>81</v>
      </c>
      <c r="G54" s="22" t="s">
        <v>81</v>
      </c>
      <c r="H54" s="21" t="s">
        <v>75</v>
      </c>
      <c r="I54" s="21" t="s">
        <v>75</v>
      </c>
      <c r="J54" s="22" t="s">
        <v>81</v>
      </c>
      <c r="K54" s="22" t="s">
        <v>81</v>
      </c>
      <c r="L54" s="22" t="s">
        <v>81</v>
      </c>
      <c r="M54" s="22" t="s">
        <v>81</v>
      </c>
      <c r="N54" s="22" t="s">
        <v>81</v>
      </c>
      <c r="O54" s="21" t="s">
        <v>75</v>
      </c>
      <c r="P54" s="21" t="s">
        <v>75</v>
      </c>
      <c r="Q54" s="22" t="s">
        <v>81</v>
      </c>
      <c r="R54" s="22" t="s">
        <v>81</v>
      </c>
      <c r="S54" s="22" t="s">
        <v>81</v>
      </c>
      <c r="T54" s="35" t="s">
        <v>81</v>
      </c>
      <c r="U54" s="22" t="s">
        <v>81</v>
      </c>
      <c r="V54" s="21" t="s">
        <v>75</v>
      </c>
      <c r="W54" s="21" t="s">
        <v>75</v>
      </c>
      <c r="X54" s="22" t="s">
        <v>81</v>
      </c>
      <c r="Y54" s="22" t="s">
        <v>81</v>
      </c>
      <c r="Z54" s="22" t="s">
        <v>81</v>
      </c>
      <c r="AA54" s="22" t="s">
        <v>81</v>
      </c>
      <c r="AB54" s="22" t="s">
        <v>81</v>
      </c>
      <c r="AC54" s="21" t="s">
        <v>75</v>
      </c>
      <c r="AD54" s="21" t="s">
        <v>75</v>
      </c>
      <c r="AE54" s="22" t="s">
        <v>81</v>
      </c>
      <c r="AF54" s="22" t="s">
        <v>81</v>
      </c>
      <c r="AG54" s="4">
        <f t="shared" si="22"/>
        <v>22</v>
      </c>
      <c r="AH54" s="5">
        <f t="shared" si="23"/>
        <v>22</v>
      </c>
      <c r="AI54" s="6">
        <f t="shared" si="24"/>
        <v>0</v>
      </c>
      <c r="AJ54" s="7">
        <f t="shared" si="25"/>
        <v>0</v>
      </c>
      <c r="AK54" s="7">
        <f t="shared" si="26"/>
        <v>0</v>
      </c>
      <c r="AL54" s="7">
        <f t="shared" si="27"/>
        <v>0</v>
      </c>
      <c r="AM54" s="7">
        <f t="shared" si="28"/>
        <v>0</v>
      </c>
      <c r="AN54" s="8">
        <f t="shared" si="29"/>
        <v>0</v>
      </c>
      <c r="AO54" s="12">
        <f t="shared" si="30"/>
        <v>22</v>
      </c>
      <c r="AP54" s="23">
        <f t="shared" si="31"/>
        <v>0</v>
      </c>
      <c r="AQ54" s="14">
        <f t="shared" si="32"/>
        <v>100</v>
      </c>
    </row>
    <row r="55" spans="1:43" x14ac:dyDescent="0.35">
      <c r="A55" s="2">
        <v>53</v>
      </c>
      <c r="B55" s="3" t="s">
        <v>164</v>
      </c>
      <c r="C55" s="22" t="s">
        <v>81</v>
      </c>
      <c r="D55" s="22" t="s">
        <v>81</v>
      </c>
      <c r="E55" s="22" t="s">
        <v>81</v>
      </c>
      <c r="F55" s="22" t="s">
        <v>81</v>
      </c>
      <c r="G55" s="22" t="s">
        <v>81</v>
      </c>
      <c r="H55" s="21" t="s">
        <v>75</v>
      </c>
      <c r="I55" s="21" t="s">
        <v>75</v>
      </c>
      <c r="J55" s="22" t="s">
        <v>81</v>
      </c>
      <c r="K55" s="22" t="s">
        <v>81</v>
      </c>
      <c r="L55" s="22" t="s">
        <v>81</v>
      </c>
      <c r="M55" s="22" t="s">
        <v>81</v>
      </c>
      <c r="N55" s="22" t="s">
        <v>81</v>
      </c>
      <c r="O55" s="21" t="s">
        <v>75</v>
      </c>
      <c r="P55" s="21" t="s">
        <v>75</v>
      </c>
      <c r="Q55" s="22" t="s">
        <v>81</v>
      </c>
      <c r="R55" s="22" t="s">
        <v>81</v>
      </c>
      <c r="S55" s="22" t="s">
        <v>81</v>
      </c>
      <c r="T55" s="35" t="s">
        <v>81</v>
      </c>
      <c r="U55" s="22" t="s">
        <v>81</v>
      </c>
      <c r="V55" s="21" t="s">
        <v>75</v>
      </c>
      <c r="W55" s="21" t="s">
        <v>75</v>
      </c>
      <c r="X55" s="22" t="s">
        <v>81</v>
      </c>
      <c r="Y55" s="22" t="s">
        <v>81</v>
      </c>
      <c r="Z55" s="22" t="s">
        <v>81</v>
      </c>
      <c r="AA55" s="22" t="s">
        <v>81</v>
      </c>
      <c r="AB55" s="43" t="s">
        <v>19</v>
      </c>
      <c r="AC55" s="21" t="s">
        <v>75</v>
      </c>
      <c r="AD55" s="21" t="s">
        <v>75</v>
      </c>
      <c r="AE55" s="22" t="s">
        <v>81</v>
      </c>
      <c r="AF55" s="22" t="s">
        <v>81</v>
      </c>
      <c r="AG55" s="4">
        <f t="shared" si="22"/>
        <v>22</v>
      </c>
      <c r="AH55" s="5">
        <f t="shared" si="23"/>
        <v>21</v>
      </c>
      <c r="AI55" s="6">
        <f t="shared" si="24"/>
        <v>0</v>
      </c>
      <c r="AJ55" s="7">
        <f t="shared" si="25"/>
        <v>0</v>
      </c>
      <c r="AK55" s="7">
        <f t="shared" si="26"/>
        <v>0</v>
      </c>
      <c r="AL55" s="7">
        <f t="shared" si="27"/>
        <v>0</v>
      </c>
      <c r="AM55" s="7">
        <f t="shared" si="28"/>
        <v>1</v>
      </c>
      <c r="AN55" s="8">
        <f t="shared" si="29"/>
        <v>0</v>
      </c>
      <c r="AO55" s="12">
        <f t="shared" si="30"/>
        <v>22</v>
      </c>
      <c r="AP55" s="23">
        <f t="shared" si="31"/>
        <v>0</v>
      </c>
      <c r="AQ55" s="14">
        <f t="shared" si="32"/>
        <v>100</v>
      </c>
    </row>
    <row r="56" spans="1:43" x14ac:dyDescent="0.35">
      <c r="A56" s="2">
        <v>54</v>
      </c>
      <c r="B56" s="3" t="s">
        <v>165</v>
      </c>
      <c r="C56" s="22" t="s">
        <v>81</v>
      </c>
      <c r="D56" s="22" t="s">
        <v>81</v>
      </c>
      <c r="E56" s="22" t="s">
        <v>81</v>
      </c>
      <c r="F56" s="22" t="s">
        <v>81</v>
      </c>
      <c r="G56" s="22" t="s">
        <v>81</v>
      </c>
      <c r="H56" s="21" t="s">
        <v>75</v>
      </c>
      <c r="I56" s="21" t="s">
        <v>75</v>
      </c>
      <c r="J56" s="22" t="s">
        <v>81</v>
      </c>
      <c r="K56" s="22" t="s">
        <v>81</v>
      </c>
      <c r="L56" s="22" t="s">
        <v>81</v>
      </c>
      <c r="M56" s="22" t="s">
        <v>81</v>
      </c>
      <c r="N56" s="22" t="s">
        <v>81</v>
      </c>
      <c r="O56" s="21" t="s">
        <v>75</v>
      </c>
      <c r="P56" s="21" t="s">
        <v>75</v>
      </c>
      <c r="Q56" s="22" t="s">
        <v>81</v>
      </c>
      <c r="R56" s="22" t="s">
        <v>81</v>
      </c>
      <c r="S56" s="22" t="s">
        <v>81</v>
      </c>
      <c r="T56" s="35" t="s">
        <v>81</v>
      </c>
      <c r="U56" s="22" t="s">
        <v>81</v>
      </c>
      <c r="V56" s="21" t="s">
        <v>75</v>
      </c>
      <c r="W56" s="21" t="s">
        <v>75</v>
      </c>
      <c r="X56" s="22" t="s">
        <v>81</v>
      </c>
      <c r="Y56" s="22" t="s">
        <v>81</v>
      </c>
      <c r="Z56" s="22" t="s">
        <v>81</v>
      </c>
      <c r="AA56" s="35" t="s">
        <v>81</v>
      </c>
      <c r="AB56" s="22" t="s">
        <v>81</v>
      </c>
      <c r="AC56" s="21" t="s">
        <v>75</v>
      </c>
      <c r="AD56" s="21" t="s">
        <v>75</v>
      </c>
      <c r="AE56" s="22" t="s">
        <v>81</v>
      </c>
      <c r="AF56" s="22" t="s">
        <v>81</v>
      </c>
      <c r="AG56" s="4">
        <f t="shared" si="22"/>
        <v>22</v>
      </c>
      <c r="AH56" s="5">
        <f t="shared" si="23"/>
        <v>22</v>
      </c>
      <c r="AI56" s="6">
        <f t="shared" si="24"/>
        <v>0</v>
      </c>
      <c r="AJ56" s="7">
        <f t="shared" si="25"/>
        <v>0</v>
      </c>
      <c r="AK56" s="7">
        <f t="shared" si="26"/>
        <v>0</v>
      </c>
      <c r="AL56" s="7">
        <f t="shared" si="27"/>
        <v>0</v>
      </c>
      <c r="AM56" s="7">
        <f t="shared" si="28"/>
        <v>0</v>
      </c>
      <c r="AN56" s="8">
        <f t="shared" si="29"/>
        <v>0</v>
      </c>
      <c r="AO56" s="12">
        <f t="shared" si="30"/>
        <v>22</v>
      </c>
      <c r="AP56" s="23">
        <f t="shared" si="31"/>
        <v>0</v>
      </c>
      <c r="AQ56" s="14">
        <f t="shared" si="32"/>
        <v>100</v>
      </c>
    </row>
    <row r="57" spans="1:43" x14ac:dyDescent="0.35">
      <c r="A57" s="2">
        <v>55</v>
      </c>
      <c r="B57" s="3" t="s">
        <v>167</v>
      </c>
      <c r="C57" s="22" t="s">
        <v>15</v>
      </c>
      <c r="D57" s="22" t="s">
        <v>15</v>
      </c>
      <c r="E57" s="22" t="s">
        <v>15</v>
      </c>
      <c r="F57" s="22" t="s">
        <v>15</v>
      </c>
      <c r="G57" s="22" t="s">
        <v>15</v>
      </c>
      <c r="H57" s="21" t="s">
        <v>75</v>
      </c>
      <c r="I57" s="21" t="s">
        <v>75</v>
      </c>
      <c r="J57" s="35" t="s">
        <v>81</v>
      </c>
      <c r="K57" s="22" t="s">
        <v>81</v>
      </c>
      <c r="L57" s="22" t="s">
        <v>15</v>
      </c>
      <c r="M57" s="22" t="s">
        <v>15</v>
      </c>
      <c r="N57" s="22" t="s">
        <v>15</v>
      </c>
      <c r="O57" s="21" t="s">
        <v>75</v>
      </c>
      <c r="P57" s="21" t="s">
        <v>75</v>
      </c>
      <c r="Q57" s="22" t="s">
        <v>15</v>
      </c>
      <c r="R57" s="22" t="s">
        <v>15</v>
      </c>
      <c r="S57" s="22" t="s">
        <v>15</v>
      </c>
      <c r="T57" s="35" t="s">
        <v>81</v>
      </c>
      <c r="U57" s="22" t="s">
        <v>81</v>
      </c>
      <c r="V57" s="21" t="s">
        <v>75</v>
      </c>
      <c r="W57" s="21" t="s">
        <v>75</v>
      </c>
      <c r="X57" s="22" t="s">
        <v>81</v>
      </c>
      <c r="Y57" s="22" t="s">
        <v>81</v>
      </c>
      <c r="Z57" s="22" t="s">
        <v>81</v>
      </c>
      <c r="AA57" s="35" t="s">
        <v>81</v>
      </c>
      <c r="AB57" s="22" t="s">
        <v>81</v>
      </c>
      <c r="AC57" s="21" t="s">
        <v>75</v>
      </c>
      <c r="AD57" s="21" t="s">
        <v>75</v>
      </c>
      <c r="AE57" s="22" t="s">
        <v>81</v>
      </c>
      <c r="AF57" s="22" t="s">
        <v>81</v>
      </c>
      <c r="AG57" s="4">
        <f t="shared" ref="AG57" si="33">30-COUNTIF(C57:AF57,"WO")-COUNTIF(C57:AF57,"H")</f>
        <v>22</v>
      </c>
      <c r="AH57" s="5">
        <f t="shared" ref="AH57" si="34">COUNTIF(C57:AF57,"P")</f>
        <v>11</v>
      </c>
      <c r="AI57" s="6">
        <f t="shared" ref="AI57" si="35">COUNTIF(C57:AF57,"WFH")</f>
        <v>11</v>
      </c>
      <c r="AJ57" s="7">
        <f t="shared" ref="AJ57" si="36">COUNTIF(C57:AF57,"HD")</f>
        <v>0</v>
      </c>
      <c r="AK57" s="7">
        <f t="shared" ref="AK57" si="37">COUNTIF(C57:AF57,"EL")</f>
        <v>0</v>
      </c>
      <c r="AL57" s="7">
        <f t="shared" ref="AL57" si="38">COUNTIF(C57:AF57,"SL")</f>
        <v>0</v>
      </c>
      <c r="AM57" s="7">
        <f t="shared" ref="AM57" si="39">COUNTIF(C57:AF57,"CL")</f>
        <v>0</v>
      </c>
      <c r="AN57" s="8">
        <f t="shared" ref="AN57" si="40">COUNTIF(C57:AF57,"LOP")</f>
        <v>0</v>
      </c>
      <c r="AO57" s="12">
        <f t="shared" ref="AO57" si="41">AH57+AI57+AJ57*0.5+AK57+AL57+AM57</f>
        <v>22</v>
      </c>
      <c r="AP57" s="23">
        <f t="shared" ref="AP57" si="42">AN57</f>
        <v>0</v>
      </c>
      <c r="AQ57" s="14">
        <f t="shared" ref="AQ57" si="43">IFERROR(AO57/AG57*100,0)</f>
        <v>100</v>
      </c>
    </row>
    <row r="58" spans="1:43" x14ac:dyDescent="0.35">
      <c r="A58" s="2">
        <v>56</v>
      </c>
      <c r="B58" s="3" t="s">
        <v>168</v>
      </c>
      <c r="C58" s="22" t="s">
        <v>81</v>
      </c>
      <c r="D58" s="22" t="s">
        <v>81</v>
      </c>
      <c r="E58" s="22" t="s">
        <v>81</v>
      </c>
      <c r="F58" s="22" t="s">
        <v>82</v>
      </c>
      <c r="G58" s="22" t="s">
        <v>81</v>
      </c>
      <c r="H58" s="21" t="s">
        <v>75</v>
      </c>
      <c r="I58" s="21" t="s">
        <v>75</v>
      </c>
      <c r="J58" s="22" t="s">
        <v>81</v>
      </c>
      <c r="K58" s="22" t="s">
        <v>81</v>
      </c>
      <c r="L58" s="22" t="s">
        <v>81</v>
      </c>
      <c r="M58" s="22" t="s">
        <v>81</v>
      </c>
      <c r="N58" s="22" t="s">
        <v>81</v>
      </c>
      <c r="O58" s="21" t="s">
        <v>75</v>
      </c>
      <c r="P58" s="21" t="s">
        <v>75</v>
      </c>
      <c r="Q58" s="22" t="s">
        <v>81</v>
      </c>
      <c r="R58" s="22" t="s">
        <v>81</v>
      </c>
      <c r="S58" s="22" t="s">
        <v>81</v>
      </c>
      <c r="T58" s="22" t="s">
        <v>81</v>
      </c>
      <c r="U58" s="22" t="s">
        <v>81</v>
      </c>
      <c r="V58" s="21" t="s">
        <v>75</v>
      </c>
      <c r="W58" s="21" t="s">
        <v>75</v>
      </c>
      <c r="X58" s="22" t="s">
        <v>81</v>
      </c>
      <c r="Y58" s="22" t="s">
        <v>81</v>
      </c>
      <c r="Z58" s="22" t="s">
        <v>81</v>
      </c>
      <c r="AA58" s="35" t="s">
        <v>81</v>
      </c>
      <c r="AB58" s="22" t="s">
        <v>82</v>
      </c>
      <c r="AC58" s="21" t="s">
        <v>75</v>
      </c>
      <c r="AD58" s="21" t="s">
        <v>75</v>
      </c>
      <c r="AE58" s="22" t="s">
        <v>81</v>
      </c>
      <c r="AF58" s="22" t="s">
        <v>81</v>
      </c>
      <c r="AG58" s="4">
        <f t="shared" ref="AG58:AG71" si="44">30-COUNTIF(C58:AF58,"WO")-COUNTIF(C58:AF58,"H")</f>
        <v>22</v>
      </c>
      <c r="AH58" s="5">
        <f t="shared" ref="AH58:AH71" si="45">COUNTIF(C58:AF58,"P")</f>
        <v>20</v>
      </c>
      <c r="AI58" s="6">
        <f t="shared" ref="AI58:AI71" si="46">COUNTIF(C58:AF58,"WFH")</f>
        <v>0</v>
      </c>
      <c r="AJ58" s="7">
        <f t="shared" ref="AJ58:AJ71" si="47">COUNTIF(C58:AF58,"HD")</f>
        <v>0</v>
      </c>
      <c r="AK58" s="7">
        <f t="shared" ref="AK58:AK71" si="48">COUNTIF(C58:AF58,"EL")</f>
        <v>0</v>
      </c>
      <c r="AL58" s="7">
        <f t="shared" ref="AL58:AL71" si="49">COUNTIF(C58:AF58,"SL")</f>
        <v>0</v>
      </c>
      <c r="AM58" s="7">
        <f t="shared" ref="AM58:AM71" si="50">COUNTIF(C58:AF58,"CL")</f>
        <v>0</v>
      </c>
      <c r="AN58" s="8">
        <f t="shared" ref="AN58:AN71" si="51">COUNTIF(C58:AF58,"LOP")</f>
        <v>0</v>
      </c>
      <c r="AO58" s="12">
        <f t="shared" ref="AO58:AO71" si="52">AH58+AI58+AJ58*0.5+AK58+AL58+AM58</f>
        <v>20</v>
      </c>
      <c r="AP58" s="23">
        <f t="shared" ref="AP58:AP71" si="53">AN58</f>
        <v>0</v>
      </c>
      <c r="AQ58" s="14">
        <f t="shared" ref="AQ58:AQ71" si="54">IFERROR(AO58/AG58*100,0)</f>
        <v>90.909090909090907</v>
      </c>
    </row>
    <row r="59" spans="1:43" x14ac:dyDescent="0.35">
      <c r="A59" s="2">
        <v>57</v>
      </c>
      <c r="B59" s="3" t="s">
        <v>169</v>
      </c>
      <c r="C59" s="22" t="s">
        <v>81</v>
      </c>
      <c r="D59" s="22" t="s">
        <v>81</v>
      </c>
      <c r="E59" s="22" t="s">
        <v>81</v>
      </c>
      <c r="F59" s="22" t="s">
        <v>81</v>
      </c>
      <c r="G59" s="22" t="s">
        <v>81</v>
      </c>
      <c r="H59" s="21" t="s">
        <v>75</v>
      </c>
      <c r="I59" s="21" t="s">
        <v>75</v>
      </c>
      <c r="J59" s="22" t="s">
        <v>81</v>
      </c>
      <c r="K59" s="22" t="s">
        <v>82</v>
      </c>
      <c r="L59" s="22" t="s">
        <v>82</v>
      </c>
      <c r="M59" s="22" t="s">
        <v>81</v>
      </c>
      <c r="N59" s="22" t="s">
        <v>81</v>
      </c>
      <c r="O59" s="21" t="s">
        <v>75</v>
      </c>
      <c r="P59" s="21" t="s">
        <v>75</v>
      </c>
      <c r="Q59" s="22" t="s">
        <v>81</v>
      </c>
      <c r="R59" s="22" t="s">
        <v>81</v>
      </c>
      <c r="S59" s="22" t="s">
        <v>81</v>
      </c>
      <c r="T59" s="22" t="s">
        <v>81</v>
      </c>
      <c r="U59" s="22" t="s">
        <v>81</v>
      </c>
      <c r="V59" s="21" t="s">
        <v>75</v>
      </c>
      <c r="W59" s="21" t="s">
        <v>75</v>
      </c>
      <c r="X59" s="22" t="s">
        <v>81</v>
      </c>
      <c r="Y59" s="22" t="s">
        <v>81</v>
      </c>
      <c r="Z59" s="22" t="s">
        <v>81</v>
      </c>
      <c r="AA59" s="22" t="s">
        <v>81</v>
      </c>
      <c r="AB59" s="22" t="s">
        <v>81</v>
      </c>
      <c r="AC59" s="21" t="s">
        <v>75</v>
      </c>
      <c r="AD59" s="21" t="s">
        <v>75</v>
      </c>
      <c r="AE59" s="22" t="s">
        <v>81</v>
      </c>
      <c r="AF59" s="22" t="s">
        <v>81</v>
      </c>
      <c r="AG59" s="4">
        <f t="shared" si="44"/>
        <v>22</v>
      </c>
      <c r="AH59" s="5">
        <f t="shared" si="45"/>
        <v>20</v>
      </c>
      <c r="AI59" s="6">
        <f t="shared" si="46"/>
        <v>0</v>
      </c>
      <c r="AJ59" s="7">
        <f t="shared" si="47"/>
        <v>0</v>
      </c>
      <c r="AK59" s="7">
        <f t="shared" si="48"/>
        <v>0</v>
      </c>
      <c r="AL59" s="7">
        <f t="shared" si="49"/>
        <v>0</v>
      </c>
      <c r="AM59" s="7">
        <f t="shared" si="50"/>
        <v>0</v>
      </c>
      <c r="AN59" s="8">
        <f t="shared" si="51"/>
        <v>0</v>
      </c>
      <c r="AO59" s="12">
        <f t="shared" si="52"/>
        <v>20</v>
      </c>
      <c r="AP59" s="23">
        <f t="shared" si="53"/>
        <v>0</v>
      </c>
      <c r="AQ59" s="14">
        <f t="shared" si="54"/>
        <v>90.909090909090907</v>
      </c>
    </row>
    <row r="60" spans="1:43" x14ac:dyDescent="0.35">
      <c r="A60" s="2">
        <v>58</v>
      </c>
      <c r="B60" s="3" t="s">
        <v>170</v>
      </c>
      <c r="C60" s="22" t="s">
        <v>81</v>
      </c>
      <c r="D60" s="22" t="s">
        <v>81</v>
      </c>
      <c r="E60" s="22" t="s">
        <v>81</v>
      </c>
      <c r="F60" s="22" t="s">
        <v>81</v>
      </c>
      <c r="G60" s="22" t="s">
        <v>81</v>
      </c>
      <c r="H60" s="21" t="s">
        <v>75</v>
      </c>
      <c r="I60" s="21" t="s">
        <v>75</v>
      </c>
      <c r="J60" s="22" t="s">
        <v>81</v>
      </c>
      <c r="K60" s="22" t="s">
        <v>81</v>
      </c>
      <c r="L60" s="22" t="s">
        <v>81</v>
      </c>
      <c r="M60" s="22" t="s">
        <v>81</v>
      </c>
      <c r="N60" s="22" t="s">
        <v>82</v>
      </c>
      <c r="O60" s="21" t="s">
        <v>75</v>
      </c>
      <c r="P60" s="21" t="s">
        <v>75</v>
      </c>
      <c r="Q60" s="22" t="s">
        <v>81</v>
      </c>
      <c r="R60" s="22" t="s">
        <v>82</v>
      </c>
      <c r="S60" s="22" t="s">
        <v>82</v>
      </c>
      <c r="T60" s="22" t="s">
        <v>82</v>
      </c>
      <c r="U60" s="22" t="s">
        <v>82</v>
      </c>
      <c r="V60" s="21" t="s">
        <v>75</v>
      </c>
      <c r="W60" s="21" t="s">
        <v>75</v>
      </c>
      <c r="X60" s="22" t="s">
        <v>81</v>
      </c>
      <c r="Y60" s="22" t="s">
        <v>81</v>
      </c>
      <c r="Z60" s="22" t="s">
        <v>81</v>
      </c>
      <c r="AA60" s="22" t="s">
        <v>81</v>
      </c>
      <c r="AB60" s="22" t="s">
        <v>81</v>
      </c>
      <c r="AC60" s="21" t="s">
        <v>75</v>
      </c>
      <c r="AD60" s="21" t="s">
        <v>75</v>
      </c>
      <c r="AE60" s="22" t="s">
        <v>81</v>
      </c>
      <c r="AF60" s="22" t="s">
        <v>81</v>
      </c>
      <c r="AG60" s="4">
        <f t="shared" si="44"/>
        <v>22</v>
      </c>
      <c r="AH60" s="5">
        <f t="shared" si="45"/>
        <v>17</v>
      </c>
      <c r="AI60" s="6">
        <f t="shared" si="46"/>
        <v>0</v>
      </c>
      <c r="AJ60" s="7">
        <f t="shared" si="47"/>
        <v>0</v>
      </c>
      <c r="AK60" s="7">
        <f t="shared" si="48"/>
        <v>0</v>
      </c>
      <c r="AL60" s="7">
        <f t="shared" si="49"/>
        <v>0</v>
      </c>
      <c r="AM60" s="7">
        <f t="shared" si="50"/>
        <v>0</v>
      </c>
      <c r="AN60" s="8">
        <f t="shared" si="51"/>
        <v>0</v>
      </c>
      <c r="AO60" s="12">
        <f t="shared" si="52"/>
        <v>17</v>
      </c>
      <c r="AP60" s="23">
        <f t="shared" si="53"/>
        <v>0</v>
      </c>
      <c r="AQ60" s="14">
        <f t="shared" si="54"/>
        <v>77.272727272727266</v>
      </c>
    </row>
    <row r="61" spans="1:43" x14ac:dyDescent="0.35">
      <c r="A61" s="2">
        <v>59</v>
      </c>
      <c r="B61" s="3" t="s">
        <v>171</v>
      </c>
      <c r="C61" s="22" t="s">
        <v>81</v>
      </c>
      <c r="D61" s="22" t="s">
        <v>81</v>
      </c>
      <c r="E61" s="22" t="s">
        <v>81</v>
      </c>
      <c r="F61" s="22" t="s">
        <v>82</v>
      </c>
      <c r="G61" s="22" t="s">
        <v>81</v>
      </c>
      <c r="H61" s="21" t="s">
        <v>75</v>
      </c>
      <c r="I61" s="21" t="s">
        <v>75</v>
      </c>
      <c r="J61" s="22" t="s">
        <v>81</v>
      </c>
      <c r="K61" s="22" t="s">
        <v>81</v>
      </c>
      <c r="L61" s="22" t="s">
        <v>81</v>
      </c>
      <c r="M61" s="22" t="s">
        <v>81</v>
      </c>
      <c r="N61" s="22" t="s">
        <v>81</v>
      </c>
      <c r="O61" s="21" t="s">
        <v>75</v>
      </c>
      <c r="P61" s="21" t="s">
        <v>75</v>
      </c>
      <c r="Q61" s="22" t="s">
        <v>81</v>
      </c>
      <c r="R61" s="22" t="s">
        <v>81</v>
      </c>
      <c r="S61" s="22" t="s">
        <v>81</v>
      </c>
      <c r="T61" s="22" t="s">
        <v>81</v>
      </c>
      <c r="U61" s="22" t="s">
        <v>81</v>
      </c>
      <c r="V61" s="21" t="s">
        <v>75</v>
      </c>
      <c r="W61" s="21" t="s">
        <v>75</v>
      </c>
      <c r="X61" s="22" t="s">
        <v>81</v>
      </c>
      <c r="Y61" s="22" t="s">
        <v>81</v>
      </c>
      <c r="Z61" s="22" t="s">
        <v>81</v>
      </c>
      <c r="AA61" s="22" t="s">
        <v>81</v>
      </c>
      <c r="AB61" s="22" t="s">
        <v>81</v>
      </c>
      <c r="AC61" s="21" t="s">
        <v>75</v>
      </c>
      <c r="AD61" s="21" t="s">
        <v>75</v>
      </c>
      <c r="AE61" s="22" t="s">
        <v>81</v>
      </c>
      <c r="AF61" s="22" t="s">
        <v>81</v>
      </c>
      <c r="AG61" s="4">
        <f t="shared" si="44"/>
        <v>22</v>
      </c>
      <c r="AH61" s="5">
        <f t="shared" si="45"/>
        <v>21</v>
      </c>
      <c r="AI61" s="6">
        <f t="shared" si="46"/>
        <v>0</v>
      </c>
      <c r="AJ61" s="7">
        <f t="shared" si="47"/>
        <v>0</v>
      </c>
      <c r="AK61" s="7">
        <f t="shared" si="48"/>
        <v>0</v>
      </c>
      <c r="AL61" s="7">
        <f t="shared" si="49"/>
        <v>0</v>
      </c>
      <c r="AM61" s="7">
        <f t="shared" si="50"/>
        <v>0</v>
      </c>
      <c r="AN61" s="8">
        <f t="shared" si="51"/>
        <v>0</v>
      </c>
      <c r="AO61" s="12">
        <f t="shared" si="52"/>
        <v>21</v>
      </c>
      <c r="AP61" s="23">
        <f t="shared" si="53"/>
        <v>0</v>
      </c>
      <c r="AQ61" s="14">
        <f t="shared" si="54"/>
        <v>95.454545454545453</v>
      </c>
    </row>
    <row r="62" spans="1:43" x14ac:dyDescent="0.35">
      <c r="A62" s="2">
        <v>60</v>
      </c>
      <c r="B62" s="3" t="s">
        <v>172</v>
      </c>
      <c r="C62" s="22" t="s">
        <v>81</v>
      </c>
      <c r="D62" s="22" t="s">
        <v>81</v>
      </c>
      <c r="E62" s="22" t="s">
        <v>81</v>
      </c>
      <c r="F62" s="22" t="s">
        <v>81</v>
      </c>
      <c r="G62" s="22" t="s">
        <v>81</v>
      </c>
      <c r="H62" s="21" t="s">
        <v>75</v>
      </c>
      <c r="I62" s="21" t="s">
        <v>75</v>
      </c>
      <c r="J62" s="22" t="s">
        <v>81</v>
      </c>
      <c r="K62" s="22" t="s">
        <v>91</v>
      </c>
      <c r="L62" s="22" t="s">
        <v>81</v>
      </c>
      <c r="M62" s="22" t="s">
        <v>81</v>
      </c>
      <c r="N62" s="22" t="s">
        <v>81</v>
      </c>
      <c r="O62" s="21" t="s">
        <v>75</v>
      </c>
      <c r="P62" s="21" t="s">
        <v>75</v>
      </c>
      <c r="Q62" s="22" t="s">
        <v>81</v>
      </c>
      <c r="R62" s="22" t="s">
        <v>81</v>
      </c>
      <c r="S62" s="22" t="s">
        <v>81</v>
      </c>
      <c r="T62" s="22" t="s">
        <v>81</v>
      </c>
      <c r="U62" s="22" t="s">
        <v>82</v>
      </c>
      <c r="V62" s="21" t="s">
        <v>75</v>
      </c>
      <c r="W62" s="21" t="s">
        <v>75</v>
      </c>
      <c r="X62" s="22" t="s">
        <v>81</v>
      </c>
      <c r="Y62" s="22" t="s">
        <v>81</v>
      </c>
      <c r="Z62" s="22" t="s">
        <v>81</v>
      </c>
      <c r="AA62" s="22" t="s">
        <v>81</v>
      </c>
      <c r="AB62" s="43" t="s">
        <v>19</v>
      </c>
      <c r="AC62" s="21" t="s">
        <v>75</v>
      </c>
      <c r="AD62" s="21" t="s">
        <v>75</v>
      </c>
      <c r="AE62" s="22" t="s">
        <v>81</v>
      </c>
      <c r="AF62" s="22" t="s">
        <v>81</v>
      </c>
      <c r="AG62" s="4">
        <f t="shared" si="44"/>
        <v>22</v>
      </c>
      <c r="AH62" s="5">
        <f t="shared" si="45"/>
        <v>19</v>
      </c>
      <c r="AI62" s="6">
        <f t="shared" si="46"/>
        <v>0</v>
      </c>
      <c r="AJ62" s="7">
        <f t="shared" si="47"/>
        <v>1</v>
      </c>
      <c r="AK62" s="7">
        <f t="shared" si="48"/>
        <v>0</v>
      </c>
      <c r="AL62" s="7">
        <f t="shared" si="49"/>
        <v>0</v>
      </c>
      <c r="AM62" s="7">
        <f t="shared" si="50"/>
        <v>1</v>
      </c>
      <c r="AN62" s="8">
        <f t="shared" si="51"/>
        <v>0</v>
      </c>
      <c r="AO62" s="12">
        <f t="shared" si="52"/>
        <v>20.5</v>
      </c>
      <c r="AP62" s="23">
        <f t="shared" si="53"/>
        <v>0</v>
      </c>
      <c r="AQ62" s="14">
        <f t="shared" si="54"/>
        <v>93.181818181818173</v>
      </c>
    </row>
    <row r="63" spans="1:43" x14ac:dyDescent="0.35">
      <c r="A63" s="2">
        <v>61</v>
      </c>
      <c r="B63" s="3" t="s">
        <v>173</v>
      </c>
      <c r="C63" s="22" t="s">
        <v>81</v>
      </c>
      <c r="D63" s="22" t="s">
        <v>81</v>
      </c>
      <c r="E63" s="22" t="s">
        <v>81</v>
      </c>
      <c r="F63" s="22" t="s">
        <v>81</v>
      </c>
      <c r="G63" s="22" t="s">
        <v>81</v>
      </c>
      <c r="H63" s="21" t="s">
        <v>75</v>
      </c>
      <c r="I63" s="21" t="s">
        <v>75</v>
      </c>
      <c r="J63" s="22" t="s">
        <v>81</v>
      </c>
      <c r="K63" s="22" t="s">
        <v>81</v>
      </c>
      <c r="L63" s="22" t="s">
        <v>81</v>
      </c>
      <c r="M63" s="22" t="s">
        <v>81</v>
      </c>
      <c r="N63" s="22" t="s">
        <v>81</v>
      </c>
      <c r="O63" s="21" t="s">
        <v>75</v>
      </c>
      <c r="P63" s="21" t="s">
        <v>75</v>
      </c>
      <c r="Q63" s="22" t="s">
        <v>81</v>
      </c>
      <c r="R63" s="22" t="s">
        <v>81</v>
      </c>
      <c r="S63" s="22" t="s">
        <v>81</v>
      </c>
      <c r="T63" s="22" t="s">
        <v>81</v>
      </c>
      <c r="U63" s="22" t="s">
        <v>81</v>
      </c>
      <c r="V63" s="21" t="s">
        <v>75</v>
      </c>
      <c r="W63" s="21" t="s">
        <v>75</v>
      </c>
      <c r="X63" s="22" t="s">
        <v>81</v>
      </c>
      <c r="Y63" s="22" t="s">
        <v>81</v>
      </c>
      <c r="Z63" s="22" t="s">
        <v>81</v>
      </c>
      <c r="AA63" s="22" t="s">
        <v>81</v>
      </c>
      <c r="AB63" s="43" t="s">
        <v>19</v>
      </c>
      <c r="AC63" s="21" t="s">
        <v>75</v>
      </c>
      <c r="AD63" s="21" t="s">
        <v>75</v>
      </c>
      <c r="AE63" s="22" t="s">
        <v>81</v>
      </c>
      <c r="AF63" s="22" t="s">
        <v>81</v>
      </c>
      <c r="AG63" s="4">
        <f t="shared" si="44"/>
        <v>22</v>
      </c>
      <c r="AH63" s="5">
        <f t="shared" si="45"/>
        <v>21</v>
      </c>
      <c r="AI63" s="6">
        <f t="shared" si="46"/>
        <v>0</v>
      </c>
      <c r="AJ63" s="7">
        <f t="shared" si="47"/>
        <v>0</v>
      </c>
      <c r="AK63" s="7">
        <f t="shared" si="48"/>
        <v>0</v>
      </c>
      <c r="AL63" s="7">
        <f t="shared" si="49"/>
        <v>0</v>
      </c>
      <c r="AM63" s="7">
        <f t="shared" si="50"/>
        <v>1</v>
      </c>
      <c r="AN63" s="8">
        <f t="shared" si="51"/>
        <v>0</v>
      </c>
      <c r="AO63" s="12">
        <f t="shared" si="52"/>
        <v>22</v>
      </c>
      <c r="AP63" s="23">
        <f t="shared" si="53"/>
        <v>0</v>
      </c>
      <c r="AQ63" s="14">
        <f t="shared" si="54"/>
        <v>100</v>
      </c>
    </row>
    <row r="64" spans="1:43" x14ac:dyDescent="0.35">
      <c r="A64" s="2">
        <v>62</v>
      </c>
      <c r="B64" s="3" t="s">
        <v>174</v>
      </c>
      <c r="C64" s="22" t="s">
        <v>81</v>
      </c>
      <c r="D64" s="22" t="s">
        <v>81</v>
      </c>
      <c r="E64" s="22" t="s">
        <v>81</v>
      </c>
      <c r="F64" s="22" t="s">
        <v>81</v>
      </c>
      <c r="G64" s="22" t="s">
        <v>81</v>
      </c>
      <c r="H64" s="21" t="s">
        <v>75</v>
      </c>
      <c r="I64" s="21" t="s">
        <v>75</v>
      </c>
      <c r="J64" s="22" t="s">
        <v>81</v>
      </c>
      <c r="K64" s="22" t="s">
        <v>81</v>
      </c>
      <c r="L64" s="22" t="s">
        <v>81</v>
      </c>
      <c r="M64" s="22" t="s">
        <v>81</v>
      </c>
      <c r="N64" s="22" t="s">
        <v>81</v>
      </c>
      <c r="O64" s="21" t="s">
        <v>75</v>
      </c>
      <c r="P64" s="21" t="s">
        <v>75</v>
      </c>
      <c r="Q64" s="22" t="s">
        <v>81</v>
      </c>
      <c r="R64" s="22" t="s">
        <v>81</v>
      </c>
      <c r="S64" s="22" t="s">
        <v>81</v>
      </c>
      <c r="T64" s="22" t="s">
        <v>81</v>
      </c>
      <c r="U64" s="22" t="s">
        <v>81</v>
      </c>
      <c r="V64" s="21" t="s">
        <v>75</v>
      </c>
      <c r="W64" s="21" t="s">
        <v>75</v>
      </c>
      <c r="X64" s="22" t="s">
        <v>81</v>
      </c>
      <c r="Y64" s="22" t="s">
        <v>81</v>
      </c>
      <c r="Z64" s="22" t="s">
        <v>81</v>
      </c>
      <c r="AA64" s="22" t="s">
        <v>81</v>
      </c>
      <c r="AB64" s="22" t="s">
        <v>81</v>
      </c>
      <c r="AC64" s="21" t="s">
        <v>75</v>
      </c>
      <c r="AD64" s="21" t="s">
        <v>75</v>
      </c>
      <c r="AE64" s="22" t="s">
        <v>81</v>
      </c>
      <c r="AF64" s="22" t="s">
        <v>81</v>
      </c>
      <c r="AG64" s="4">
        <f t="shared" si="44"/>
        <v>22</v>
      </c>
      <c r="AH64" s="5">
        <f t="shared" si="45"/>
        <v>22</v>
      </c>
      <c r="AI64" s="6">
        <f t="shared" si="46"/>
        <v>0</v>
      </c>
      <c r="AJ64" s="7">
        <f t="shared" si="47"/>
        <v>0</v>
      </c>
      <c r="AK64" s="7">
        <f t="shared" si="48"/>
        <v>0</v>
      </c>
      <c r="AL64" s="7">
        <f t="shared" si="49"/>
        <v>0</v>
      </c>
      <c r="AM64" s="7">
        <f t="shared" si="50"/>
        <v>0</v>
      </c>
      <c r="AN64" s="8">
        <f t="shared" si="51"/>
        <v>0</v>
      </c>
      <c r="AO64" s="12">
        <f t="shared" si="52"/>
        <v>22</v>
      </c>
      <c r="AP64" s="23">
        <f t="shared" si="53"/>
        <v>0</v>
      </c>
      <c r="AQ64" s="14">
        <f t="shared" si="54"/>
        <v>100</v>
      </c>
    </row>
    <row r="65" spans="1:44" x14ac:dyDescent="0.35">
      <c r="A65" s="2">
        <v>63</v>
      </c>
      <c r="B65" s="3" t="s">
        <v>175</v>
      </c>
      <c r="C65" s="22" t="s">
        <v>81</v>
      </c>
      <c r="D65" s="22" t="s">
        <v>81</v>
      </c>
      <c r="E65" s="22" t="s">
        <v>81</v>
      </c>
      <c r="F65" s="22" t="s">
        <v>81</v>
      </c>
      <c r="G65" s="22" t="s">
        <v>81</v>
      </c>
      <c r="H65" s="21" t="s">
        <v>75</v>
      </c>
      <c r="I65" s="21" t="s">
        <v>75</v>
      </c>
      <c r="J65" s="22" t="s">
        <v>81</v>
      </c>
      <c r="K65" s="22" t="s">
        <v>81</v>
      </c>
      <c r="L65" s="22" t="s">
        <v>81</v>
      </c>
      <c r="M65" s="22" t="s">
        <v>81</v>
      </c>
      <c r="N65" s="22" t="s">
        <v>91</v>
      </c>
      <c r="O65" s="21" t="s">
        <v>75</v>
      </c>
      <c r="P65" s="21" t="s">
        <v>75</v>
      </c>
      <c r="Q65" s="22" t="s">
        <v>81</v>
      </c>
      <c r="R65" s="22" t="s">
        <v>81</v>
      </c>
      <c r="S65" s="22" t="s">
        <v>81</v>
      </c>
      <c r="T65" s="22" t="s">
        <v>81</v>
      </c>
      <c r="U65" s="22" t="s">
        <v>81</v>
      </c>
      <c r="V65" s="21" t="s">
        <v>75</v>
      </c>
      <c r="W65" s="21" t="s">
        <v>75</v>
      </c>
      <c r="X65" s="22" t="s">
        <v>81</v>
      </c>
      <c r="Y65" s="22" t="s">
        <v>81</v>
      </c>
      <c r="Z65" s="22" t="s">
        <v>81</v>
      </c>
      <c r="AA65" s="22" t="s">
        <v>81</v>
      </c>
      <c r="AB65" s="22" t="s">
        <v>81</v>
      </c>
      <c r="AC65" s="21" t="s">
        <v>75</v>
      </c>
      <c r="AD65" s="21" t="s">
        <v>75</v>
      </c>
      <c r="AE65" s="22" t="s">
        <v>81</v>
      </c>
      <c r="AF65" s="22" t="s">
        <v>81</v>
      </c>
      <c r="AG65" s="4">
        <f t="shared" si="44"/>
        <v>22</v>
      </c>
      <c r="AH65" s="5">
        <f t="shared" si="45"/>
        <v>21</v>
      </c>
      <c r="AI65" s="6">
        <f t="shared" si="46"/>
        <v>0</v>
      </c>
      <c r="AJ65" s="7">
        <f t="shared" si="47"/>
        <v>1</v>
      </c>
      <c r="AK65" s="7">
        <f t="shared" si="48"/>
        <v>0</v>
      </c>
      <c r="AL65" s="7">
        <f t="shared" si="49"/>
        <v>0</v>
      </c>
      <c r="AM65" s="7">
        <f t="shared" si="50"/>
        <v>0</v>
      </c>
      <c r="AN65" s="8">
        <f t="shared" si="51"/>
        <v>0</v>
      </c>
      <c r="AO65" s="12">
        <f t="shared" si="52"/>
        <v>21.5</v>
      </c>
      <c r="AP65" s="23">
        <f t="shared" si="53"/>
        <v>0</v>
      </c>
      <c r="AQ65" s="14">
        <f t="shared" si="54"/>
        <v>97.727272727272734</v>
      </c>
    </row>
    <row r="66" spans="1:44" x14ac:dyDescent="0.35">
      <c r="A66" s="2">
        <v>64</v>
      </c>
      <c r="B66" s="3" t="s">
        <v>176</v>
      </c>
      <c r="C66" s="22" t="s">
        <v>81</v>
      </c>
      <c r="D66" s="22" t="s">
        <v>81</v>
      </c>
      <c r="E66" s="22" t="s">
        <v>81</v>
      </c>
      <c r="F66" s="22" t="s">
        <v>81</v>
      </c>
      <c r="G66" s="22" t="s">
        <v>81</v>
      </c>
      <c r="H66" s="21" t="s">
        <v>75</v>
      </c>
      <c r="I66" s="21" t="s">
        <v>75</v>
      </c>
      <c r="J66" s="22" t="s">
        <v>81</v>
      </c>
      <c r="K66" s="22" t="s">
        <v>81</v>
      </c>
      <c r="L66" s="22" t="s">
        <v>81</v>
      </c>
      <c r="M66" s="22" t="s">
        <v>82</v>
      </c>
      <c r="N66" s="22" t="s">
        <v>81</v>
      </c>
      <c r="O66" s="21" t="s">
        <v>75</v>
      </c>
      <c r="P66" s="21" t="s">
        <v>75</v>
      </c>
      <c r="Q66" s="22" t="s">
        <v>81</v>
      </c>
      <c r="R66" s="22" t="s">
        <v>81</v>
      </c>
      <c r="S66" s="22" t="s">
        <v>81</v>
      </c>
      <c r="T66" s="22" t="s">
        <v>81</v>
      </c>
      <c r="U66" s="22" t="s">
        <v>81</v>
      </c>
      <c r="V66" s="21" t="s">
        <v>75</v>
      </c>
      <c r="W66" s="21" t="s">
        <v>75</v>
      </c>
      <c r="X66" s="22" t="s">
        <v>81</v>
      </c>
      <c r="Y66" s="22" t="s">
        <v>81</v>
      </c>
      <c r="Z66" s="22" t="s">
        <v>81</v>
      </c>
      <c r="AA66" s="22" t="s">
        <v>81</v>
      </c>
      <c r="AB66" s="22" t="s">
        <v>81</v>
      </c>
      <c r="AC66" s="21" t="s">
        <v>75</v>
      </c>
      <c r="AD66" s="21" t="s">
        <v>75</v>
      </c>
      <c r="AE66" s="22" t="s">
        <v>81</v>
      </c>
      <c r="AF66" s="22" t="s">
        <v>81</v>
      </c>
      <c r="AG66" s="4">
        <f t="shared" si="44"/>
        <v>22</v>
      </c>
      <c r="AH66" s="5">
        <f t="shared" si="45"/>
        <v>21</v>
      </c>
      <c r="AI66" s="6">
        <f t="shared" si="46"/>
        <v>0</v>
      </c>
      <c r="AJ66" s="7">
        <f t="shared" si="47"/>
        <v>0</v>
      </c>
      <c r="AK66" s="7">
        <f t="shared" si="48"/>
        <v>0</v>
      </c>
      <c r="AL66" s="7">
        <f t="shared" si="49"/>
        <v>0</v>
      </c>
      <c r="AM66" s="7">
        <f t="shared" si="50"/>
        <v>0</v>
      </c>
      <c r="AN66" s="8">
        <f t="shared" si="51"/>
        <v>0</v>
      </c>
      <c r="AO66" s="12">
        <f t="shared" si="52"/>
        <v>21</v>
      </c>
      <c r="AP66" s="23">
        <f t="shared" si="53"/>
        <v>0</v>
      </c>
      <c r="AQ66" s="14">
        <f t="shared" si="54"/>
        <v>95.454545454545453</v>
      </c>
    </row>
    <row r="67" spans="1:44" x14ac:dyDescent="0.35">
      <c r="A67" s="2">
        <v>65</v>
      </c>
      <c r="B67" s="3" t="s">
        <v>177</v>
      </c>
      <c r="C67" s="22" t="s">
        <v>81</v>
      </c>
      <c r="D67" s="22" t="s">
        <v>81</v>
      </c>
      <c r="E67" s="22" t="s">
        <v>81</v>
      </c>
      <c r="F67" s="22" t="s">
        <v>81</v>
      </c>
      <c r="G67" s="22" t="s">
        <v>81</v>
      </c>
      <c r="H67" s="21" t="s">
        <v>75</v>
      </c>
      <c r="I67" s="21" t="s">
        <v>75</v>
      </c>
      <c r="J67" s="22" t="s">
        <v>81</v>
      </c>
      <c r="K67" s="22" t="s">
        <v>81</v>
      </c>
      <c r="L67" s="22" t="s">
        <v>81</v>
      </c>
      <c r="M67" s="22" t="s">
        <v>82</v>
      </c>
      <c r="N67" s="22" t="s">
        <v>81</v>
      </c>
      <c r="O67" s="21" t="s">
        <v>75</v>
      </c>
      <c r="P67" s="21" t="s">
        <v>75</v>
      </c>
      <c r="Q67" s="22" t="s">
        <v>82</v>
      </c>
      <c r="R67" s="22" t="s">
        <v>81</v>
      </c>
      <c r="S67" s="22" t="s">
        <v>82</v>
      </c>
      <c r="T67" s="22" t="s">
        <v>81</v>
      </c>
      <c r="U67" s="22" t="s">
        <v>82</v>
      </c>
      <c r="V67" s="21" t="s">
        <v>75</v>
      </c>
      <c r="W67" s="21" t="s">
        <v>75</v>
      </c>
      <c r="X67" s="22" t="s">
        <v>82</v>
      </c>
      <c r="Y67" s="22" t="s">
        <v>82</v>
      </c>
      <c r="Z67" s="22" t="s">
        <v>81</v>
      </c>
      <c r="AA67" s="22" t="s">
        <v>81</v>
      </c>
      <c r="AB67" s="22" t="s">
        <v>81</v>
      </c>
      <c r="AC67" s="21" t="s">
        <v>75</v>
      </c>
      <c r="AD67" s="21" t="s">
        <v>75</v>
      </c>
      <c r="AE67" s="22" t="s">
        <v>81</v>
      </c>
      <c r="AF67" s="22" t="s">
        <v>81</v>
      </c>
      <c r="AG67" s="4">
        <f t="shared" si="44"/>
        <v>22</v>
      </c>
      <c r="AH67" s="5">
        <f t="shared" si="45"/>
        <v>16</v>
      </c>
      <c r="AI67" s="6">
        <f t="shared" si="46"/>
        <v>0</v>
      </c>
      <c r="AJ67" s="7">
        <f t="shared" si="47"/>
        <v>0</v>
      </c>
      <c r="AK67" s="7">
        <f t="shared" si="48"/>
        <v>0</v>
      </c>
      <c r="AL67" s="7">
        <f t="shared" si="49"/>
        <v>0</v>
      </c>
      <c r="AM67" s="7">
        <f t="shared" si="50"/>
        <v>0</v>
      </c>
      <c r="AN67" s="8">
        <f t="shared" si="51"/>
        <v>0</v>
      </c>
      <c r="AO67" s="12">
        <f t="shared" si="52"/>
        <v>16</v>
      </c>
      <c r="AP67" s="23">
        <f t="shared" si="53"/>
        <v>0</v>
      </c>
      <c r="AQ67" s="14">
        <f t="shared" si="54"/>
        <v>72.727272727272734</v>
      </c>
    </row>
    <row r="68" spans="1:44" x14ac:dyDescent="0.35">
      <c r="A68" s="2">
        <v>66</v>
      </c>
      <c r="B68" s="3" t="s">
        <v>178</v>
      </c>
      <c r="C68" s="22" t="s">
        <v>81</v>
      </c>
      <c r="D68" s="22" t="s">
        <v>81</v>
      </c>
      <c r="E68" s="22" t="s">
        <v>81</v>
      </c>
      <c r="F68" s="22" t="s">
        <v>81</v>
      </c>
      <c r="G68" s="22" t="s">
        <v>81</v>
      </c>
      <c r="H68" s="21" t="s">
        <v>75</v>
      </c>
      <c r="I68" s="21" t="s">
        <v>75</v>
      </c>
      <c r="J68" s="22" t="s">
        <v>81</v>
      </c>
      <c r="K68" s="22" t="s">
        <v>81</v>
      </c>
      <c r="L68" s="22" t="s">
        <v>81</v>
      </c>
      <c r="M68" s="35" t="s">
        <v>81</v>
      </c>
      <c r="N68" s="35" t="s">
        <v>81</v>
      </c>
      <c r="O68" s="21" t="s">
        <v>75</v>
      </c>
      <c r="P68" s="21" t="s">
        <v>75</v>
      </c>
      <c r="Q68" s="35" t="s">
        <v>81</v>
      </c>
      <c r="R68" s="22" t="s">
        <v>81</v>
      </c>
      <c r="S68" s="22" t="s">
        <v>81</v>
      </c>
      <c r="T68" s="22" t="s">
        <v>81</v>
      </c>
      <c r="U68" s="22" t="s">
        <v>91</v>
      </c>
      <c r="V68" s="21" t="s">
        <v>75</v>
      </c>
      <c r="W68" s="21" t="s">
        <v>75</v>
      </c>
      <c r="X68" s="22" t="s">
        <v>81</v>
      </c>
      <c r="Y68" s="22" t="s">
        <v>81</v>
      </c>
      <c r="Z68" s="22" t="s">
        <v>81</v>
      </c>
      <c r="AA68" s="22" t="s">
        <v>81</v>
      </c>
      <c r="AB68" s="22" t="s">
        <v>81</v>
      </c>
      <c r="AC68" s="21" t="s">
        <v>75</v>
      </c>
      <c r="AD68" s="21" t="s">
        <v>75</v>
      </c>
      <c r="AE68" s="22" t="s">
        <v>81</v>
      </c>
      <c r="AF68" s="22" t="s">
        <v>81</v>
      </c>
      <c r="AG68" s="4">
        <f t="shared" si="44"/>
        <v>22</v>
      </c>
      <c r="AH68" s="5">
        <f t="shared" si="45"/>
        <v>21</v>
      </c>
      <c r="AI68" s="6">
        <f t="shared" si="46"/>
        <v>0</v>
      </c>
      <c r="AJ68" s="7">
        <f t="shared" si="47"/>
        <v>1</v>
      </c>
      <c r="AK68" s="7">
        <f t="shared" si="48"/>
        <v>0</v>
      </c>
      <c r="AL68" s="7">
        <f t="shared" si="49"/>
        <v>0</v>
      </c>
      <c r="AM68" s="7">
        <f t="shared" si="50"/>
        <v>0</v>
      </c>
      <c r="AN68" s="8">
        <f t="shared" si="51"/>
        <v>0</v>
      </c>
      <c r="AO68" s="12">
        <f t="shared" si="52"/>
        <v>21.5</v>
      </c>
      <c r="AP68" s="23">
        <f t="shared" si="53"/>
        <v>0</v>
      </c>
      <c r="AQ68" s="14">
        <f t="shared" si="54"/>
        <v>97.727272727272734</v>
      </c>
    </row>
    <row r="69" spans="1:44" x14ac:dyDescent="0.35">
      <c r="A69" s="2">
        <v>67</v>
      </c>
      <c r="B69" s="3" t="s">
        <v>179</v>
      </c>
      <c r="C69" s="22" t="s">
        <v>81</v>
      </c>
      <c r="D69" s="22" t="s">
        <v>81</v>
      </c>
      <c r="E69" s="22" t="s">
        <v>81</v>
      </c>
      <c r="F69" s="22" t="s">
        <v>81</v>
      </c>
      <c r="G69" s="22" t="s">
        <v>81</v>
      </c>
      <c r="H69" s="21" t="s">
        <v>75</v>
      </c>
      <c r="I69" s="21" t="s">
        <v>75</v>
      </c>
      <c r="J69" s="22" t="s">
        <v>81</v>
      </c>
      <c r="K69" s="22" t="s">
        <v>81</v>
      </c>
      <c r="L69" s="22" t="s">
        <v>81</v>
      </c>
      <c r="M69" s="22" t="s">
        <v>81</v>
      </c>
      <c r="N69" s="22" t="s">
        <v>81</v>
      </c>
      <c r="O69" s="21" t="s">
        <v>75</v>
      </c>
      <c r="P69" s="21" t="s">
        <v>75</v>
      </c>
      <c r="Q69" s="22" t="s">
        <v>81</v>
      </c>
      <c r="R69" s="22" t="s">
        <v>81</v>
      </c>
      <c r="S69" s="22" t="s">
        <v>81</v>
      </c>
      <c r="T69" s="22" t="s">
        <v>81</v>
      </c>
      <c r="U69" s="22" t="s">
        <v>81</v>
      </c>
      <c r="V69" s="21" t="s">
        <v>75</v>
      </c>
      <c r="W69" s="21" t="s">
        <v>75</v>
      </c>
      <c r="X69" s="22" t="s">
        <v>81</v>
      </c>
      <c r="Y69" s="22" t="s">
        <v>81</v>
      </c>
      <c r="Z69" s="22" t="s">
        <v>81</v>
      </c>
      <c r="AA69" s="22" t="s">
        <v>81</v>
      </c>
      <c r="AB69" s="22" t="s">
        <v>81</v>
      </c>
      <c r="AC69" s="21" t="s">
        <v>75</v>
      </c>
      <c r="AD69" s="21" t="s">
        <v>75</v>
      </c>
      <c r="AE69" s="22" t="s">
        <v>81</v>
      </c>
      <c r="AF69" s="22" t="s">
        <v>81</v>
      </c>
      <c r="AG69" s="4">
        <f t="shared" si="44"/>
        <v>22</v>
      </c>
      <c r="AH69" s="5">
        <f t="shared" si="45"/>
        <v>22</v>
      </c>
      <c r="AI69" s="6">
        <f t="shared" si="46"/>
        <v>0</v>
      </c>
      <c r="AJ69" s="7">
        <f t="shared" si="47"/>
        <v>0</v>
      </c>
      <c r="AK69" s="7">
        <f t="shared" si="48"/>
        <v>0</v>
      </c>
      <c r="AL69" s="7">
        <f t="shared" si="49"/>
        <v>0</v>
      </c>
      <c r="AM69" s="7">
        <f t="shared" si="50"/>
        <v>0</v>
      </c>
      <c r="AN69" s="8">
        <f t="shared" si="51"/>
        <v>0</v>
      </c>
      <c r="AO69" s="12">
        <f t="shared" si="52"/>
        <v>22</v>
      </c>
      <c r="AP69" s="23">
        <f t="shared" si="53"/>
        <v>0</v>
      </c>
      <c r="AQ69" s="14">
        <f t="shared" si="54"/>
        <v>100</v>
      </c>
    </row>
    <row r="70" spans="1:44" x14ac:dyDescent="0.35">
      <c r="A70" s="2">
        <v>68</v>
      </c>
      <c r="B70" s="3" t="s">
        <v>180</v>
      </c>
      <c r="C70" s="22" t="s">
        <v>81</v>
      </c>
      <c r="D70" s="22" t="s">
        <v>81</v>
      </c>
      <c r="E70" s="22" t="s">
        <v>81</v>
      </c>
      <c r="F70" s="22" t="s">
        <v>81</v>
      </c>
      <c r="G70" s="22" t="s">
        <v>81</v>
      </c>
      <c r="H70" s="21" t="s">
        <v>75</v>
      </c>
      <c r="I70" s="21" t="s">
        <v>75</v>
      </c>
      <c r="J70" s="22" t="s">
        <v>81</v>
      </c>
      <c r="K70" s="22" t="s">
        <v>81</v>
      </c>
      <c r="L70" s="22" t="s">
        <v>81</v>
      </c>
      <c r="M70" s="22" t="s">
        <v>81</v>
      </c>
      <c r="N70" s="22" t="s">
        <v>81</v>
      </c>
      <c r="O70" s="21" t="s">
        <v>75</v>
      </c>
      <c r="P70" s="21" t="s">
        <v>75</v>
      </c>
      <c r="Q70" s="22" t="s">
        <v>81</v>
      </c>
      <c r="R70" s="22" t="s">
        <v>81</v>
      </c>
      <c r="S70" s="22" t="s">
        <v>81</v>
      </c>
      <c r="T70" s="22" t="s">
        <v>81</v>
      </c>
      <c r="U70" s="22" t="s">
        <v>81</v>
      </c>
      <c r="V70" s="21" t="s">
        <v>75</v>
      </c>
      <c r="W70" s="21" t="s">
        <v>75</v>
      </c>
      <c r="X70" s="22" t="s">
        <v>81</v>
      </c>
      <c r="Y70" s="22" t="s">
        <v>81</v>
      </c>
      <c r="Z70" s="22" t="s">
        <v>81</v>
      </c>
      <c r="AA70" s="22" t="s">
        <v>81</v>
      </c>
      <c r="AB70" s="22" t="s">
        <v>81</v>
      </c>
      <c r="AC70" s="21" t="s">
        <v>75</v>
      </c>
      <c r="AD70" s="21" t="s">
        <v>75</v>
      </c>
      <c r="AE70" s="22" t="s">
        <v>81</v>
      </c>
      <c r="AF70" s="22" t="s">
        <v>81</v>
      </c>
      <c r="AG70" s="4">
        <f t="shared" si="44"/>
        <v>22</v>
      </c>
      <c r="AH70" s="5">
        <f t="shared" si="45"/>
        <v>22</v>
      </c>
      <c r="AI70" s="6">
        <f t="shared" si="46"/>
        <v>0</v>
      </c>
      <c r="AJ70" s="7">
        <f t="shared" si="47"/>
        <v>0</v>
      </c>
      <c r="AK70" s="7">
        <f t="shared" si="48"/>
        <v>0</v>
      </c>
      <c r="AL70" s="7">
        <f t="shared" si="49"/>
        <v>0</v>
      </c>
      <c r="AM70" s="7">
        <f t="shared" si="50"/>
        <v>0</v>
      </c>
      <c r="AN70" s="8">
        <f t="shared" si="51"/>
        <v>0</v>
      </c>
      <c r="AO70" s="12">
        <f t="shared" si="52"/>
        <v>22</v>
      </c>
      <c r="AP70" s="23">
        <f t="shared" si="53"/>
        <v>0</v>
      </c>
      <c r="AQ70" s="14">
        <f t="shared" si="54"/>
        <v>100</v>
      </c>
    </row>
    <row r="71" spans="1:44" x14ac:dyDescent="0.35">
      <c r="A71" s="2">
        <v>69</v>
      </c>
      <c r="B71" s="38" t="s">
        <v>181</v>
      </c>
      <c r="C71" s="22" t="s">
        <v>81</v>
      </c>
      <c r="D71" s="22" t="s">
        <v>81</v>
      </c>
      <c r="E71" s="22" t="s">
        <v>81</v>
      </c>
      <c r="F71" s="22" t="s">
        <v>81</v>
      </c>
      <c r="G71" s="22" t="s">
        <v>81</v>
      </c>
      <c r="H71" s="21" t="s">
        <v>75</v>
      </c>
      <c r="I71" s="21" t="s">
        <v>75</v>
      </c>
      <c r="J71" s="22" t="s">
        <v>82</v>
      </c>
      <c r="K71" s="22" t="s">
        <v>81</v>
      </c>
      <c r="L71" s="22" t="s">
        <v>15</v>
      </c>
      <c r="M71" s="22" t="s">
        <v>15</v>
      </c>
      <c r="N71" s="35" t="s">
        <v>81</v>
      </c>
      <c r="O71" s="21" t="s">
        <v>75</v>
      </c>
      <c r="P71" s="21" t="s">
        <v>75</v>
      </c>
      <c r="Q71" s="22" t="s">
        <v>81</v>
      </c>
      <c r="R71" s="22" t="s">
        <v>81</v>
      </c>
      <c r="S71" s="22" t="s">
        <v>81</v>
      </c>
      <c r="T71" s="22" t="s">
        <v>81</v>
      </c>
      <c r="U71" s="22" t="s">
        <v>81</v>
      </c>
      <c r="V71" s="21" t="s">
        <v>75</v>
      </c>
      <c r="W71" s="21" t="s">
        <v>75</v>
      </c>
      <c r="X71" s="22" t="s">
        <v>15</v>
      </c>
      <c r="Y71" s="22" t="s">
        <v>81</v>
      </c>
      <c r="Z71" s="22" t="s">
        <v>15</v>
      </c>
      <c r="AA71" s="22" t="s">
        <v>81</v>
      </c>
      <c r="AB71" s="22" t="s">
        <v>15</v>
      </c>
      <c r="AC71" s="21" t="s">
        <v>75</v>
      </c>
      <c r="AD71" s="21" t="s">
        <v>75</v>
      </c>
      <c r="AE71" s="22" t="s">
        <v>81</v>
      </c>
      <c r="AF71" s="22" t="s">
        <v>81</v>
      </c>
      <c r="AG71" s="4">
        <f t="shared" si="44"/>
        <v>22</v>
      </c>
      <c r="AH71" s="5">
        <f t="shared" si="45"/>
        <v>16</v>
      </c>
      <c r="AI71" s="6">
        <f t="shared" si="46"/>
        <v>5</v>
      </c>
      <c r="AJ71" s="7">
        <f t="shared" si="47"/>
        <v>0</v>
      </c>
      <c r="AK71" s="7">
        <f t="shared" si="48"/>
        <v>0</v>
      </c>
      <c r="AL71" s="7">
        <f t="shared" si="49"/>
        <v>0</v>
      </c>
      <c r="AM71" s="7">
        <f t="shared" si="50"/>
        <v>0</v>
      </c>
      <c r="AN71" s="8">
        <f t="shared" si="51"/>
        <v>0</v>
      </c>
      <c r="AO71" s="12">
        <f t="shared" si="52"/>
        <v>21</v>
      </c>
      <c r="AP71" s="23">
        <f t="shared" si="53"/>
        <v>0</v>
      </c>
      <c r="AQ71" s="14">
        <f t="shared" si="54"/>
        <v>95.454545454545453</v>
      </c>
    </row>
    <row r="72" spans="1:44" x14ac:dyDescent="0.35">
      <c r="A72" s="36">
        <v>70</v>
      </c>
      <c r="B72" s="39" t="s">
        <v>182</v>
      </c>
      <c r="C72" s="37" t="s">
        <v>81</v>
      </c>
      <c r="D72" s="22" t="s">
        <v>81</v>
      </c>
      <c r="E72" s="22" t="s">
        <v>81</v>
      </c>
      <c r="F72" s="22" t="s">
        <v>81</v>
      </c>
      <c r="G72" s="22" t="s">
        <v>81</v>
      </c>
      <c r="H72" s="21" t="s">
        <v>75</v>
      </c>
      <c r="I72" s="21" t="s">
        <v>75</v>
      </c>
      <c r="J72" s="22" t="s">
        <v>82</v>
      </c>
      <c r="K72" s="22" t="s">
        <v>81</v>
      </c>
      <c r="L72" s="22" t="s">
        <v>81</v>
      </c>
      <c r="M72" s="22" t="s">
        <v>81</v>
      </c>
      <c r="N72" s="35" t="s">
        <v>81</v>
      </c>
      <c r="O72" s="21" t="s">
        <v>75</v>
      </c>
      <c r="P72" s="21" t="s">
        <v>75</v>
      </c>
      <c r="Q72" s="22" t="s">
        <v>81</v>
      </c>
      <c r="R72" s="22" t="s">
        <v>81</v>
      </c>
      <c r="S72" s="22" t="s">
        <v>81</v>
      </c>
      <c r="T72" s="22" t="s">
        <v>81</v>
      </c>
      <c r="U72" s="22" t="s">
        <v>81</v>
      </c>
      <c r="V72" s="22" t="s">
        <v>81</v>
      </c>
      <c r="W72" s="21" t="s">
        <v>75</v>
      </c>
      <c r="X72" s="44" t="s">
        <v>20</v>
      </c>
      <c r="Y72" s="44" t="s">
        <v>20</v>
      </c>
      <c r="Z72" s="44" t="s">
        <v>20</v>
      </c>
      <c r="AA72" s="44" t="s">
        <v>20</v>
      </c>
      <c r="AB72" s="44" t="s">
        <v>20</v>
      </c>
      <c r="AC72" s="21" t="s">
        <v>75</v>
      </c>
      <c r="AD72" s="21" t="s">
        <v>75</v>
      </c>
      <c r="AE72" s="22" t="s">
        <v>20</v>
      </c>
      <c r="AF72" s="35" t="s">
        <v>20</v>
      </c>
      <c r="AG72" s="4">
        <f t="shared" ref="AG72:AG73" si="55">30-COUNTIF(C72:AF72,"WO")-COUNTIF(C72:AF72,"H")</f>
        <v>23</v>
      </c>
      <c r="AH72" s="5">
        <f t="shared" ref="AH72:AH73" si="56">COUNTIF(C72:AF72,"P")</f>
        <v>15</v>
      </c>
      <c r="AI72" s="6">
        <f t="shared" ref="AI72:AI73" si="57">COUNTIF(C72:AF72,"WFH")</f>
        <v>0</v>
      </c>
      <c r="AJ72" s="7">
        <f t="shared" ref="AJ72:AJ73" si="58">COUNTIF(C72:AF72,"HD")</f>
        <v>0</v>
      </c>
      <c r="AK72" s="7">
        <f t="shared" ref="AK72:AK73" si="59">COUNTIF(C72:AF72,"EL")</f>
        <v>0</v>
      </c>
      <c r="AL72" s="7">
        <f t="shared" ref="AL72:AL73" si="60">COUNTIF(C72:AF72,"SL")</f>
        <v>0</v>
      </c>
      <c r="AM72" s="7">
        <f t="shared" ref="AM72:AM73" si="61">COUNTIF(C72:AF72,"CL")</f>
        <v>0</v>
      </c>
      <c r="AN72" s="8">
        <f t="shared" ref="AN72:AN73" si="62">COUNTIF(C72:AF72,"LOP")</f>
        <v>7</v>
      </c>
      <c r="AO72" s="12">
        <f t="shared" ref="AO72:AO73" si="63">AH72+AI72+AJ72*0.5+AK72+AL72+AM72</f>
        <v>15</v>
      </c>
      <c r="AP72" s="23">
        <f t="shared" ref="AP72:AP73" si="64">AN72</f>
        <v>7</v>
      </c>
      <c r="AQ72" s="14">
        <f t="shared" ref="AQ72:AQ73" si="65">IFERROR(AO72/AG72*100,0)</f>
        <v>65.217391304347828</v>
      </c>
      <c r="AR72" t="s">
        <v>166</v>
      </c>
    </row>
    <row r="73" spans="1:44" x14ac:dyDescent="0.35">
      <c r="A73" s="36">
        <v>71</v>
      </c>
      <c r="B73" s="39" t="s">
        <v>183</v>
      </c>
      <c r="C73" s="37" t="s">
        <v>81</v>
      </c>
      <c r="D73" s="22" t="s">
        <v>81</v>
      </c>
      <c r="E73" s="22" t="s">
        <v>81</v>
      </c>
      <c r="F73" s="22" t="s">
        <v>81</v>
      </c>
      <c r="G73" s="22" t="s">
        <v>81</v>
      </c>
      <c r="H73" s="21" t="s">
        <v>75</v>
      </c>
      <c r="I73" s="21" t="s">
        <v>75</v>
      </c>
      <c r="J73" s="37" t="s">
        <v>81</v>
      </c>
      <c r="K73" s="22" t="s">
        <v>81</v>
      </c>
      <c r="L73" s="22" t="s">
        <v>81</v>
      </c>
      <c r="M73" s="22" t="s">
        <v>81</v>
      </c>
      <c r="N73" s="22" t="s">
        <v>81</v>
      </c>
      <c r="O73" s="21" t="s">
        <v>75</v>
      </c>
      <c r="P73" s="21" t="s">
        <v>75</v>
      </c>
      <c r="Q73" s="37" t="s">
        <v>81</v>
      </c>
      <c r="R73" s="22" t="s">
        <v>81</v>
      </c>
      <c r="S73" s="22" t="s">
        <v>81</v>
      </c>
      <c r="T73" s="22" t="s">
        <v>81</v>
      </c>
      <c r="U73" s="22" t="s">
        <v>81</v>
      </c>
      <c r="V73" s="21" t="s">
        <v>75</v>
      </c>
      <c r="W73" s="21" t="s">
        <v>75</v>
      </c>
      <c r="X73" s="37" t="s">
        <v>81</v>
      </c>
      <c r="Y73" s="22" t="s">
        <v>81</v>
      </c>
      <c r="Z73" s="22" t="s">
        <v>81</v>
      </c>
      <c r="AA73" s="22" t="s">
        <v>81</v>
      </c>
      <c r="AB73" s="22" t="s">
        <v>81</v>
      </c>
      <c r="AC73" s="21" t="s">
        <v>75</v>
      </c>
      <c r="AD73" s="21" t="s">
        <v>75</v>
      </c>
      <c r="AE73" s="22" t="s">
        <v>81</v>
      </c>
      <c r="AF73" s="22" t="s">
        <v>81</v>
      </c>
      <c r="AG73" s="4">
        <f t="shared" si="55"/>
        <v>22</v>
      </c>
      <c r="AH73" s="5">
        <f t="shared" si="56"/>
        <v>22</v>
      </c>
      <c r="AI73" s="6">
        <f t="shared" si="57"/>
        <v>0</v>
      </c>
      <c r="AJ73" s="7">
        <f t="shared" si="58"/>
        <v>0</v>
      </c>
      <c r="AK73" s="7">
        <f t="shared" si="59"/>
        <v>0</v>
      </c>
      <c r="AL73" s="7">
        <f t="shared" si="60"/>
        <v>0</v>
      </c>
      <c r="AM73" s="7">
        <f t="shared" si="61"/>
        <v>0</v>
      </c>
      <c r="AN73" s="8">
        <f t="shared" si="62"/>
        <v>0</v>
      </c>
      <c r="AO73" s="12">
        <f t="shared" si="63"/>
        <v>22</v>
      </c>
      <c r="AP73" s="23">
        <f t="shared" si="64"/>
        <v>0</v>
      </c>
      <c r="AQ73" s="14">
        <f t="shared" si="65"/>
        <v>100</v>
      </c>
      <c r="AR73" t="s">
        <v>184</v>
      </c>
    </row>
  </sheetData>
  <mergeCells count="12">
    <mergeCell ref="A1:AQ1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phoneticPr fontId="12" type="noConversion"/>
  <dataValidations count="1">
    <dataValidation type="list" showErrorMessage="1" errorTitle="Invalid" error="Use: P,A,EL,SL,CL,LOP,WFH,H,HD,WO" sqref="C4:AF73" xr:uid="{00000000-0002-0000-04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70"/>
  <sheetViews>
    <sheetView showGridLines="0" tabSelected="1" zoomScaleNormal="100" workbookViewId="0">
      <pane xSplit="2" ySplit="3" topLeftCell="C58" activePane="bottomRight" state="frozen"/>
      <selection pane="topRight" activeCell="C1" sqref="C1"/>
      <selection pane="bottomLeft" activeCell="A4" sqref="A4"/>
      <selection pane="bottomRight" activeCell="H69" sqref="H69"/>
    </sheetView>
  </sheetViews>
  <sheetFormatPr defaultColWidth="8.6328125" defaultRowHeight="14.5" x14ac:dyDescent="0.35"/>
  <cols>
    <col min="1" max="1" width="5" customWidth="1"/>
    <col min="2" max="2" width="22" customWidth="1"/>
    <col min="3" max="33" width="4.453125" customWidth="1"/>
    <col min="34" max="44" width="8" hidden="1" customWidth="1"/>
  </cols>
  <sheetData>
    <row r="1" spans="1:44" ht="36" customHeight="1" x14ac:dyDescent="0.35">
      <c r="A1" s="48" t="s">
        <v>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</row>
    <row r="2" spans="1:44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8" t="s">
        <v>32</v>
      </c>
      <c r="H2" s="17" t="s">
        <v>33</v>
      </c>
      <c r="I2" s="17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8" t="s">
        <v>39</v>
      </c>
      <c r="O2" s="17" t="s">
        <v>40</v>
      </c>
      <c r="P2" s="17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8" t="s">
        <v>46</v>
      </c>
      <c r="V2" s="17" t="s">
        <v>47</v>
      </c>
      <c r="W2" s="17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8" t="s">
        <v>53</v>
      </c>
      <c r="AC2" s="17" t="s">
        <v>54</v>
      </c>
      <c r="AD2" s="17" t="s">
        <v>55</v>
      </c>
      <c r="AE2" s="17" t="s">
        <v>56</v>
      </c>
      <c r="AF2" s="17" t="s">
        <v>57</v>
      </c>
      <c r="AG2" s="17" t="s">
        <v>58</v>
      </c>
      <c r="AH2" s="47" t="s">
        <v>59</v>
      </c>
      <c r="AI2" s="47" t="s">
        <v>60</v>
      </c>
      <c r="AJ2" s="47" t="s">
        <v>15</v>
      </c>
      <c r="AK2" s="47" t="s">
        <v>61</v>
      </c>
      <c r="AL2" s="47" t="s">
        <v>17</v>
      </c>
      <c r="AM2" s="47" t="s">
        <v>18</v>
      </c>
      <c r="AN2" s="47" t="s">
        <v>19</v>
      </c>
      <c r="AO2" s="47" t="s">
        <v>62</v>
      </c>
      <c r="AP2" s="47" t="s">
        <v>63</v>
      </c>
      <c r="AQ2" s="47" t="s">
        <v>64</v>
      </c>
      <c r="AR2" s="47" t="s">
        <v>65</v>
      </c>
    </row>
    <row r="3" spans="1:44" ht="24" customHeight="1" x14ac:dyDescent="0.35">
      <c r="A3" s="17" t="s">
        <v>66</v>
      </c>
      <c r="B3" s="17" t="s">
        <v>67</v>
      </c>
      <c r="C3" s="20" t="s">
        <v>71</v>
      </c>
      <c r="D3" s="20" t="s">
        <v>72</v>
      </c>
      <c r="E3" s="20" t="s">
        <v>73</v>
      </c>
      <c r="F3" s="20" t="s">
        <v>74</v>
      </c>
      <c r="G3" s="19" t="s">
        <v>68</v>
      </c>
      <c r="H3" s="20" t="s">
        <v>69</v>
      </c>
      <c r="I3" s="20" t="s">
        <v>70</v>
      </c>
      <c r="J3" s="20" t="s">
        <v>71</v>
      </c>
      <c r="K3" s="20" t="s">
        <v>72</v>
      </c>
      <c r="L3" s="20" t="s">
        <v>73</v>
      </c>
      <c r="M3" s="20" t="s">
        <v>74</v>
      </c>
      <c r="N3" s="19" t="s">
        <v>68</v>
      </c>
      <c r="O3" s="20" t="s">
        <v>69</v>
      </c>
      <c r="P3" s="20" t="s">
        <v>70</v>
      </c>
      <c r="Q3" s="20" t="s">
        <v>71</v>
      </c>
      <c r="R3" s="20" t="s">
        <v>72</v>
      </c>
      <c r="S3" s="20" t="s">
        <v>73</v>
      </c>
      <c r="T3" s="20" t="s">
        <v>74</v>
      </c>
      <c r="U3" s="19" t="s">
        <v>68</v>
      </c>
      <c r="V3" s="20" t="s">
        <v>69</v>
      </c>
      <c r="W3" s="20" t="s">
        <v>70</v>
      </c>
      <c r="X3" s="20" t="s">
        <v>71</v>
      </c>
      <c r="Y3" s="20" t="s">
        <v>72</v>
      </c>
      <c r="Z3" s="20" t="s">
        <v>73</v>
      </c>
      <c r="AA3" s="20" t="s">
        <v>74</v>
      </c>
      <c r="AB3" s="19" t="s">
        <v>68</v>
      </c>
      <c r="AC3" s="20" t="s">
        <v>69</v>
      </c>
      <c r="AD3" s="20" t="s">
        <v>70</v>
      </c>
      <c r="AE3" s="20" t="s">
        <v>71</v>
      </c>
      <c r="AF3" s="20" t="s">
        <v>72</v>
      </c>
      <c r="AG3" s="20" t="s">
        <v>73</v>
      </c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</row>
    <row r="4" spans="1:44" ht="19.5" customHeight="1" x14ac:dyDescent="0.35">
      <c r="A4" s="2">
        <v>1</v>
      </c>
      <c r="B4" s="3" t="s">
        <v>113</v>
      </c>
      <c r="C4" s="22" t="s">
        <v>81</v>
      </c>
      <c r="D4" s="22" t="s">
        <v>81</v>
      </c>
      <c r="E4" s="22" t="s">
        <v>81</v>
      </c>
      <c r="F4" s="21" t="s">
        <v>75</v>
      </c>
      <c r="G4" s="21" t="s">
        <v>75</v>
      </c>
      <c r="H4" s="22" t="s">
        <v>81</v>
      </c>
      <c r="I4" s="22" t="s">
        <v>81</v>
      </c>
      <c r="J4" s="22" t="s">
        <v>81</v>
      </c>
      <c r="K4" s="22" t="s">
        <v>81</v>
      </c>
      <c r="L4" s="22" t="s">
        <v>81</v>
      </c>
      <c r="M4" s="21" t="s">
        <v>75</v>
      </c>
      <c r="N4" s="21" t="s">
        <v>75</v>
      </c>
      <c r="O4" s="22" t="s">
        <v>81</v>
      </c>
      <c r="P4" s="22" t="s">
        <v>81</v>
      </c>
      <c r="Q4" s="22" t="s">
        <v>81</v>
      </c>
      <c r="R4" s="22" t="s">
        <v>81</v>
      </c>
      <c r="S4" s="22" t="s">
        <v>81</v>
      </c>
      <c r="T4" s="21" t="s">
        <v>75</v>
      </c>
      <c r="U4" s="21" t="s">
        <v>75</v>
      </c>
      <c r="V4" s="22" t="s">
        <v>81</v>
      </c>
      <c r="W4" s="22" t="s">
        <v>81</v>
      </c>
      <c r="X4" s="22" t="s">
        <v>81</v>
      </c>
      <c r="Y4" s="22" t="s">
        <v>81</v>
      </c>
      <c r="Z4" s="22" t="s">
        <v>81</v>
      </c>
      <c r="AA4" s="21" t="s">
        <v>75</v>
      </c>
      <c r="AB4" s="21" t="s">
        <v>75</v>
      </c>
      <c r="AC4" s="22"/>
      <c r="AD4" s="22"/>
      <c r="AE4" s="22"/>
      <c r="AF4" s="22"/>
      <c r="AG4" s="22"/>
      <c r="AH4" s="4">
        <f>31-COUNTIF(C4:AG4,"WO")-COUNTIF(C4:AG4,"H")</f>
        <v>23</v>
      </c>
      <c r="AI4" s="5">
        <f>COUNTIF(C4:AG4,"P")</f>
        <v>18</v>
      </c>
      <c r="AJ4" s="6">
        <f>COUNTIF(C4:AG4,"WFH")</f>
        <v>0</v>
      </c>
      <c r="AK4" s="7">
        <f>COUNTIF(C4:AG4,"HD")</f>
        <v>0</v>
      </c>
      <c r="AL4" s="7">
        <f>COUNTIF(C4:AG4,"EL")</f>
        <v>0</v>
      </c>
      <c r="AM4" s="7">
        <f>COUNTIF(C4:AG4,"SL")</f>
        <v>0</v>
      </c>
      <c r="AN4" s="7">
        <f>COUNTIF(C4:AG4,"CL")</f>
        <v>0</v>
      </c>
      <c r="AO4" s="8">
        <f>COUNTIF(C4:AG4,"LOP")</f>
        <v>0</v>
      </c>
      <c r="AP4" s="12">
        <f>AI4+AJ4+AK4*0.5+AL4+AM4+AN4</f>
        <v>18</v>
      </c>
      <c r="AQ4" s="23">
        <f>AO4</f>
        <v>0</v>
      </c>
      <c r="AR4" s="14">
        <f>IFERROR(AP4/AH4*100,0)</f>
        <v>78.260869565217391</v>
      </c>
    </row>
    <row r="5" spans="1:44" ht="13.75" customHeight="1" x14ac:dyDescent="0.35">
      <c r="A5" s="15">
        <v>2</v>
      </c>
      <c r="B5" s="3" t="s">
        <v>114</v>
      </c>
      <c r="C5" s="22" t="s">
        <v>81</v>
      </c>
      <c r="D5" s="22" t="s">
        <v>81</v>
      </c>
      <c r="E5" s="22" t="s">
        <v>81</v>
      </c>
      <c r="F5" s="21" t="s">
        <v>75</v>
      </c>
      <c r="G5" s="21" t="s">
        <v>75</v>
      </c>
      <c r="H5" s="22" t="s">
        <v>81</v>
      </c>
      <c r="I5" s="22" t="s">
        <v>81</v>
      </c>
      <c r="J5" s="22" t="s">
        <v>81</v>
      </c>
      <c r="K5" s="22" t="s">
        <v>81</v>
      </c>
      <c r="L5" s="22" t="s">
        <v>81</v>
      </c>
      <c r="M5" s="21" t="s">
        <v>75</v>
      </c>
      <c r="N5" s="21" t="s">
        <v>75</v>
      </c>
      <c r="O5" s="22" t="s">
        <v>81</v>
      </c>
      <c r="P5" s="22" t="s">
        <v>81</v>
      </c>
      <c r="Q5" s="22" t="s">
        <v>81</v>
      </c>
      <c r="R5" s="22" t="s">
        <v>81</v>
      </c>
      <c r="S5" s="22" t="s">
        <v>81</v>
      </c>
      <c r="T5" s="21" t="s">
        <v>75</v>
      </c>
      <c r="U5" s="21" t="s">
        <v>75</v>
      </c>
      <c r="V5" s="22" t="s">
        <v>81</v>
      </c>
      <c r="W5" s="22" t="s">
        <v>81</v>
      </c>
      <c r="X5" s="22" t="s">
        <v>81</v>
      </c>
      <c r="Y5" s="22" t="s">
        <v>81</v>
      </c>
      <c r="Z5" s="22" t="s">
        <v>81</v>
      </c>
      <c r="AA5" s="21" t="s">
        <v>75</v>
      </c>
      <c r="AB5" s="21" t="s">
        <v>75</v>
      </c>
      <c r="AC5" s="24"/>
      <c r="AD5" s="24"/>
      <c r="AE5" s="24"/>
      <c r="AF5" s="24"/>
      <c r="AG5" s="24"/>
      <c r="AH5" s="4">
        <f>31-COUNTIF(C5:AG5,"WO")-COUNTIF(C5:AG5,"H")</f>
        <v>23</v>
      </c>
      <c r="AI5" s="5">
        <f>COUNTIF(C5:AG5,"P")</f>
        <v>18</v>
      </c>
      <c r="AJ5" s="6">
        <f>COUNTIF(C5:AG5,"WFH")</f>
        <v>0</v>
      </c>
      <c r="AK5" s="7">
        <f>COUNTIF(C5:AG5,"HD")</f>
        <v>0</v>
      </c>
      <c r="AL5" s="7">
        <f>COUNTIF(C5:AG5,"EL")</f>
        <v>0</v>
      </c>
      <c r="AM5" s="7">
        <f>COUNTIF(C5:AG5,"SL")</f>
        <v>0</v>
      </c>
      <c r="AN5" s="7">
        <f>COUNTIF(C5:AG5,"CL")</f>
        <v>0</v>
      </c>
      <c r="AO5" s="8">
        <f>COUNTIF(C5:AG5,"LOP")</f>
        <v>0</v>
      </c>
      <c r="AP5" s="12">
        <f>AI5+AJ5+AK5*0.5+AL5+AM5+AN5</f>
        <v>18</v>
      </c>
      <c r="AQ5" s="23">
        <f>AO5</f>
        <v>0</v>
      </c>
      <c r="AR5" s="14">
        <f>IFERROR(AP5/AH5*100,0)</f>
        <v>78.260869565217391</v>
      </c>
    </row>
    <row r="6" spans="1:44" ht="19.5" customHeight="1" x14ac:dyDescent="0.35">
      <c r="A6" s="2">
        <v>3</v>
      </c>
      <c r="B6" s="3" t="s">
        <v>115</v>
      </c>
      <c r="C6" s="22" t="s">
        <v>81</v>
      </c>
      <c r="D6" s="22" t="s">
        <v>81</v>
      </c>
      <c r="E6" s="22" t="s">
        <v>81</v>
      </c>
      <c r="F6" s="21" t="s">
        <v>75</v>
      </c>
      <c r="G6" s="21" t="s">
        <v>75</v>
      </c>
      <c r="H6" s="22" t="s">
        <v>81</v>
      </c>
      <c r="I6" s="22" t="s">
        <v>81</v>
      </c>
      <c r="J6" s="22" t="s">
        <v>81</v>
      </c>
      <c r="K6" s="22" t="s">
        <v>81</v>
      </c>
      <c r="L6" s="22" t="s">
        <v>81</v>
      </c>
      <c r="M6" s="21" t="s">
        <v>75</v>
      </c>
      <c r="N6" s="21" t="s">
        <v>75</v>
      </c>
      <c r="O6" s="22" t="s">
        <v>81</v>
      </c>
      <c r="P6" s="22" t="s">
        <v>81</v>
      </c>
      <c r="Q6" s="22" t="s">
        <v>81</v>
      </c>
      <c r="R6" s="22" t="s">
        <v>81</v>
      </c>
      <c r="S6" s="22" t="s">
        <v>81</v>
      </c>
      <c r="T6" s="21" t="s">
        <v>75</v>
      </c>
      <c r="U6" s="21" t="s">
        <v>75</v>
      </c>
      <c r="V6" s="22" t="s">
        <v>81</v>
      </c>
      <c r="W6" s="22" t="s">
        <v>81</v>
      </c>
      <c r="X6" s="22" t="s">
        <v>81</v>
      </c>
      <c r="Y6" s="22" t="s">
        <v>81</v>
      </c>
      <c r="Z6" s="22" t="s">
        <v>81</v>
      </c>
      <c r="AA6" s="21" t="s">
        <v>75</v>
      </c>
      <c r="AB6" s="21" t="s">
        <v>75</v>
      </c>
      <c r="AC6" s="22"/>
      <c r="AD6" s="22"/>
      <c r="AE6" s="22"/>
      <c r="AF6" s="22"/>
      <c r="AG6" s="22"/>
      <c r="AH6" s="4">
        <f>31-COUNTIF(C6:AG6,"WO")-COUNTIF(C6:AG6,"H")</f>
        <v>23</v>
      </c>
      <c r="AI6" s="5">
        <f>COUNTIF(C6:AG6,"P")</f>
        <v>18</v>
      </c>
      <c r="AJ6" s="6">
        <f>COUNTIF(C6:AG6,"WFH")</f>
        <v>0</v>
      </c>
      <c r="AK6" s="7">
        <f>COUNTIF(C6:AG6,"HD")</f>
        <v>0</v>
      </c>
      <c r="AL6" s="7">
        <f>COUNTIF(C6:AG6,"EL")</f>
        <v>0</v>
      </c>
      <c r="AM6" s="7">
        <f>COUNTIF(C6:AG6,"SL")</f>
        <v>0</v>
      </c>
      <c r="AN6" s="7">
        <f>COUNTIF(C6:AG6,"CL")</f>
        <v>0</v>
      </c>
      <c r="AO6" s="8">
        <f>COUNTIF(C6:AG6,"LOP")</f>
        <v>0</v>
      </c>
      <c r="AP6" s="12">
        <f>AI6+AJ6+AK6*0.5+AL6+AM6+AN6</f>
        <v>18</v>
      </c>
      <c r="AQ6" s="23">
        <f>AO6</f>
        <v>0</v>
      </c>
      <c r="AR6" s="14">
        <f>IFERROR(AP6/AH6*100,0)</f>
        <v>78.260869565217391</v>
      </c>
    </row>
    <row r="7" spans="1:44" x14ac:dyDescent="0.35">
      <c r="A7" s="15">
        <v>4</v>
      </c>
      <c r="B7" s="3" t="s">
        <v>116</v>
      </c>
      <c r="C7" s="22" t="s">
        <v>81</v>
      </c>
      <c r="D7" s="22" t="s">
        <v>81</v>
      </c>
      <c r="E7" s="22" t="s">
        <v>81</v>
      </c>
      <c r="F7" s="21" t="s">
        <v>75</v>
      </c>
      <c r="G7" s="21" t="s">
        <v>75</v>
      </c>
      <c r="H7" s="22" t="s">
        <v>81</v>
      </c>
      <c r="I7" s="22" t="s">
        <v>81</v>
      </c>
      <c r="J7" s="22" t="s">
        <v>81</v>
      </c>
      <c r="K7" s="22" t="s">
        <v>81</v>
      </c>
      <c r="L7" s="22" t="s">
        <v>81</v>
      </c>
      <c r="M7" s="21" t="s">
        <v>75</v>
      </c>
      <c r="N7" s="21" t="s">
        <v>75</v>
      </c>
      <c r="O7" s="22" t="s">
        <v>81</v>
      </c>
      <c r="P7" s="22" t="s">
        <v>81</v>
      </c>
      <c r="Q7" s="22" t="s">
        <v>81</v>
      </c>
      <c r="R7" s="22" t="s">
        <v>81</v>
      </c>
      <c r="S7" s="22" t="s">
        <v>81</v>
      </c>
      <c r="T7" s="21" t="s">
        <v>75</v>
      </c>
      <c r="U7" s="21" t="s">
        <v>75</v>
      </c>
      <c r="V7" s="22" t="s">
        <v>81</v>
      </c>
      <c r="W7" s="22" t="s">
        <v>81</v>
      </c>
      <c r="X7" s="22" t="s">
        <v>81</v>
      </c>
      <c r="Y7" s="22" t="s">
        <v>81</v>
      </c>
      <c r="Z7" s="22" t="s">
        <v>81</v>
      </c>
      <c r="AA7" s="21" t="s">
        <v>75</v>
      </c>
      <c r="AB7" s="21" t="s">
        <v>75</v>
      </c>
      <c r="AC7" s="22"/>
      <c r="AD7" s="22"/>
      <c r="AE7" s="22"/>
      <c r="AF7" s="22"/>
      <c r="AG7" s="22"/>
      <c r="AH7" s="4">
        <f t="shared" ref="AH7:AH68" si="0">31-COUNTIF(C7:AG7,"WO")-COUNTIF(C7:AG7,"H")</f>
        <v>23</v>
      </c>
      <c r="AI7" s="5">
        <f t="shared" ref="AI7:AI68" si="1">COUNTIF(C7:AG7,"P")</f>
        <v>18</v>
      </c>
      <c r="AJ7" s="6">
        <f t="shared" ref="AJ7:AJ68" si="2">COUNTIF(C7:AG7,"WFH")</f>
        <v>0</v>
      </c>
      <c r="AK7" s="7">
        <f t="shared" ref="AK7:AK68" si="3">COUNTIF(C7:AG7,"HD")</f>
        <v>0</v>
      </c>
      <c r="AL7" s="7">
        <f t="shared" ref="AL7:AL68" si="4">COUNTIF(C7:AG7,"EL")</f>
        <v>0</v>
      </c>
      <c r="AM7" s="7">
        <f t="shared" ref="AM7:AM68" si="5">COUNTIF(C7:AG7,"SL")</f>
        <v>0</v>
      </c>
      <c r="AN7" s="7">
        <f t="shared" ref="AN7:AN68" si="6">COUNTIF(C7:AG7,"CL")</f>
        <v>0</v>
      </c>
      <c r="AO7" s="8">
        <f t="shared" ref="AO7:AO68" si="7">COUNTIF(C7:AG7,"LOP")</f>
        <v>0</v>
      </c>
      <c r="AP7" s="12">
        <f t="shared" ref="AP7:AP68" si="8">AI7+AJ7+AK7*0.5+AL7+AM7+AN7</f>
        <v>18</v>
      </c>
      <c r="AQ7" s="23">
        <f t="shared" ref="AQ7:AQ68" si="9">AO7</f>
        <v>0</v>
      </c>
      <c r="AR7" s="14">
        <f t="shared" ref="AR7:AR68" si="10">IFERROR(AP7/AH7*100,0)</f>
        <v>78.260869565217391</v>
      </c>
    </row>
    <row r="8" spans="1:44" x14ac:dyDescent="0.35">
      <c r="A8" s="2">
        <v>5</v>
      </c>
      <c r="B8" s="3" t="s">
        <v>117</v>
      </c>
      <c r="C8" s="22" t="s">
        <v>81</v>
      </c>
      <c r="D8" s="22" t="s">
        <v>81</v>
      </c>
      <c r="E8" s="22" t="s">
        <v>81</v>
      </c>
      <c r="F8" s="21" t="s">
        <v>75</v>
      </c>
      <c r="G8" s="21" t="s">
        <v>75</v>
      </c>
      <c r="H8" s="22" t="s">
        <v>81</v>
      </c>
      <c r="I8" s="22" t="s">
        <v>81</v>
      </c>
      <c r="J8" s="22" t="s">
        <v>81</v>
      </c>
      <c r="K8" s="22" t="s">
        <v>81</v>
      </c>
      <c r="L8" s="22" t="s">
        <v>81</v>
      </c>
      <c r="M8" s="21" t="s">
        <v>75</v>
      </c>
      <c r="N8" s="21" t="s">
        <v>75</v>
      </c>
      <c r="O8" s="22" t="s">
        <v>81</v>
      </c>
      <c r="P8" s="22" t="s">
        <v>81</v>
      </c>
      <c r="Q8" s="22" t="s">
        <v>81</v>
      </c>
      <c r="R8" s="22" t="s">
        <v>81</v>
      </c>
      <c r="S8" s="22" t="s">
        <v>81</v>
      </c>
      <c r="T8" s="21" t="s">
        <v>75</v>
      </c>
      <c r="U8" s="21" t="s">
        <v>75</v>
      </c>
      <c r="V8" s="22" t="s">
        <v>81</v>
      </c>
      <c r="W8" s="22" t="s">
        <v>81</v>
      </c>
      <c r="X8" s="22" t="s">
        <v>81</v>
      </c>
      <c r="Y8" s="22" t="s">
        <v>81</v>
      </c>
      <c r="Z8" s="22" t="s">
        <v>81</v>
      </c>
      <c r="AA8" s="21" t="s">
        <v>75</v>
      </c>
      <c r="AB8" s="21" t="s">
        <v>75</v>
      </c>
      <c r="AC8" s="22"/>
      <c r="AD8" s="22"/>
      <c r="AE8" s="22"/>
      <c r="AF8" s="22"/>
      <c r="AG8" s="22"/>
      <c r="AH8" s="4">
        <f t="shared" si="0"/>
        <v>23</v>
      </c>
      <c r="AI8" s="5">
        <f t="shared" si="1"/>
        <v>18</v>
      </c>
      <c r="AJ8" s="6">
        <f t="shared" si="2"/>
        <v>0</v>
      </c>
      <c r="AK8" s="7">
        <f t="shared" si="3"/>
        <v>0</v>
      </c>
      <c r="AL8" s="7">
        <f t="shared" si="4"/>
        <v>0</v>
      </c>
      <c r="AM8" s="7">
        <f t="shared" si="5"/>
        <v>0</v>
      </c>
      <c r="AN8" s="7">
        <f t="shared" si="6"/>
        <v>0</v>
      </c>
      <c r="AO8" s="8">
        <f t="shared" si="7"/>
        <v>0</v>
      </c>
      <c r="AP8" s="12">
        <f t="shared" si="8"/>
        <v>18</v>
      </c>
      <c r="AQ8" s="23">
        <f t="shared" si="9"/>
        <v>0</v>
      </c>
      <c r="AR8" s="14">
        <f t="shared" si="10"/>
        <v>78.260869565217391</v>
      </c>
    </row>
    <row r="9" spans="1:44" x14ac:dyDescent="0.35">
      <c r="A9" s="15">
        <v>6</v>
      </c>
      <c r="B9" s="3" t="s">
        <v>118</v>
      </c>
      <c r="C9" s="22" t="s">
        <v>81</v>
      </c>
      <c r="D9" s="22" t="s">
        <v>81</v>
      </c>
      <c r="E9" s="22" t="s">
        <v>81</v>
      </c>
      <c r="F9" s="21" t="s">
        <v>75</v>
      </c>
      <c r="G9" s="21" t="s">
        <v>75</v>
      </c>
      <c r="H9" s="22" t="s">
        <v>81</v>
      </c>
      <c r="I9" s="22" t="s">
        <v>81</v>
      </c>
      <c r="J9" s="22" t="s">
        <v>81</v>
      </c>
      <c r="K9" s="22" t="s">
        <v>81</v>
      </c>
      <c r="L9" s="22" t="s">
        <v>81</v>
      </c>
      <c r="M9" s="21" t="s">
        <v>75</v>
      </c>
      <c r="N9" s="21" t="s">
        <v>75</v>
      </c>
      <c r="O9" s="22" t="s">
        <v>81</v>
      </c>
      <c r="P9" s="22" t="s">
        <v>81</v>
      </c>
      <c r="Q9" s="22" t="s">
        <v>81</v>
      </c>
      <c r="R9" s="22" t="s">
        <v>81</v>
      </c>
      <c r="S9" s="22" t="s">
        <v>81</v>
      </c>
      <c r="T9" s="21" t="s">
        <v>75</v>
      </c>
      <c r="U9" s="21" t="s">
        <v>75</v>
      </c>
      <c r="V9" s="22" t="s">
        <v>81</v>
      </c>
      <c r="W9" s="22" t="s">
        <v>81</v>
      </c>
      <c r="X9" s="22" t="s">
        <v>81</v>
      </c>
      <c r="Y9" s="22" t="s">
        <v>81</v>
      </c>
      <c r="Z9" s="22" t="s">
        <v>81</v>
      </c>
      <c r="AA9" s="21" t="s">
        <v>75</v>
      </c>
      <c r="AB9" s="21" t="s">
        <v>75</v>
      </c>
      <c r="AC9" s="22"/>
      <c r="AD9" s="22"/>
      <c r="AE9" s="22"/>
      <c r="AF9" s="22"/>
      <c r="AG9" s="22"/>
      <c r="AH9" s="4">
        <f t="shared" si="0"/>
        <v>23</v>
      </c>
      <c r="AI9" s="5">
        <f t="shared" si="1"/>
        <v>18</v>
      </c>
      <c r="AJ9" s="6">
        <f t="shared" si="2"/>
        <v>0</v>
      </c>
      <c r="AK9" s="7">
        <f t="shared" si="3"/>
        <v>0</v>
      </c>
      <c r="AL9" s="7">
        <f t="shared" si="4"/>
        <v>0</v>
      </c>
      <c r="AM9" s="7">
        <f t="shared" si="5"/>
        <v>0</v>
      </c>
      <c r="AN9" s="7">
        <f t="shared" si="6"/>
        <v>0</v>
      </c>
      <c r="AO9" s="8">
        <f t="shared" si="7"/>
        <v>0</v>
      </c>
      <c r="AP9" s="12">
        <f t="shared" si="8"/>
        <v>18</v>
      </c>
      <c r="AQ9" s="23">
        <f t="shared" si="9"/>
        <v>0</v>
      </c>
      <c r="AR9" s="14">
        <f t="shared" si="10"/>
        <v>78.260869565217391</v>
      </c>
    </row>
    <row r="10" spans="1:44" x14ac:dyDescent="0.35">
      <c r="A10" s="2">
        <v>7</v>
      </c>
      <c r="B10" s="3" t="s">
        <v>119</v>
      </c>
      <c r="C10" s="22" t="s">
        <v>81</v>
      </c>
      <c r="D10" s="22" t="s">
        <v>81</v>
      </c>
      <c r="E10" s="22" t="s">
        <v>81</v>
      </c>
      <c r="F10" s="21" t="s">
        <v>75</v>
      </c>
      <c r="G10" s="21" t="s">
        <v>75</v>
      </c>
      <c r="H10" s="40" t="s">
        <v>20</v>
      </c>
      <c r="I10" s="22" t="s">
        <v>81</v>
      </c>
      <c r="J10" s="22" t="s">
        <v>81</v>
      </c>
      <c r="K10" s="22" t="s">
        <v>81</v>
      </c>
      <c r="L10" s="22" t="s">
        <v>81</v>
      </c>
      <c r="M10" s="21" t="s">
        <v>75</v>
      </c>
      <c r="N10" s="21" t="s">
        <v>75</v>
      </c>
      <c r="O10" s="22" t="s">
        <v>81</v>
      </c>
      <c r="P10" s="22" t="s">
        <v>81</v>
      </c>
      <c r="Q10" s="22" t="s">
        <v>81</v>
      </c>
      <c r="R10" s="22" t="s">
        <v>81</v>
      </c>
      <c r="S10" s="22" t="s">
        <v>81</v>
      </c>
      <c r="T10" s="21" t="s">
        <v>75</v>
      </c>
      <c r="U10" s="21" t="s">
        <v>75</v>
      </c>
      <c r="V10" s="22" t="s">
        <v>81</v>
      </c>
      <c r="W10" s="22" t="s">
        <v>81</v>
      </c>
      <c r="X10" s="22" t="s">
        <v>81</v>
      </c>
      <c r="Y10" s="22" t="s">
        <v>81</v>
      </c>
      <c r="Z10" s="22" t="s">
        <v>81</v>
      </c>
      <c r="AA10" s="21" t="s">
        <v>75</v>
      </c>
      <c r="AB10" s="21" t="s">
        <v>75</v>
      </c>
      <c r="AC10" s="22"/>
      <c r="AD10" s="22"/>
      <c r="AE10" s="22"/>
      <c r="AF10" s="22"/>
      <c r="AG10" s="22"/>
      <c r="AH10" s="4">
        <f t="shared" si="0"/>
        <v>23</v>
      </c>
      <c r="AI10" s="5">
        <f t="shared" si="1"/>
        <v>17</v>
      </c>
      <c r="AJ10" s="6">
        <f t="shared" si="2"/>
        <v>0</v>
      </c>
      <c r="AK10" s="7">
        <f t="shared" si="3"/>
        <v>0</v>
      </c>
      <c r="AL10" s="7">
        <f t="shared" si="4"/>
        <v>0</v>
      </c>
      <c r="AM10" s="7">
        <f t="shared" si="5"/>
        <v>0</v>
      </c>
      <c r="AN10" s="7">
        <f t="shared" si="6"/>
        <v>0</v>
      </c>
      <c r="AO10" s="8">
        <f t="shared" si="7"/>
        <v>1</v>
      </c>
      <c r="AP10" s="12">
        <f t="shared" si="8"/>
        <v>17</v>
      </c>
      <c r="AQ10" s="23">
        <f t="shared" si="9"/>
        <v>1</v>
      </c>
      <c r="AR10" s="14">
        <f t="shared" si="10"/>
        <v>73.91304347826086</v>
      </c>
    </row>
    <row r="11" spans="1:44" x14ac:dyDescent="0.35">
      <c r="A11" s="15">
        <v>8</v>
      </c>
      <c r="B11" s="3" t="s">
        <v>120</v>
      </c>
      <c r="C11" s="22" t="s">
        <v>81</v>
      </c>
      <c r="D11" s="22" t="s">
        <v>81</v>
      </c>
      <c r="E11" s="22" t="s">
        <v>81</v>
      </c>
      <c r="F11" s="21" t="s">
        <v>75</v>
      </c>
      <c r="G11" s="21" t="s">
        <v>75</v>
      </c>
      <c r="H11" s="22" t="s">
        <v>81</v>
      </c>
      <c r="I11" s="22" t="s">
        <v>81</v>
      </c>
      <c r="J11" s="22" t="s">
        <v>81</v>
      </c>
      <c r="K11" s="22" t="s">
        <v>81</v>
      </c>
      <c r="L11" s="22" t="s">
        <v>81</v>
      </c>
      <c r="M11" s="21" t="s">
        <v>75</v>
      </c>
      <c r="N11" s="21" t="s">
        <v>75</v>
      </c>
      <c r="O11" s="22" t="s">
        <v>81</v>
      </c>
      <c r="P11" s="22" t="s">
        <v>81</v>
      </c>
      <c r="Q11" s="22" t="s">
        <v>81</v>
      </c>
      <c r="R11" s="22" t="s">
        <v>81</v>
      </c>
      <c r="S11" s="22" t="s">
        <v>81</v>
      </c>
      <c r="T11" s="21" t="s">
        <v>75</v>
      </c>
      <c r="U11" s="21" t="s">
        <v>75</v>
      </c>
      <c r="V11" s="22" t="s">
        <v>81</v>
      </c>
      <c r="W11" s="22" t="s">
        <v>81</v>
      </c>
      <c r="X11" s="22" t="s">
        <v>81</v>
      </c>
      <c r="Y11" s="22" t="s">
        <v>81</v>
      </c>
      <c r="Z11" s="22" t="s">
        <v>81</v>
      </c>
      <c r="AA11" s="21" t="s">
        <v>75</v>
      </c>
      <c r="AB11" s="21" t="s">
        <v>75</v>
      </c>
      <c r="AC11" s="22"/>
      <c r="AD11" s="22"/>
      <c r="AE11" s="22"/>
      <c r="AF11" s="22"/>
      <c r="AG11" s="22"/>
      <c r="AH11" s="4">
        <f t="shared" si="0"/>
        <v>23</v>
      </c>
      <c r="AI11" s="5">
        <f t="shared" si="1"/>
        <v>18</v>
      </c>
      <c r="AJ11" s="6">
        <f t="shared" si="2"/>
        <v>0</v>
      </c>
      <c r="AK11" s="7">
        <f t="shared" si="3"/>
        <v>0</v>
      </c>
      <c r="AL11" s="7">
        <f t="shared" si="4"/>
        <v>0</v>
      </c>
      <c r="AM11" s="7">
        <f t="shared" si="5"/>
        <v>0</v>
      </c>
      <c r="AN11" s="7">
        <f t="shared" si="6"/>
        <v>0</v>
      </c>
      <c r="AO11" s="8">
        <f t="shared" si="7"/>
        <v>0</v>
      </c>
      <c r="AP11" s="12">
        <f t="shared" si="8"/>
        <v>18</v>
      </c>
      <c r="AQ11" s="23">
        <f t="shared" si="9"/>
        <v>0</v>
      </c>
      <c r="AR11" s="14">
        <f t="shared" si="10"/>
        <v>78.260869565217391</v>
      </c>
    </row>
    <row r="12" spans="1:44" x14ac:dyDescent="0.35">
      <c r="A12" s="2">
        <v>9</v>
      </c>
      <c r="B12" s="3" t="s">
        <v>121</v>
      </c>
      <c r="C12" s="22" t="s">
        <v>81</v>
      </c>
      <c r="D12" s="22" t="s">
        <v>81</v>
      </c>
      <c r="E12" s="22" t="s">
        <v>81</v>
      </c>
      <c r="F12" s="21" t="s">
        <v>75</v>
      </c>
      <c r="G12" s="21" t="s">
        <v>75</v>
      </c>
      <c r="H12" s="22" t="s">
        <v>81</v>
      </c>
      <c r="I12" s="22" t="s">
        <v>81</v>
      </c>
      <c r="J12" s="22" t="s">
        <v>81</v>
      </c>
      <c r="K12" s="22" t="s">
        <v>81</v>
      </c>
      <c r="L12" s="22" t="s">
        <v>81</v>
      </c>
      <c r="M12" s="21" t="s">
        <v>75</v>
      </c>
      <c r="N12" s="21" t="s">
        <v>75</v>
      </c>
      <c r="O12" s="22" t="s">
        <v>81</v>
      </c>
      <c r="P12" s="22" t="s">
        <v>81</v>
      </c>
      <c r="Q12" s="22" t="s">
        <v>81</v>
      </c>
      <c r="R12" s="22" t="s">
        <v>81</v>
      </c>
      <c r="S12" s="22" t="s">
        <v>81</v>
      </c>
      <c r="T12" s="21" t="s">
        <v>75</v>
      </c>
      <c r="U12" s="21" t="s">
        <v>75</v>
      </c>
      <c r="V12" s="22" t="s">
        <v>81</v>
      </c>
      <c r="W12" s="22" t="s">
        <v>81</v>
      </c>
      <c r="X12" s="22" t="s">
        <v>81</v>
      </c>
      <c r="Y12" s="22" t="s">
        <v>81</v>
      </c>
      <c r="Z12" s="22" t="s">
        <v>81</v>
      </c>
      <c r="AA12" s="21" t="s">
        <v>75</v>
      </c>
      <c r="AB12" s="21" t="s">
        <v>75</v>
      </c>
      <c r="AC12" s="22"/>
      <c r="AD12" s="22"/>
      <c r="AE12" s="22"/>
      <c r="AF12" s="22"/>
      <c r="AG12" s="22"/>
      <c r="AH12" s="4">
        <f t="shared" si="0"/>
        <v>23</v>
      </c>
      <c r="AI12" s="5">
        <f t="shared" si="1"/>
        <v>18</v>
      </c>
      <c r="AJ12" s="6">
        <f t="shared" si="2"/>
        <v>0</v>
      </c>
      <c r="AK12" s="7">
        <f t="shared" si="3"/>
        <v>0</v>
      </c>
      <c r="AL12" s="7">
        <f t="shared" si="4"/>
        <v>0</v>
      </c>
      <c r="AM12" s="7">
        <f t="shared" si="5"/>
        <v>0</v>
      </c>
      <c r="AN12" s="7">
        <f t="shared" si="6"/>
        <v>0</v>
      </c>
      <c r="AO12" s="8">
        <f t="shared" si="7"/>
        <v>0</v>
      </c>
      <c r="AP12" s="12">
        <f t="shared" si="8"/>
        <v>18</v>
      </c>
      <c r="AQ12" s="23">
        <f t="shared" si="9"/>
        <v>0</v>
      </c>
      <c r="AR12" s="14">
        <f t="shared" si="10"/>
        <v>78.260869565217391</v>
      </c>
    </row>
    <row r="13" spans="1:44" x14ac:dyDescent="0.35">
      <c r="A13" s="15">
        <v>10</v>
      </c>
      <c r="B13" s="3" t="s">
        <v>122</v>
      </c>
      <c r="C13" s="22" t="s">
        <v>81</v>
      </c>
      <c r="D13" s="22" t="s">
        <v>81</v>
      </c>
      <c r="E13" s="22" t="s">
        <v>81</v>
      </c>
      <c r="F13" s="21" t="s">
        <v>75</v>
      </c>
      <c r="G13" s="21" t="s">
        <v>75</v>
      </c>
      <c r="H13" s="22" t="s">
        <v>81</v>
      </c>
      <c r="I13" s="22" t="s">
        <v>81</v>
      </c>
      <c r="J13" s="22" t="s">
        <v>81</v>
      </c>
      <c r="K13" s="22" t="s">
        <v>81</v>
      </c>
      <c r="L13" s="22" t="s">
        <v>81</v>
      </c>
      <c r="M13" s="21" t="s">
        <v>75</v>
      </c>
      <c r="N13" s="21" t="s">
        <v>75</v>
      </c>
      <c r="O13" s="22" t="s">
        <v>81</v>
      </c>
      <c r="P13" s="22" t="s">
        <v>81</v>
      </c>
      <c r="Q13" s="22" t="s">
        <v>81</v>
      </c>
      <c r="R13" s="22" t="s">
        <v>81</v>
      </c>
      <c r="S13" s="22" t="s">
        <v>81</v>
      </c>
      <c r="T13" s="21" t="s">
        <v>75</v>
      </c>
      <c r="U13" s="21" t="s">
        <v>75</v>
      </c>
      <c r="V13" s="22" t="s">
        <v>81</v>
      </c>
      <c r="W13" s="22" t="s">
        <v>81</v>
      </c>
      <c r="X13" s="22" t="s">
        <v>81</v>
      </c>
      <c r="Y13" s="22" t="s">
        <v>81</v>
      </c>
      <c r="Z13" s="22" t="s">
        <v>81</v>
      </c>
      <c r="AA13" s="21" t="s">
        <v>75</v>
      </c>
      <c r="AB13" s="21" t="s">
        <v>75</v>
      </c>
      <c r="AC13" s="22"/>
      <c r="AD13" s="22"/>
      <c r="AE13" s="22"/>
      <c r="AF13" s="22"/>
      <c r="AG13" s="22"/>
      <c r="AH13" s="4">
        <f t="shared" si="0"/>
        <v>23</v>
      </c>
      <c r="AI13" s="5">
        <f t="shared" si="1"/>
        <v>18</v>
      </c>
      <c r="AJ13" s="6">
        <f t="shared" si="2"/>
        <v>0</v>
      </c>
      <c r="AK13" s="7">
        <f t="shared" si="3"/>
        <v>0</v>
      </c>
      <c r="AL13" s="7">
        <f t="shared" si="4"/>
        <v>0</v>
      </c>
      <c r="AM13" s="7">
        <f t="shared" si="5"/>
        <v>0</v>
      </c>
      <c r="AN13" s="7">
        <f t="shared" si="6"/>
        <v>0</v>
      </c>
      <c r="AO13" s="8">
        <f t="shared" si="7"/>
        <v>0</v>
      </c>
      <c r="AP13" s="12">
        <f t="shared" si="8"/>
        <v>18</v>
      </c>
      <c r="AQ13" s="23">
        <f t="shared" si="9"/>
        <v>0</v>
      </c>
      <c r="AR13" s="14">
        <f t="shared" si="10"/>
        <v>78.260869565217391</v>
      </c>
    </row>
    <row r="14" spans="1:44" x14ac:dyDescent="0.35">
      <c r="A14" s="2">
        <v>11</v>
      </c>
      <c r="B14" s="3" t="s">
        <v>124</v>
      </c>
      <c r="C14" s="22" t="s">
        <v>81</v>
      </c>
      <c r="D14" s="22" t="s">
        <v>81</v>
      </c>
      <c r="E14" s="22" t="s">
        <v>81</v>
      </c>
      <c r="F14" s="21" t="s">
        <v>75</v>
      </c>
      <c r="G14" s="21" t="s">
        <v>75</v>
      </c>
      <c r="H14" s="22" t="s">
        <v>81</v>
      </c>
      <c r="I14" s="22" t="s">
        <v>81</v>
      </c>
      <c r="J14" s="22" t="s">
        <v>81</v>
      </c>
      <c r="K14" s="22" t="s">
        <v>81</v>
      </c>
      <c r="L14" s="22" t="s">
        <v>81</v>
      </c>
      <c r="M14" s="21" t="s">
        <v>75</v>
      </c>
      <c r="N14" s="21" t="s">
        <v>75</v>
      </c>
      <c r="O14" s="22" t="s">
        <v>81</v>
      </c>
      <c r="P14" s="22" t="s">
        <v>81</v>
      </c>
      <c r="Q14" s="22" t="s">
        <v>81</v>
      </c>
      <c r="R14" s="22" t="s">
        <v>81</v>
      </c>
      <c r="S14" s="22" t="s">
        <v>81</v>
      </c>
      <c r="T14" s="21" t="s">
        <v>75</v>
      </c>
      <c r="U14" s="21" t="s">
        <v>75</v>
      </c>
      <c r="V14" s="22" t="s">
        <v>81</v>
      </c>
      <c r="W14" s="22" t="s">
        <v>81</v>
      </c>
      <c r="X14" s="22" t="s">
        <v>81</v>
      </c>
      <c r="Y14" s="22" t="s">
        <v>81</v>
      </c>
      <c r="Z14" s="22" t="s">
        <v>81</v>
      </c>
      <c r="AA14" s="21" t="s">
        <v>75</v>
      </c>
      <c r="AB14" s="21" t="s">
        <v>75</v>
      </c>
      <c r="AC14" s="22"/>
      <c r="AD14" s="22"/>
      <c r="AE14" s="22"/>
      <c r="AF14" s="22"/>
      <c r="AG14" s="22"/>
      <c r="AH14" s="4">
        <f t="shared" si="0"/>
        <v>23</v>
      </c>
      <c r="AI14" s="5">
        <f t="shared" si="1"/>
        <v>18</v>
      </c>
      <c r="AJ14" s="6">
        <f t="shared" si="2"/>
        <v>0</v>
      </c>
      <c r="AK14" s="7">
        <f t="shared" si="3"/>
        <v>0</v>
      </c>
      <c r="AL14" s="7">
        <f t="shared" si="4"/>
        <v>0</v>
      </c>
      <c r="AM14" s="7">
        <f t="shared" si="5"/>
        <v>0</v>
      </c>
      <c r="AN14" s="7">
        <f t="shared" si="6"/>
        <v>0</v>
      </c>
      <c r="AO14" s="8">
        <f t="shared" si="7"/>
        <v>0</v>
      </c>
      <c r="AP14" s="12">
        <f t="shared" si="8"/>
        <v>18</v>
      </c>
      <c r="AQ14" s="23">
        <f t="shared" si="9"/>
        <v>0</v>
      </c>
      <c r="AR14" s="14">
        <f t="shared" si="10"/>
        <v>78.260869565217391</v>
      </c>
    </row>
    <row r="15" spans="1:44" x14ac:dyDescent="0.35">
      <c r="A15" s="15">
        <v>12</v>
      </c>
      <c r="B15" s="3" t="s">
        <v>125</v>
      </c>
      <c r="C15" s="22" t="s">
        <v>81</v>
      </c>
      <c r="D15" s="22" t="s">
        <v>81</v>
      </c>
      <c r="E15" s="22" t="s">
        <v>81</v>
      </c>
      <c r="F15" s="21" t="s">
        <v>75</v>
      </c>
      <c r="G15" s="21" t="s">
        <v>75</v>
      </c>
      <c r="H15" s="22" t="s">
        <v>81</v>
      </c>
      <c r="I15" s="22" t="s">
        <v>81</v>
      </c>
      <c r="J15" s="22" t="s">
        <v>81</v>
      </c>
      <c r="K15" s="22" t="s">
        <v>81</v>
      </c>
      <c r="L15" s="22" t="s">
        <v>81</v>
      </c>
      <c r="M15" s="21" t="s">
        <v>75</v>
      </c>
      <c r="N15" s="21" t="s">
        <v>75</v>
      </c>
      <c r="O15" s="22" t="s">
        <v>81</v>
      </c>
      <c r="P15" s="22" t="s">
        <v>81</v>
      </c>
      <c r="Q15" s="22" t="s">
        <v>81</v>
      </c>
      <c r="R15" s="22" t="s">
        <v>81</v>
      </c>
      <c r="S15" s="22" t="s">
        <v>81</v>
      </c>
      <c r="T15" s="21" t="s">
        <v>75</v>
      </c>
      <c r="U15" s="21" t="s">
        <v>75</v>
      </c>
      <c r="V15" s="22" t="s">
        <v>81</v>
      </c>
      <c r="W15" s="22" t="s">
        <v>81</v>
      </c>
      <c r="X15" s="22" t="s">
        <v>81</v>
      </c>
      <c r="Y15" s="22" t="s">
        <v>81</v>
      </c>
      <c r="Z15" s="22" t="s">
        <v>81</v>
      </c>
      <c r="AA15" s="21" t="s">
        <v>75</v>
      </c>
      <c r="AB15" s="21" t="s">
        <v>75</v>
      </c>
      <c r="AC15" s="22"/>
      <c r="AD15" s="22"/>
      <c r="AE15" s="22"/>
      <c r="AF15" s="22"/>
      <c r="AG15" s="22"/>
      <c r="AH15" s="4">
        <f t="shared" si="0"/>
        <v>23</v>
      </c>
      <c r="AI15" s="5">
        <f t="shared" si="1"/>
        <v>18</v>
      </c>
      <c r="AJ15" s="6">
        <f t="shared" si="2"/>
        <v>0</v>
      </c>
      <c r="AK15" s="7">
        <f t="shared" si="3"/>
        <v>0</v>
      </c>
      <c r="AL15" s="7">
        <f t="shared" si="4"/>
        <v>0</v>
      </c>
      <c r="AM15" s="7">
        <f t="shared" si="5"/>
        <v>0</v>
      </c>
      <c r="AN15" s="7">
        <f t="shared" si="6"/>
        <v>0</v>
      </c>
      <c r="AO15" s="8">
        <f t="shared" si="7"/>
        <v>0</v>
      </c>
      <c r="AP15" s="12">
        <f t="shared" si="8"/>
        <v>18</v>
      </c>
      <c r="AQ15" s="23">
        <f t="shared" si="9"/>
        <v>0</v>
      </c>
      <c r="AR15" s="14">
        <f t="shared" si="10"/>
        <v>78.260869565217391</v>
      </c>
    </row>
    <row r="16" spans="1:44" x14ac:dyDescent="0.35">
      <c r="A16" s="2">
        <v>13</v>
      </c>
      <c r="B16" s="3" t="s">
        <v>126</v>
      </c>
      <c r="C16" s="22" t="s">
        <v>81</v>
      </c>
      <c r="D16" s="22" t="s">
        <v>81</v>
      </c>
      <c r="E16" s="22" t="s">
        <v>81</v>
      </c>
      <c r="F16" s="21" t="s">
        <v>75</v>
      </c>
      <c r="G16" s="21" t="s">
        <v>75</v>
      </c>
      <c r="H16" s="22" t="s">
        <v>81</v>
      </c>
      <c r="I16" s="22" t="s">
        <v>81</v>
      </c>
      <c r="J16" s="22" t="s">
        <v>81</v>
      </c>
      <c r="K16" s="22" t="s">
        <v>81</v>
      </c>
      <c r="L16" s="22" t="s">
        <v>81</v>
      </c>
      <c r="M16" s="21" t="s">
        <v>75</v>
      </c>
      <c r="N16" s="21" t="s">
        <v>75</v>
      </c>
      <c r="O16" s="22" t="s">
        <v>81</v>
      </c>
      <c r="P16" s="22" t="s">
        <v>81</v>
      </c>
      <c r="Q16" s="22" t="s">
        <v>81</v>
      </c>
      <c r="R16" s="22" t="s">
        <v>81</v>
      </c>
      <c r="S16" s="22" t="s">
        <v>81</v>
      </c>
      <c r="T16" s="21" t="s">
        <v>75</v>
      </c>
      <c r="U16" s="21" t="s">
        <v>75</v>
      </c>
      <c r="V16" s="22" t="s">
        <v>81</v>
      </c>
      <c r="W16" s="22" t="s">
        <v>81</v>
      </c>
      <c r="X16" s="22" t="s">
        <v>81</v>
      </c>
      <c r="Y16" s="22" t="s">
        <v>81</v>
      </c>
      <c r="Z16" s="22" t="s">
        <v>81</v>
      </c>
      <c r="AA16" s="21" t="s">
        <v>75</v>
      </c>
      <c r="AB16" s="21" t="s">
        <v>75</v>
      </c>
      <c r="AC16" s="22"/>
      <c r="AD16" s="22"/>
      <c r="AE16" s="22"/>
      <c r="AF16" s="22"/>
      <c r="AG16" s="22"/>
      <c r="AH16" s="4">
        <f t="shared" si="0"/>
        <v>23</v>
      </c>
      <c r="AI16" s="5">
        <f t="shared" si="1"/>
        <v>18</v>
      </c>
      <c r="AJ16" s="6">
        <f t="shared" si="2"/>
        <v>0</v>
      </c>
      <c r="AK16" s="7">
        <f t="shared" si="3"/>
        <v>0</v>
      </c>
      <c r="AL16" s="7">
        <f t="shared" si="4"/>
        <v>0</v>
      </c>
      <c r="AM16" s="7">
        <f t="shared" si="5"/>
        <v>0</v>
      </c>
      <c r="AN16" s="7">
        <f t="shared" si="6"/>
        <v>0</v>
      </c>
      <c r="AO16" s="8">
        <f t="shared" si="7"/>
        <v>0</v>
      </c>
      <c r="AP16" s="12">
        <f t="shared" si="8"/>
        <v>18</v>
      </c>
      <c r="AQ16" s="23">
        <f t="shared" si="9"/>
        <v>0</v>
      </c>
      <c r="AR16" s="14">
        <f t="shared" si="10"/>
        <v>78.260869565217391</v>
      </c>
    </row>
    <row r="17" spans="1:44" x14ac:dyDescent="0.35">
      <c r="A17" s="15">
        <v>14</v>
      </c>
      <c r="B17" s="3" t="s">
        <v>127</v>
      </c>
      <c r="C17" s="22" t="s">
        <v>81</v>
      </c>
      <c r="D17" s="22" t="s">
        <v>81</v>
      </c>
      <c r="E17" s="22" t="s">
        <v>81</v>
      </c>
      <c r="F17" s="21" t="s">
        <v>75</v>
      </c>
      <c r="G17" s="21" t="s">
        <v>75</v>
      </c>
      <c r="H17" s="22" t="s">
        <v>81</v>
      </c>
      <c r="I17" s="22" t="s">
        <v>81</v>
      </c>
      <c r="J17" s="22" t="s">
        <v>81</v>
      </c>
      <c r="K17" s="22" t="s">
        <v>81</v>
      </c>
      <c r="L17" s="22" t="s">
        <v>81</v>
      </c>
      <c r="M17" s="21" t="s">
        <v>75</v>
      </c>
      <c r="N17" s="21" t="s">
        <v>75</v>
      </c>
      <c r="O17" s="22" t="s">
        <v>81</v>
      </c>
      <c r="P17" s="22" t="s">
        <v>81</v>
      </c>
      <c r="Q17" s="22" t="s">
        <v>81</v>
      </c>
      <c r="R17" s="22" t="s">
        <v>81</v>
      </c>
      <c r="S17" s="22" t="s">
        <v>81</v>
      </c>
      <c r="T17" s="21" t="s">
        <v>75</v>
      </c>
      <c r="U17" s="21" t="s">
        <v>75</v>
      </c>
      <c r="V17" s="22" t="s">
        <v>81</v>
      </c>
      <c r="W17" s="22" t="s">
        <v>81</v>
      </c>
      <c r="X17" s="22" t="s">
        <v>81</v>
      </c>
      <c r="Y17" s="22" t="s">
        <v>81</v>
      </c>
      <c r="Z17" s="22" t="s">
        <v>81</v>
      </c>
      <c r="AA17" s="21" t="s">
        <v>75</v>
      </c>
      <c r="AB17" s="21" t="s">
        <v>75</v>
      </c>
      <c r="AC17" s="22"/>
      <c r="AD17" s="22"/>
      <c r="AE17" s="22"/>
      <c r="AF17" s="22"/>
      <c r="AG17" s="22"/>
      <c r="AH17" s="4">
        <f t="shared" si="0"/>
        <v>23</v>
      </c>
      <c r="AI17" s="5">
        <f t="shared" si="1"/>
        <v>18</v>
      </c>
      <c r="AJ17" s="6">
        <f t="shared" si="2"/>
        <v>0</v>
      </c>
      <c r="AK17" s="7">
        <f t="shared" si="3"/>
        <v>0</v>
      </c>
      <c r="AL17" s="7">
        <f t="shared" si="4"/>
        <v>0</v>
      </c>
      <c r="AM17" s="7">
        <f t="shared" si="5"/>
        <v>0</v>
      </c>
      <c r="AN17" s="7">
        <f t="shared" si="6"/>
        <v>0</v>
      </c>
      <c r="AO17" s="8">
        <f t="shared" si="7"/>
        <v>0</v>
      </c>
      <c r="AP17" s="12">
        <f t="shared" si="8"/>
        <v>18</v>
      </c>
      <c r="AQ17" s="23">
        <f t="shared" si="9"/>
        <v>0</v>
      </c>
      <c r="AR17" s="14">
        <f t="shared" si="10"/>
        <v>78.260869565217391</v>
      </c>
    </row>
    <row r="18" spans="1:44" x14ac:dyDescent="0.35">
      <c r="A18" s="2">
        <v>15</v>
      </c>
      <c r="B18" s="3" t="s">
        <v>128</v>
      </c>
      <c r="C18" s="22" t="s">
        <v>81</v>
      </c>
      <c r="D18" s="22" t="s">
        <v>81</v>
      </c>
      <c r="E18" s="22" t="s">
        <v>81</v>
      </c>
      <c r="F18" s="21" t="s">
        <v>75</v>
      </c>
      <c r="G18" s="21" t="s">
        <v>75</v>
      </c>
      <c r="H18" s="22" t="s">
        <v>81</v>
      </c>
      <c r="I18" s="22" t="s">
        <v>81</v>
      </c>
      <c r="J18" s="22" t="s">
        <v>81</v>
      </c>
      <c r="K18" s="22" t="s">
        <v>81</v>
      </c>
      <c r="L18" s="22" t="s">
        <v>81</v>
      </c>
      <c r="M18" s="21" t="s">
        <v>75</v>
      </c>
      <c r="N18" s="21" t="s">
        <v>75</v>
      </c>
      <c r="O18" s="22" t="s">
        <v>81</v>
      </c>
      <c r="P18" s="22" t="s">
        <v>81</v>
      </c>
      <c r="Q18" s="40" t="s">
        <v>82</v>
      </c>
      <c r="R18" s="40" t="s">
        <v>82</v>
      </c>
      <c r="S18" s="22" t="s">
        <v>81</v>
      </c>
      <c r="T18" s="21" t="s">
        <v>75</v>
      </c>
      <c r="U18" s="21" t="s">
        <v>75</v>
      </c>
      <c r="V18" s="22" t="s">
        <v>81</v>
      </c>
      <c r="W18" s="22" t="s">
        <v>81</v>
      </c>
      <c r="X18" s="22" t="s">
        <v>15</v>
      </c>
      <c r="Y18" s="22" t="s">
        <v>81</v>
      </c>
      <c r="Z18" s="22" t="s">
        <v>15</v>
      </c>
      <c r="AA18" s="21" t="s">
        <v>75</v>
      </c>
      <c r="AB18" s="21" t="s">
        <v>75</v>
      </c>
      <c r="AC18" s="22"/>
      <c r="AD18" s="22"/>
      <c r="AE18" s="22"/>
      <c r="AF18" s="22"/>
      <c r="AG18" s="22"/>
      <c r="AH18" s="4">
        <f t="shared" si="0"/>
        <v>23</v>
      </c>
      <c r="AI18" s="5">
        <f t="shared" si="1"/>
        <v>14</v>
      </c>
      <c r="AJ18" s="6">
        <f t="shared" si="2"/>
        <v>2</v>
      </c>
      <c r="AK18" s="7">
        <f t="shared" si="3"/>
        <v>0</v>
      </c>
      <c r="AL18" s="7">
        <f t="shared" si="4"/>
        <v>0</v>
      </c>
      <c r="AM18" s="7">
        <f t="shared" si="5"/>
        <v>0</v>
      </c>
      <c r="AN18" s="7">
        <f t="shared" si="6"/>
        <v>0</v>
      </c>
      <c r="AO18" s="8">
        <f t="shared" si="7"/>
        <v>0</v>
      </c>
      <c r="AP18" s="12">
        <f t="shared" si="8"/>
        <v>16</v>
      </c>
      <c r="AQ18" s="23">
        <f t="shared" si="9"/>
        <v>0</v>
      </c>
      <c r="AR18" s="14">
        <f t="shared" si="10"/>
        <v>69.565217391304344</v>
      </c>
    </row>
    <row r="19" spans="1:44" x14ac:dyDescent="0.35">
      <c r="A19" s="15">
        <v>16</v>
      </c>
      <c r="B19" s="3" t="s">
        <v>129</v>
      </c>
      <c r="C19" s="22" t="s">
        <v>81</v>
      </c>
      <c r="D19" s="22" t="s">
        <v>81</v>
      </c>
      <c r="E19" s="22" t="s">
        <v>81</v>
      </c>
      <c r="F19" s="21" t="s">
        <v>75</v>
      </c>
      <c r="G19" s="21" t="s">
        <v>75</v>
      </c>
      <c r="H19" s="22" t="s">
        <v>81</v>
      </c>
      <c r="I19" s="22" t="s">
        <v>81</v>
      </c>
      <c r="J19" s="22" t="s">
        <v>81</v>
      </c>
      <c r="K19" s="22" t="s">
        <v>81</v>
      </c>
      <c r="L19" s="22" t="s">
        <v>81</v>
      </c>
      <c r="M19" s="21" t="s">
        <v>75</v>
      </c>
      <c r="N19" s="21" t="s">
        <v>75</v>
      </c>
      <c r="O19" s="22" t="s">
        <v>81</v>
      </c>
      <c r="P19" s="22" t="s">
        <v>81</v>
      </c>
      <c r="Q19" s="22" t="s">
        <v>81</v>
      </c>
      <c r="R19" s="22" t="s">
        <v>81</v>
      </c>
      <c r="S19" s="22" t="s">
        <v>81</v>
      </c>
      <c r="T19" s="21" t="s">
        <v>75</v>
      </c>
      <c r="U19" s="21" t="s">
        <v>75</v>
      </c>
      <c r="V19" s="22" t="s">
        <v>81</v>
      </c>
      <c r="W19" s="22" t="s">
        <v>81</v>
      </c>
      <c r="X19" s="22" t="s">
        <v>81</v>
      </c>
      <c r="Y19" s="22" t="s">
        <v>81</v>
      </c>
      <c r="Z19" s="22" t="s">
        <v>81</v>
      </c>
      <c r="AA19" s="21" t="s">
        <v>75</v>
      </c>
      <c r="AB19" s="21" t="s">
        <v>75</v>
      </c>
      <c r="AC19" s="22"/>
      <c r="AD19" s="22"/>
      <c r="AE19" s="22"/>
      <c r="AF19" s="22"/>
      <c r="AG19" s="22"/>
      <c r="AH19" s="4">
        <f t="shared" si="0"/>
        <v>23</v>
      </c>
      <c r="AI19" s="5">
        <f t="shared" si="1"/>
        <v>18</v>
      </c>
      <c r="AJ19" s="6">
        <f t="shared" si="2"/>
        <v>0</v>
      </c>
      <c r="AK19" s="7">
        <f t="shared" si="3"/>
        <v>0</v>
      </c>
      <c r="AL19" s="7">
        <f t="shared" si="4"/>
        <v>0</v>
      </c>
      <c r="AM19" s="7">
        <f t="shared" si="5"/>
        <v>0</v>
      </c>
      <c r="AN19" s="7">
        <f t="shared" si="6"/>
        <v>0</v>
      </c>
      <c r="AO19" s="8">
        <f t="shared" si="7"/>
        <v>0</v>
      </c>
      <c r="AP19" s="12">
        <f t="shared" si="8"/>
        <v>18</v>
      </c>
      <c r="AQ19" s="23">
        <f t="shared" si="9"/>
        <v>0</v>
      </c>
      <c r="AR19" s="14">
        <f t="shared" si="10"/>
        <v>78.260869565217391</v>
      </c>
    </row>
    <row r="20" spans="1:44" x14ac:dyDescent="0.35">
      <c r="A20" s="2">
        <v>17</v>
      </c>
      <c r="B20" s="3" t="s">
        <v>130</v>
      </c>
      <c r="C20" s="22" t="s">
        <v>81</v>
      </c>
      <c r="D20" s="22" t="s">
        <v>81</v>
      </c>
      <c r="E20" s="22" t="s">
        <v>81</v>
      </c>
      <c r="F20" s="21" t="s">
        <v>75</v>
      </c>
      <c r="G20" s="21" t="s">
        <v>75</v>
      </c>
      <c r="H20" s="22" t="s">
        <v>81</v>
      </c>
      <c r="I20" s="22" t="s">
        <v>81</v>
      </c>
      <c r="J20" s="22" t="s">
        <v>81</v>
      </c>
      <c r="K20" s="22" t="s">
        <v>81</v>
      </c>
      <c r="L20" s="22" t="s">
        <v>81</v>
      </c>
      <c r="M20" s="21" t="s">
        <v>75</v>
      </c>
      <c r="N20" s="21" t="s">
        <v>75</v>
      </c>
      <c r="O20" s="22" t="s">
        <v>81</v>
      </c>
      <c r="P20" s="22" t="s">
        <v>81</v>
      </c>
      <c r="Q20" s="22" t="s">
        <v>81</v>
      </c>
      <c r="R20" s="22" t="s">
        <v>81</v>
      </c>
      <c r="S20" s="22" t="s">
        <v>81</v>
      </c>
      <c r="T20" s="21" t="s">
        <v>75</v>
      </c>
      <c r="U20" s="21" t="s">
        <v>75</v>
      </c>
      <c r="V20" s="22" t="s">
        <v>81</v>
      </c>
      <c r="W20" s="22" t="s">
        <v>81</v>
      </c>
      <c r="X20" s="22" t="s">
        <v>81</v>
      </c>
      <c r="Y20" s="22" t="s">
        <v>81</v>
      </c>
      <c r="Z20" s="22" t="s">
        <v>81</v>
      </c>
      <c r="AA20" s="21" t="s">
        <v>75</v>
      </c>
      <c r="AB20" s="21" t="s">
        <v>75</v>
      </c>
      <c r="AC20" s="22"/>
      <c r="AD20" s="22"/>
      <c r="AE20" s="22"/>
      <c r="AF20" s="22"/>
      <c r="AG20" s="22"/>
      <c r="AH20" s="4">
        <f t="shared" si="0"/>
        <v>23</v>
      </c>
      <c r="AI20" s="5">
        <f t="shared" si="1"/>
        <v>18</v>
      </c>
      <c r="AJ20" s="6">
        <f t="shared" si="2"/>
        <v>0</v>
      </c>
      <c r="AK20" s="7">
        <f t="shared" si="3"/>
        <v>0</v>
      </c>
      <c r="AL20" s="7">
        <f t="shared" si="4"/>
        <v>0</v>
      </c>
      <c r="AM20" s="7">
        <f t="shared" si="5"/>
        <v>0</v>
      </c>
      <c r="AN20" s="7">
        <f t="shared" si="6"/>
        <v>0</v>
      </c>
      <c r="AO20" s="8">
        <f t="shared" si="7"/>
        <v>0</v>
      </c>
      <c r="AP20" s="12">
        <f t="shared" si="8"/>
        <v>18</v>
      </c>
      <c r="AQ20" s="23">
        <f t="shared" si="9"/>
        <v>0</v>
      </c>
      <c r="AR20" s="14">
        <f t="shared" si="10"/>
        <v>78.260869565217391</v>
      </c>
    </row>
    <row r="21" spans="1:44" x14ac:dyDescent="0.35">
      <c r="A21" s="15">
        <v>18</v>
      </c>
      <c r="B21" s="3" t="s">
        <v>131</v>
      </c>
      <c r="C21" s="22" t="s">
        <v>81</v>
      </c>
      <c r="D21" s="22" t="s">
        <v>81</v>
      </c>
      <c r="E21" s="22" t="s">
        <v>81</v>
      </c>
      <c r="F21" s="21" t="s">
        <v>75</v>
      </c>
      <c r="G21" s="21" t="s">
        <v>75</v>
      </c>
      <c r="H21" s="22" t="s">
        <v>81</v>
      </c>
      <c r="I21" s="22" t="s">
        <v>81</v>
      </c>
      <c r="J21" s="22" t="s">
        <v>81</v>
      </c>
      <c r="K21" s="22" t="s">
        <v>81</v>
      </c>
      <c r="L21" s="22" t="s">
        <v>81</v>
      </c>
      <c r="M21" s="21" t="s">
        <v>75</v>
      </c>
      <c r="N21" s="21" t="s">
        <v>75</v>
      </c>
      <c r="O21" s="22" t="s">
        <v>81</v>
      </c>
      <c r="P21" s="22" t="s">
        <v>81</v>
      </c>
      <c r="Q21" s="22" t="s">
        <v>81</v>
      </c>
      <c r="R21" s="22" t="s">
        <v>81</v>
      </c>
      <c r="S21" s="22" t="s">
        <v>81</v>
      </c>
      <c r="T21" s="21" t="s">
        <v>75</v>
      </c>
      <c r="U21" s="21" t="s">
        <v>75</v>
      </c>
      <c r="V21" s="22" t="s">
        <v>81</v>
      </c>
      <c r="W21" s="22" t="s">
        <v>81</v>
      </c>
      <c r="X21" s="22" t="s">
        <v>81</v>
      </c>
      <c r="Y21" s="22" t="s">
        <v>81</v>
      </c>
      <c r="Z21" s="22" t="s">
        <v>81</v>
      </c>
      <c r="AA21" s="21" t="s">
        <v>75</v>
      </c>
      <c r="AB21" s="21" t="s">
        <v>75</v>
      </c>
      <c r="AC21" s="22"/>
      <c r="AD21" s="22"/>
      <c r="AE21" s="22"/>
      <c r="AF21" s="22"/>
      <c r="AG21" s="22"/>
      <c r="AH21" s="4">
        <f t="shared" si="0"/>
        <v>23</v>
      </c>
      <c r="AI21" s="5">
        <f t="shared" si="1"/>
        <v>18</v>
      </c>
      <c r="AJ21" s="6">
        <f t="shared" si="2"/>
        <v>0</v>
      </c>
      <c r="AK21" s="7">
        <f t="shared" si="3"/>
        <v>0</v>
      </c>
      <c r="AL21" s="7">
        <f t="shared" si="4"/>
        <v>0</v>
      </c>
      <c r="AM21" s="7">
        <f t="shared" si="5"/>
        <v>0</v>
      </c>
      <c r="AN21" s="7">
        <f t="shared" si="6"/>
        <v>0</v>
      </c>
      <c r="AO21" s="8">
        <f t="shared" si="7"/>
        <v>0</v>
      </c>
      <c r="AP21" s="12">
        <f t="shared" si="8"/>
        <v>18</v>
      </c>
      <c r="AQ21" s="23">
        <f t="shared" si="9"/>
        <v>0</v>
      </c>
      <c r="AR21" s="14">
        <f t="shared" si="10"/>
        <v>78.260869565217391</v>
      </c>
    </row>
    <row r="22" spans="1:44" x14ac:dyDescent="0.35">
      <c r="A22" s="2">
        <v>19</v>
      </c>
      <c r="B22" s="3" t="s">
        <v>132</v>
      </c>
      <c r="C22" s="22" t="s">
        <v>81</v>
      </c>
      <c r="D22" s="22" t="s">
        <v>81</v>
      </c>
      <c r="E22" s="22" t="s">
        <v>81</v>
      </c>
      <c r="F22" s="21" t="s">
        <v>75</v>
      </c>
      <c r="G22" s="21" t="s">
        <v>75</v>
      </c>
      <c r="H22" s="22" t="s">
        <v>81</v>
      </c>
      <c r="I22" s="22" t="s">
        <v>81</v>
      </c>
      <c r="J22" s="22" t="s">
        <v>81</v>
      </c>
      <c r="K22" s="22" t="s">
        <v>81</v>
      </c>
      <c r="L22" s="22" t="s">
        <v>81</v>
      </c>
      <c r="M22" s="21" t="s">
        <v>75</v>
      </c>
      <c r="N22" s="21" t="s">
        <v>75</v>
      </c>
      <c r="O22" s="22" t="s">
        <v>81</v>
      </c>
      <c r="P22" s="22" t="s">
        <v>81</v>
      </c>
      <c r="Q22" s="22" t="s">
        <v>81</v>
      </c>
      <c r="R22" s="22" t="s">
        <v>81</v>
      </c>
      <c r="S22" s="22" t="s">
        <v>81</v>
      </c>
      <c r="T22" s="21" t="s">
        <v>75</v>
      </c>
      <c r="U22" s="21" t="s">
        <v>75</v>
      </c>
      <c r="V22" s="22" t="s">
        <v>81</v>
      </c>
      <c r="W22" s="22" t="s">
        <v>81</v>
      </c>
      <c r="X22" s="22" t="s">
        <v>81</v>
      </c>
      <c r="Y22" s="22" t="s">
        <v>81</v>
      </c>
      <c r="Z22" s="22" t="s">
        <v>81</v>
      </c>
      <c r="AA22" s="21" t="s">
        <v>75</v>
      </c>
      <c r="AB22" s="21" t="s">
        <v>75</v>
      </c>
      <c r="AC22" s="22"/>
      <c r="AD22" s="22"/>
      <c r="AE22" s="22"/>
      <c r="AF22" s="22"/>
      <c r="AG22" s="22"/>
      <c r="AH22" s="4">
        <f t="shared" si="0"/>
        <v>23</v>
      </c>
      <c r="AI22" s="5">
        <f t="shared" si="1"/>
        <v>18</v>
      </c>
      <c r="AJ22" s="6">
        <f t="shared" si="2"/>
        <v>0</v>
      </c>
      <c r="AK22" s="7">
        <f t="shared" si="3"/>
        <v>0</v>
      </c>
      <c r="AL22" s="7">
        <f t="shared" si="4"/>
        <v>0</v>
      </c>
      <c r="AM22" s="7">
        <f t="shared" si="5"/>
        <v>0</v>
      </c>
      <c r="AN22" s="7">
        <f t="shared" si="6"/>
        <v>0</v>
      </c>
      <c r="AO22" s="8">
        <f t="shared" si="7"/>
        <v>0</v>
      </c>
      <c r="AP22" s="12">
        <f t="shared" si="8"/>
        <v>18</v>
      </c>
      <c r="AQ22" s="23">
        <f t="shared" si="9"/>
        <v>0</v>
      </c>
      <c r="AR22" s="14">
        <f t="shared" si="10"/>
        <v>78.260869565217391</v>
      </c>
    </row>
    <row r="23" spans="1:44" x14ac:dyDescent="0.35">
      <c r="A23" s="15">
        <v>20</v>
      </c>
      <c r="B23" s="3" t="s">
        <v>133</v>
      </c>
      <c r="C23" s="22" t="s">
        <v>81</v>
      </c>
      <c r="D23" s="22" t="s">
        <v>81</v>
      </c>
      <c r="E23" s="22" t="s">
        <v>81</v>
      </c>
      <c r="F23" s="21" t="s">
        <v>75</v>
      </c>
      <c r="G23" s="21" t="s">
        <v>75</v>
      </c>
      <c r="H23" s="22" t="s">
        <v>81</v>
      </c>
      <c r="I23" s="22" t="s">
        <v>81</v>
      </c>
      <c r="J23" s="22" t="s">
        <v>81</v>
      </c>
      <c r="K23" s="22" t="s">
        <v>81</v>
      </c>
      <c r="L23" s="22" t="s">
        <v>81</v>
      </c>
      <c r="M23" s="21" t="s">
        <v>75</v>
      </c>
      <c r="N23" s="21" t="s">
        <v>75</v>
      </c>
      <c r="O23" s="22" t="s">
        <v>81</v>
      </c>
      <c r="P23" s="22" t="s">
        <v>81</v>
      </c>
      <c r="Q23" s="22" t="s">
        <v>81</v>
      </c>
      <c r="R23" s="22" t="s">
        <v>81</v>
      </c>
      <c r="S23" s="22" t="s">
        <v>81</v>
      </c>
      <c r="T23" s="21" t="s">
        <v>75</v>
      </c>
      <c r="U23" s="21" t="s">
        <v>75</v>
      </c>
      <c r="V23" s="22" t="s">
        <v>81</v>
      </c>
      <c r="W23" s="22" t="s">
        <v>81</v>
      </c>
      <c r="X23" s="22" t="s">
        <v>81</v>
      </c>
      <c r="Y23" s="22" t="s">
        <v>81</v>
      </c>
      <c r="Z23" s="22" t="s">
        <v>81</v>
      </c>
      <c r="AA23" s="21" t="s">
        <v>75</v>
      </c>
      <c r="AB23" s="21" t="s">
        <v>75</v>
      </c>
      <c r="AC23" s="22"/>
      <c r="AD23" s="22"/>
      <c r="AE23" s="22"/>
      <c r="AF23" s="22"/>
      <c r="AG23" s="22"/>
      <c r="AH23" s="4">
        <f t="shared" si="0"/>
        <v>23</v>
      </c>
      <c r="AI23" s="5">
        <f t="shared" si="1"/>
        <v>18</v>
      </c>
      <c r="AJ23" s="6">
        <f t="shared" si="2"/>
        <v>0</v>
      </c>
      <c r="AK23" s="7">
        <f t="shared" si="3"/>
        <v>0</v>
      </c>
      <c r="AL23" s="7">
        <f t="shared" si="4"/>
        <v>0</v>
      </c>
      <c r="AM23" s="7">
        <f t="shared" si="5"/>
        <v>0</v>
      </c>
      <c r="AN23" s="7">
        <f t="shared" si="6"/>
        <v>0</v>
      </c>
      <c r="AO23" s="8">
        <f t="shared" si="7"/>
        <v>0</v>
      </c>
      <c r="AP23" s="12">
        <f t="shared" si="8"/>
        <v>18</v>
      </c>
      <c r="AQ23" s="23">
        <f t="shared" si="9"/>
        <v>0</v>
      </c>
      <c r="AR23" s="14">
        <f t="shared" si="10"/>
        <v>78.260869565217391</v>
      </c>
    </row>
    <row r="24" spans="1:44" x14ac:dyDescent="0.35">
      <c r="A24" s="2">
        <v>21</v>
      </c>
      <c r="B24" s="3" t="s">
        <v>134</v>
      </c>
      <c r="C24" s="22" t="s">
        <v>81</v>
      </c>
      <c r="D24" s="22" t="s">
        <v>81</v>
      </c>
      <c r="E24" s="22" t="s">
        <v>81</v>
      </c>
      <c r="F24" s="21" t="s">
        <v>75</v>
      </c>
      <c r="G24" s="21" t="s">
        <v>75</v>
      </c>
      <c r="H24" s="22" t="s">
        <v>81</v>
      </c>
      <c r="I24" s="22" t="s">
        <v>81</v>
      </c>
      <c r="J24" s="22" t="s">
        <v>81</v>
      </c>
      <c r="K24" s="22" t="s">
        <v>81</v>
      </c>
      <c r="L24" s="22" t="s">
        <v>81</v>
      </c>
      <c r="M24" s="21" t="s">
        <v>75</v>
      </c>
      <c r="N24" s="21" t="s">
        <v>75</v>
      </c>
      <c r="O24" s="22" t="s">
        <v>81</v>
      </c>
      <c r="P24" s="22" t="s">
        <v>81</v>
      </c>
      <c r="Q24" s="22" t="s">
        <v>81</v>
      </c>
      <c r="R24" s="22" t="s">
        <v>81</v>
      </c>
      <c r="S24" s="22" t="s">
        <v>81</v>
      </c>
      <c r="T24" s="21" t="s">
        <v>75</v>
      </c>
      <c r="U24" s="21" t="s">
        <v>75</v>
      </c>
      <c r="V24" s="22" t="s">
        <v>81</v>
      </c>
      <c r="W24" s="22" t="s">
        <v>81</v>
      </c>
      <c r="X24" s="22" t="s">
        <v>81</v>
      </c>
      <c r="Y24" s="22" t="s">
        <v>81</v>
      </c>
      <c r="Z24" s="22" t="s">
        <v>81</v>
      </c>
      <c r="AA24" s="21" t="s">
        <v>75</v>
      </c>
      <c r="AB24" s="21" t="s">
        <v>75</v>
      </c>
      <c r="AC24" s="22"/>
      <c r="AD24" s="22"/>
      <c r="AE24" s="22"/>
      <c r="AF24" s="22"/>
      <c r="AG24" s="22"/>
      <c r="AH24" s="4">
        <f t="shared" si="0"/>
        <v>23</v>
      </c>
      <c r="AI24" s="5">
        <f t="shared" si="1"/>
        <v>18</v>
      </c>
      <c r="AJ24" s="6">
        <f t="shared" si="2"/>
        <v>0</v>
      </c>
      <c r="AK24" s="7">
        <f t="shared" si="3"/>
        <v>0</v>
      </c>
      <c r="AL24" s="7">
        <f t="shared" si="4"/>
        <v>0</v>
      </c>
      <c r="AM24" s="7">
        <f t="shared" si="5"/>
        <v>0</v>
      </c>
      <c r="AN24" s="7">
        <f t="shared" si="6"/>
        <v>0</v>
      </c>
      <c r="AO24" s="8">
        <f t="shared" si="7"/>
        <v>0</v>
      </c>
      <c r="AP24" s="12">
        <f t="shared" si="8"/>
        <v>18</v>
      </c>
      <c r="AQ24" s="23">
        <f t="shared" si="9"/>
        <v>0</v>
      </c>
      <c r="AR24" s="14">
        <f t="shared" si="10"/>
        <v>78.260869565217391</v>
      </c>
    </row>
    <row r="25" spans="1:44" x14ac:dyDescent="0.35">
      <c r="A25" s="15">
        <v>22</v>
      </c>
      <c r="B25" s="3" t="s">
        <v>135</v>
      </c>
      <c r="C25" s="22" t="s">
        <v>81</v>
      </c>
      <c r="D25" s="22" t="s">
        <v>81</v>
      </c>
      <c r="E25" s="22" t="s">
        <v>81</v>
      </c>
      <c r="F25" s="21" t="s">
        <v>75</v>
      </c>
      <c r="G25" s="21" t="s">
        <v>75</v>
      </c>
      <c r="H25" s="22" t="s">
        <v>81</v>
      </c>
      <c r="I25" s="22" t="s">
        <v>81</v>
      </c>
      <c r="J25" s="22" t="s">
        <v>81</v>
      </c>
      <c r="K25" s="22" t="s">
        <v>81</v>
      </c>
      <c r="L25" s="22" t="s">
        <v>81</v>
      </c>
      <c r="M25" s="21" t="s">
        <v>75</v>
      </c>
      <c r="N25" s="21" t="s">
        <v>75</v>
      </c>
      <c r="O25" s="22" t="s">
        <v>81</v>
      </c>
      <c r="P25" s="22" t="s">
        <v>81</v>
      </c>
      <c r="Q25" s="22" t="s">
        <v>81</v>
      </c>
      <c r="R25" s="22" t="s">
        <v>81</v>
      </c>
      <c r="S25" s="22" t="s">
        <v>81</v>
      </c>
      <c r="T25" s="21" t="s">
        <v>75</v>
      </c>
      <c r="U25" s="21" t="s">
        <v>75</v>
      </c>
      <c r="V25" s="22" t="s">
        <v>81</v>
      </c>
      <c r="W25" s="22" t="s">
        <v>81</v>
      </c>
      <c r="X25" s="22" t="s">
        <v>81</v>
      </c>
      <c r="Y25" s="22" t="s">
        <v>81</v>
      </c>
      <c r="Z25" s="22" t="s">
        <v>81</v>
      </c>
      <c r="AA25" s="21" t="s">
        <v>75</v>
      </c>
      <c r="AB25" s="21" t="s">
        <v>75</v>
      </c>
      <c r="AC25" s="22"/>
      <c r="AD25" s="22"/>
      <c r="AE25" s="22"/>
      <c r="AF25" s="22"/>
      <c r="AG25" s="22"/>
      <c r="AH25" s="4">
        <f t="shared" si="0"/>
        <v>23</v>
      </c>
      <c r="AI25" s="5">
        <f t="shared" si="1"/>
        <v>18</v>
      </c>
      <c r="AJ25" s="6">
        <f t="shared" si="2"/>
        <v>0</v>
      </c>
      <c r="AK25" s="7">
        <f t="shared" si="3"/>
        <v>0</v>
      </c>
      <c r="AL25" s="7">
        <f t="shared" si="4"/>
        <v>0</v>
      </c>
      <c r="AM25" s="7">
        <f t="shared" si="5"/>
        <v>0</v>
      </c>
      <c r="AN25" s="7">
        <f t="shared" si="6"/>
        <v>0</v>
      </c>
      <c r="AO25" s="8">
        <f t="shared" si="7"/>
        <v>0</v>
      </c>
      <c r="AP25" s="12">
        <f t="shared" si="8"/>
        <v>18</v>
      </c>
      <c r="AQ25" s="23">
        <f t="shared" si="9"/>
        <v>0</v>
      </c>
      <c r="AR25" s="14">
        <f t="shared" si="10"/>
        <v>78.260869565217391</v>
      </c>
    </row>
    <row r="26" spans="1:44" x14ac:dyDescent="0.35">
      <c r="A26" s="2">
        <v>23</v>
      </c>
      <c r="B26" s="3" t="s">
        <v>136</v>
      </c>
      <c r="C26" s="22" t="s">
        <v>81</v>
      </c>
      <c r="D26" s="22" t="s">
        <v>81</v>
      </c>
      <c r="E26" s="22" t="s">
        <v>81</v>
      </c>
      <c r="F26" s="21" t="s">
        <v>75</v>
      </c>
      <c r="G26" s="21" t="s">
        <v>75</v>
      </c>
      <c r="H26" s="22" t="s">
        <v>81</v>
      </c>
      <c r="I26" s="22" t="s">
        <v>81</v>
      </c>
      <c r="J26" s="22" t="s">
        <v>81</v>
      </c>
      <c r="K26" s="22" t="s">
        <v>81</v>
      </c>
      <c r="L26" s="22" t="s">
        <v>81</v>
      </c>
      <c r="M26" s="21" t="s">
        <v>75</v>
      </c>
      <c r="N26" s="21" t="s">
        <v>75</v>
      </c>
      <c r="O26" s="40" t="s">
        <v>82</v>
      </c>
      <c r="P26" s="40" t="s">
        <v>82</v>
      </c>
      <c r="Q26" s="22" t="s">
        <v>81</v>
      </c>
      <c r="R26" s="22" t="s">
        <v>81</v>
      </c>
      <c r="S26" s="22" t="s">
        <v>81</v>
      </c>
      <c r="T26" s="21" t="s">
        <v>75</v>
      </c>
      <c r="U26" s="21" t="s">
        <v>75</v>
      </c>
      <c r="V26" s="22" t="s">
        <v>81</v>
      </c>
      <c r="W26" s="22" t="s">
        <v>15</v>
      </c>
      <c r="X26" s="22" t="s">
        <v>15</v>
      </c>
      <c r="Y26" s="22" t="s">
        <v>81</v>
      </c>
      <c r="Z26" s="22" t="s">
        <v>81</v>
      </c>
      <c r="AA26" s="21" t="s">
        <v>75</v>
      </c>
      <c r="AB26" s="21" t="s">
        <v>75</v>
      </c>
      <c r="AC26" s="22"/>
      <c r="AD26" s="22"/>
      <c r="AE26" s="22"/>
      <c r="AF26" s="22"/>
      <c r="AG26" s="22"/>
      <c r="AH26" s="4">
        <f t="shared" si="0"/>
        <v>23</v>
      </c>
      <c r="AI26" s="5">
        <f t="shared" si="1"/>
        <v>14</v>
      </c>
      <c r="AJ26" s="6">
        <f t="shared" si="2"/>
        <v>2</v>
      </c>
      <c r="AK26" s="7">
        <f t="shared" si="3"/>
        <v>0</v>
      </c>
      <c r="AL26" s="7">
        <f t="shared" si="4"/>
        <v>0</v>
      </c>
      <c r="AM26" s="7">
        <f t="shared" si="5"/>
        <v>0</v>
      </c>
      <c r="AN26" s="7">
        <f t="shared" si="6"/>
        <v>0</v>
      </c>
      <c r="AO26" s="8">
        <f t="shared" si="7"/>
        <v>0</v>
      </c>
      <c r="AP26" s="12">
        <f t="shared" si="8"/>
        <v>16</v>
      </c>
      <c r="AQ26" s="23">
        <f t="shared" si="9"/>
        <v>0</v>
      </c>
      <c r="AR26" s="14">
        <f t="shared" si="10"/>
        <v>69.565217391304344</v>
      </c>
    </row>
    <row r="27" spans="1:44" x14ac:dyDescent="0.35">
      <c r="A27" s="15">
        <v>24</v>
      </c>
      <c r="B27" s="3" t="s">
        <v>137</v>
      </c>
      <c r="C27" s="22" t="s">
        <v>81</v>
      </c>
      <c r="D27" s="22" t="s">
        <v>81</v>
      </c>
      <c r="E27" s="22" t="s">
        <v>81</v>
      </c>
      <c r="F27" s="21" t="s">
        <v>75</v>
      </c>
      <c r="G27" s="21" t="s">
        <v>75</v>
      </c>
      <c r="H27" s="22" t="s">
        <v>81</v>
      </c>
      <c r="I27" s="22" t="s">
        <v>81</v>
      </c>
      <c r="J27" s="22" t="s">
        <v>81</v>
      </c>
      <c r="K27" s="22" t="s">
        <v>81</v>
      </c>
      <c r="L27" s="22" t="s">
        <v>81</v>
      </c>
      <c r="M27" s="21" t="s">
        <v>75</v>
      </c>
      <c r="N27" s="21" t="s">
        <v>75</v>
      </c>
      <c r="O27" s="22" t="s">
        <v>81</v>
      </c>
      <c r="P27" s="22" t="s">
        <v>81</v>
      </c>
      <c r="Q27" s="22" t="s">
        <v>81</v>
      </c>
      <c r="R27" s="22" t="s">
        <v>81</v>
      </c>
      <c r="S27" s="22" t="s">
        <v>81</v>
      </c>
      <c r="T27" s="21" t="s">
        <v>75</v>
      </c>
      <c r="U27" s="21" t="s">
        <v>75</v>
      </c>
      <c r="V27" s="22" t="s">
        <v>81</v>
      </c>
      <c r="W27" s="22" t="s">
        <v>81</v>
      </c>
      <c r="X27" s="22" t="s">
        <v>81</v>
      </c>
      <c r="Y27" s="22" t="s">
        <v>81</v>
      </c>
      <c r="Z27" s="22" t="s">
        <v>81</v>
      </c>
      <c r="AA27" s="21" t="s">
        <v>75</v>
      </c>
      <c r="AB27" s="21" t="s">
        <v>75</v>
      </c>
      <c r="AC27" s="22"/>
      <c r="AD27" s="22"/>
      <c r="AE27" s="22"/>
      <c r="AF27" s="22"/>
      <c r="AG27" s="22"/>
      <c r="AH27" s="4">
        <f t="shared" si="0"/>
        <v>23</v>
      </c>
      <c r="AI27" s="5">
        <f t="shared" si="1"/>
        <v>18</v>
      </c>
      <c r="AJ27" s="6">
        <f t="shared" si="2"/>
        <v>0</v>
      </c>
      <c r="AK27" s="7">
        <f t="shared" si="3"/>
        <v>0</v>
      </c>
      <c r="AL27" s="7">
        <f t="shared" si="4"/>
        <v>0</v>
      </c>
      <c r="AM27" s="7">
        <f t="shared" si="5"/>
        <v>0</v>
      </c>
      <c r="AN27" s="7">
        <f t="shared" si="6"/>
        <v>0</v>
      </c>
      <c r="AO27" s="8">
        <f t="shared" si="7"/>
        <v>0</v>
      </c>
      <c r="AP27" s="12">
        <f t="shared" si="8"/>
        <v>18</v>
      </c>
      <c r="AQ27" s="23">
        <f t="shared" si="9"/>
        <v>0</v>
      </c>
      <c r="AR27" s="14">
        <f t="shared" si="10"/>
        <v>78.260869565217391</v>
      </c>
    </row>
    <row r="28" spans="1:44" x14ac:dyDescent="0.35">
      <c r="A28" s="2">
        <v>25</v>
      </c>
      <c r="B28" s="3" t="s">
        <v>138</v>
      </c>
      <c r="C28" s="22" t="s">
        <v>81</v>
      </c>
      <c r="D28" s="22" t="s">
        <v>81</v>
      </c>
      <c r="E28" s="22" t="s">
        <v>81</v>
      </c>
      <c r="F28" s="21" t="s">
        <v>75</v>
      </c>
      <c r="G28" s="21" t="s">
        <v>75</v>
      </c>
      <c r="H28" s="22" t="s">
        <v>81</v>
      </c>
      <c r="I28" s="22" t="s">
        <v>81</v>
      </c>
      <c r="J28" s="22" t="s">
        <v>81</v>
      </c>
      <c r="K28" s="22" t="s">
        <v>81</v>
      </c>
      <c r="L28" s="22" t="s">
        <v>81</v>
      </c>
      <c r="M28" s="21" t="s">
        <v>75</v>
      </c>
      <c r="N28" s="21" t="s">
        <v>75</v>
      </c>
      <c r="O28" s="22" t="s">
        <v>81</v>
      </c>
      <c r="P28" s="22" t="s">
        <v>81</v>
      </c>
      <c r="Q28" s="22" t="s">
        <v>81</v>
      </c>
      <c r="R28" s="22" t="s">
        <v>81</v>
      </c>
      <c r="S28" s="22" t="s">
        <v>81</v>
      </c>
      <c r="T28" s="21" t="s">
        <v>75</v>
      </c>
      <c r="U28" s="21" t="s">
        <v>75</v>
      </c>
      <c r="V28" s="22" t="s">
        <v>81</v>
      </c>
      <c r="W28" s="22" t="s">
        <v>81</v>
      </c>
      <c r="X28" s="22" t="s">
        <v>81</v>
      </c>
      <c r="Y28" s="22" t="s">
        <v>81</v>
      </c>
      <c r="Z28" s="22" t="s">
        <v>81</v>
      </c>
      <c r="AA28" s="21" t="s">
        <v>75</v>
      </c>
      <c r="AB28" s="21" t="s">
        <v>75</v>
      </c>
      <c r="AC28" s="22"/>
      <c r="AD28" s="22"/>
      <c r="AE28" s="22"/>
      <c r="AF28" s="22"/>
      <c r="AG28" s="22"/>
      <c r="AH28" s="4">
        <f t="shared" si="0"/>
        <v>23</v>
      </c>
      <c r="AI28" s="5">
        <f t="shared" si="1"/>
        <v>18</v>
      </c>
      <c r="AJ28" s="6">
        <f t="shared" si="2"/>
        <v>0</v>
      </c>
      <c r="AK28" s="7">
        <f t="shared" si="3"/>
        <v>0</v>
      </c>
      <c r="AL28" s="7">
        <f t="shared" si="4"/>
        <v>0</v>
      </c>
      <c r="AM28" s="7">
        <f t="shared" si="5"/>
        <v>0</v>
      </c>
      <c r="AN28" s="7">
        <f t="shared" si="6"/>
        <v>0</v>
      </c>
      <c r="AO28" s="8">
        <f t="shared" si="7"/>
        <v>0</v>
      </c>
      <c r="AP28" s="12">
        <f t="shared" si="8"/>
        <v>18</v>
      </c>
      <c r="AQ28" s="23">
        <f t="shared" si="9"/>
        <v>0</v>
      </c>
      <c r="AR28" s="14">
        <f t="shared" si="10"/>
        <v>78.260869565217391</v>
      </c>
    </row>
    <row r="29" spans="1:44" x14ac:dyDescent="0.35">
      <c r="A29" s="15">
        <v>26</v>
      </c>
      <c r="B29" s="3" t="s">
        <v>139</v>
      </c>
      <c r="C29" s="22" t="s">
        <v>81</v>
      </c>
      <c r="D29" s="22" t="s">
        <v>81</v>
      </c>
      <c r="E29" s="22" t="s">
        <v>81</v>
      </c>
      <c r="F29" s="21" t="s">
        <v>75</v>
      </c>
      <c r="G29" s="21" t="s">
        <v>75</v>
      </c>
      <c r="H29" s="22" t="s">
        <v>81</v>
      </c>
      <c r="I29" s="22" t="s">
        <v>81</v>
      </c>
      <c r="J29" s="22" t="s">
        <v>81</v>
      </c>
      <c r="K29" s="22" t="s">
        <v>81</v>
      </c>
      <c r="L29" s="22" t="s">
        <v>81</v>
      </c>
      <c r="M29" s="21" t="s">
        <v>75</v>
      </c>
      <c r="N29" s="21" t="s">
        <v>75</v>
      </c>
      <c r="O29" s="22" t="s">
        <v>81</v>
      </c>
      <c r="P29" s="22" t="s">
        <v>81</v>
      </c>
      <c r="Q29" s="22" t="s">
        <v>81</v>
      </c>
      <c r="R29" s="22" t="s">
        <v>81</v>
      </c>
      <c r="S29" s="22" t="s">
        <v>81</v>
      </c>
      <c r="T29" s="21" t="s">
        <v>75</v>
      </c>
      <c r="U29" s="21" t="s">
        <v>75</v>
      </c>
      <c r="V29" s="22" t="s">
        <v>81</v>
      </c>
      <c r="W29" s="22" t="s">
        <v>81</v>
      </c>
      <c r="X29" s="22" t="s">
        <v>81</v>
      </c>
      <c r="Y29" s="22" t="s">
        <v>81</v>
      </c>
      <c r="Z29" s="22" t="s">
        <v>81</v>
      </c>
      <c r="AA29" s="21" t="s">
        <v>75</v>
      </c>
      <c r="AB29" s="21" t="s">
        <v>75</v>
      </c>
      <c r="AC29" s="22"/>
      <c r="AD29" s="22"/>
      <c r="AE29" s="22"/>
      <c r="AF29" s="22"/>
      <c r="AG29" s="22"/>
      <c r="AH29" s="4">
        <f t="shared" si="0"/>
        <v>23</v>
      </c>
      <c r="AI29" s="5">
        <f t="shared" si="1"/>
        <v>18</v>
      </c>
      <c r="AJ29" s="6">
        <f t="shared" si="2"/>
        <v>0</v>
      </c>
      <c r="AK29" s="7">
        <f t="shared" si="3"/>
        <v>0</v>
      </c>
      <c r="AL29" s="7">
        <f t="shared" si="4"/>
        <v>0</v>
      </c>
      <c r="AM29" s="7">
        <f t="shared" si="5"/>
        <v>0</v>
      </c>
      <c r="AN29" s="7">
        <f t="shared" si="6"/>
        <v>0</v>
      </c>
      <c r="AO29" s="8">
        <f t="shared" si="7"/>
        <v>0</v>
      </c>
      <c r="AP29" s="12">
        <f t="shared" si="8"/>
        <v>18</v>
      </c>
      <c r="AQ29" s="23">
        <f t="shared" si="9"/>
        <v>0</v>
      </c>
      <c r="AR29" s="14">
        <f t="shared" si="10"/>
        <v>78.260869565217391</v>
      </c>
    </row>
    <row r="30" spans="1:44" x14ac:dyDescent="0.35">
      <c r="A30" s="2">
        <v>27</v>
      </c>
      <c r="B30" s="3" t="s">
        <v>140</v>
      </c>
      <c r="C30" s="22" t="s">
        <v>81</v>
      </c>
      <c r="D30" s="22" t="s">
        <v>81</v>
      </c>
      <c r="E30" s="22" t="s">
        <v>81</v>
      </c>
      <c r="F30" s="21" t="s">
        <v>75</v>
      </c>
      <c r="G30" s="21" t="s">
        <v>75</v>
      </c>
      <c r="H30" s="22" t="s">
        <v>81</v>
      </c>
      <c r="I30" s="22" t="s">
        <v>81</v>
      </c>
      <c r="J30" s="22" t="s">
        <v>81</v>
      </c>
      <c r="K30" s="22" t="s">
        <v>81</v>
      </c>
      <c r="L30" s="22" t="s">
        <v>81</v>
      </c>
      <c r="M30" s="21" t="s">
        <v>75</v>
      </c>
      <c r="N30" s="21" t="s">
        <v>75</v>
      </c>
      <c r="O30" s="22" t="s">
        <v>81</v>
      </c>
      <c r="P30" s="22" t="s">
        <v>81</v>
      </c>
      <c r="Q30" s="22" t="s">
        <v>81</v>
      </c>
      <c r="R30" s="22" t="s">
        <v>81</v>
      </c>
      <c r="S30" s="22" t="s">
        <v>81</v>
      </c>
      <c r="T30" s="21" t="s">
        <v>75</v>
      </c>
      <c r="U30" s="21" t="s">
        <v>75</v>
      </c>
      <c r="V30" s="22" t="s">
        <v>81</v>
      </c>
      <c r="W30" s="22" t="s">
        <v>81</v>
      </c>
      <c r="X30" s="22" t="s">
        <v>81</v>
      </c>
      <c r="Y30" s="22" t="s">
        <v>81</v>
      </c>
      <c r="Z30" s="22" t="s">
        <v>81</v>
      </c>
      <c r="AA30" s="21" t="s">
        <v>75</v>
      </c>
      <c r="AB30" s="21" t="s">
        <v>75</v>
      </c>
      <c r="AC30" s="22"/>
      <c r="AD30" s="22"/>
      <c r="AE30" s="22"/>
      <c r="AF30" s="22"/>
      <c r="AG30" s="22"/>
      <c r="AH30" s="4">
        <f t="shared" si="0"/>
        <v>23</v>
      </c>
      <c r="AI30" s="5">
        <f t="shared" si="1"/>
        <v>18</v>
      </c>
      <c r="AJ30" s="6">
        <f t="shared" si="2"/>
        <v>0</v>
      </c>
      <c r="AK30" s="7">
        <f t="shared" si="3"/>
        <v>0</v>
      </c>
      <c r="AL30" s="7">
        <f t="shared" si="4"/>
        <v>0</v>
      </c>
      <c r="AM30" s="7">
        <f t="shared" si="5"/>
        <v>0</v>
      </c>
      <c r="AN30" s="7">
        <f t="shared" si="6"/>
        <v>0</v>
      </c>
      <c r="AO30" s="8">
        <f t="shared" si="7"/>
        <v>0</v>
      </c>
      <c r="AP30" s="12">
        <f t="shared" si="8"/>
        <v>18</v>
      </c>
      <c r="AQ30" s="23">
        <f t="shared" si="9"/>
        <v>0</v>
      </c>
      <c r="AR30" s="14">
        <f t="shared" si="10"/>
        <v>78.260869565217391</v>
      </c>
    </row>
    <row r="31" spans="1:44" x14ac:dyDescent="0.35">
      <c r="A31" s="15">
        <v>28</v>
      </c>
      <c r="B31" s="3" t="s">
        <v>141</v>
      </c>
      <c r="C31" s="22" t="s">
        <v>81</v>
      </c>
      <c r="D31" s="22" t="s">
        <v>81</v>
      </c>
      <c r="E31" s="22" t="s">
        <v>81</v>
      </c>
      <c r="F31" s="21" t="s">
        <v>75</v>
      </c>
      <c r="G31" s="21" t="s">
        <v>75</v>
      </c>
      <c r="H31" s="22" t="s">
        <v>81</v>
      </c>
      <c r="I31" s="22" t="s">
        <v>81</v>
      </c>
      <c r="J31" s="22" t="s">
        <v>81</v>
      </c>
      <c r="K31" s="22" t="s">
        <v>81</v>
      </c>
      <c r="L31" s="22" t="s">
        <v>81</v>
      </c>
      <c r="M31" s="21" t="s">
        <v>75</v>
      </c>
      <c r="N31" s="21" t="s">
        <v>75</v>
      </c>
      <c r="O31" s="22" t="s">
        <v>81</v>
      </c>
      <c r="P31" s="22" t="s">
        <v>81</v>
      </c>
      <c r="Q31" s="22" t="s">
        <v>81</v>
      </c>
      <c r="R31" s="22" t="s">
        <v>81</v>
      </c>
      <c r="S31" s="22" t="s">
        <v>81</v>
      </c>
      <c r="T31" s="21" t="s">
        <v>75</v>
      </c>
      <c r="U31" s="21" t="s">
        <v>75</v>
      </c>
      <c r="V31" s="22" t="s">
        <v>81</v>
      </c>
      <c r="W31" s="22" t="s">
        <v>81</v>
      </c>
      <c r="X31" s="22" t="s">
        <v>81</v>
      </c>
      <c r="Y31" s="22" t="s">
        <v>81</v>
      </c>
      <c r="Z31" s="22" t="s">
        <v>81</v>
      </c>
      <c r="AA31" s="21" t="s">
        <v>75</v>
      </c>
      <c r="AB31" s="21" t="s">
        <v>75</v>
      </c>
      <c r="AC31" s="22"/>
      <c r="AD31" s="22"/>
      <c r="AE31" s="22"/>
      <c r="AF31" s="22"/>
      <c r="AG31" s="22"/>
      <c r="AH31" s="4">
        <f t="shared" si="0"/>
        <v>23</v>
      </c>
      <c r="AI31" s="5">
        <f t="shared" si="1"/>
        <v>18</v>
      </c>
      <c r="AJ31" s="6">
        <f t="shared" si="2"/>
        <v>0</v>
      </c>
      <c r="AK31" s="7">
        <f t="shared" si="3"/>
        <v>0</v>
      </c>
      <c r="AL31" s="7">
        <f t="shared" si="4"/>
        <v>0</v>
      </c>
      <c r="AM31" s="7">
        <f t="shared" si="5"/>
        <v>0</v>
      </c>
      <c r="AN31" s="7">
        <f t="shared" si="6"/>
        <v>0</v>
      </c>
      <c r="AO31" s="8">
        <f t="shared" si="7"/>
        <v>0</v>
      </c>
      <c r="AP31" s="12">
        <f t="shared" si="8"/>
        <v>18</v>
      </c>
      <c r="AQ31" s="23">
        <f t="shared" si="9"/>
        <v>0</v>
      </c>
      <c r="AR31" s="14">
        <f t="shared" si="10"/>
        <v>78.260869565217391</v>
      </c>
    </row>
    <row r="32" spans="1:44" x14ac:dyDescent="0.35">
      <c r="A32" s="2">
        <v>29</v>
      </c>
      <c r="B32" s="3" t="s">
        <v>142</v>
      </c>
      <c r="C32" s="22" t="s">
        <v>81</v>
      </c>
      <c r="D32" s="22" t="s">
        <v>81</v>
      </c>
      <c r="E32" s="22" t="s">
        <v>81</v>
      </c>
      <c r="F32" s="21" t="s">
        <v>75</v>
      </c>
      <c r="G32" s="21" t="s">
        <v>75</v>
      </c>
      <c r="H32" s="22" t="s">
        <v>81</v>
      </c>
      <c r="I32" s="22" t="s">
        <v>81</v>
      </c>
      <c r="J32" s="22" t="s">
        <v>81</v>
      </c>
      <c r="K32" s="22" t="s">
        <v>81</v>
      </c>
      <c r="L32" s="22" t="s">
        <v>81</v>
      </c>
      <c r="M32" s="21" t="s">
        <v>75</v>
      </c>
      <c r="N32" s="21" t="s">
        <v>75</v>
      </c>
      <c r="O32" s="22" t="s">
        <v>81</v>
      </c>
      <c r="P32" s="22" t="s">
        <v>81</v>
      </c>
      <c r="Q32" s="22" t="s">
        <v>81</v>
      </c>
      <c r="R32" s="22" t="s">
        <v>81</v>
      </c>
      <c r="S32" s="22" t="s">
        <v>81</v>
      </c>
      <c r="T32" s="21" t="s">
        <v>75</v>
      </c>
      <c r="U32" s="21" t="s">
        <v>75</v>
      </c>
      <c r="V32" s="22" t="s">
        <v>81</v>
      </c>
      <c r="W32" s="22" t="s">
        <v>81</v>
      </c>
      <c r="X32" s="22" t="s">
        <v>81</v>
      </c>
      <c r="Y32" s="22" t="s">
        <v>81</v>
      </c>
      <c r="Z32" s="22" t="s">
        <v>81</v>
      </c>
      <c r="AA32" s="21" t="s">
        <v>75</v>
      </c>
      <c r="AB32" s="21" t="s">
        <v>75</v>
      </c>
      <c r="AC32" s="22"/>
      <c r="AD32" s="22"/>
      <c r="AE32" s="22"/>
      <c r="AF32" s="22"/>
      <c r="AG32" s="22"/>
      <c r="AH32" s="4">
        <f t="shared" si="0"/>
        <v>23</v>
      </c>
      <c r="AI32" s="5">
        <f t="shared" si="1"/>
        <v>18</v>
      </c>
      <c r="AJ32" s="6">
        <f t="shared" si="2"/>
        <v>0</v>
      </c>
      <c r="AK32" s="7">
        <f t="shared" si="3"/>
        <v>0</v>
      </c>
      <c r="AL32" s="7">
        <f t="shared" si="4"/>
        <v>0</v>
      </c>
      <c r="AM32" s="7">
        <f t="shared" si="5"/>
        <v>0</v>
      </c>
      <c r="AN32" s="7">
        <f t="shared" si="6"/>
        <v>0</v>
      </c>
      <c r="AO32" s="8">
        <f t="shared" si="7"/>
        <v>0</v>
      </c>
      <c r="AP32" s="12">
        <f t="shared" si="8"/>
        <v>18</v>
      </c>
      <c r="AQ32" s="23">
        <f t="shared" si="9"/>
        <v>0</v>
      </c>
      <c r="AR32" s="14">
        <f t="shared" si="10"/>
        <v>78.260869565217391</v>
      </c>
    </row>
    <row r="33" spans="1:44" x14ac:dyDescent="0.35">
      <c r="A33" s="15">
        <v>30</v>
      </c>
      <c r="B33" s="3" t="s">
        <v>143</v>
      </c>
      <c r="C33" s="22" t="s">
        <v>81</v>
      </c>
      <c r="D33" s="22" t="s">
        <v>81</v>
      </c>
      <c r="E33" s="22" t="s">
        <v>81</v>
      </c>
      <c r="F33" s="21" t="s">
        <v>75</v>
      </c>
      <c r="G33" s="21" t="s">
        <v>75</v>
      </c>
      <c r="H33" s="22" t="s">
        <v>81</v>
      </c>
      <c r="I33" s="22" t="s">
        <v>81</v>
      </c>
      <c r="J33" s="22" t="s">
        <v>81</v>
      </c>
      <c r="K33" s="22" t="s">
        <v>81</v>
      </c>
      <c r="L33" s="22" t="s">
        <v>81</v>
      </c>
      <c r="M33" s="21" t="s">
        <v>75</v>
      </c>
      <c r="N33" s="21" t="s">
        <v>75</v>
      </c>
      <c r="O33" s="22" t="s">
        <v>81</v>
      </c>
      <c r="P33" s="22" t="s">
        <v>81</v>
      </c>
      <c r="Q33" s="22" t="s">
        <v>81</v>
      </c>
      <c r="R33" s="22" t="s">
        <v>81</v>
      </c>
      <c r="S33" s="22" t="s">
        <v>81</v>
      </c>
      <c r="T33" s="21" t="s">
        <v>75</v>
      </c>
      <c r="U33" s="21" t="s">
        <v>75</v>
      </c>
      <c r="V33" s="22" t="s">
        <v>81</v>
      </c>
      <c r="W33" s="22" t="s">
        <v>81</v>
      </c>
      <c r="X33" s="22" t="s">
        <v>81</v>
      </c>
      <c r="Y33" s="22" t="s">
        <v>81</v>
      </c>
      <c r="Z33" s="22" t="s">
        <v>81</v>
      </c>
      <c r="AA33" s="21" t="s">
        <v>75</v>
      </c>
      <c r="AB33" s="21" t="s">
        <v>75</v>
      </c>
      <c r="AC33" s="22"/>
      <c r="AD33" s="22"/>
      <c r="AE33" s="22"/>
      <c r="AF33" s="22"/>
      <c r="AG33" s="22"/>
      <c r="AH33" s="4">
        <f t="shared" si="0"/>
        <v>23</v>
      </c>
      <c r="AI33" s="5">
        <f t="shared" si="1"/>
        <v>18</v>
      </c>
      <c r="AJ33" s="6">
        <f t="shared" si="2"/>
        <v>0</v>
      </c>
      <c r="AK33" s="7">
        <f t="shared" si="3"/>
        <v>0</v>
      </c>
      <c r="AL33" s="7">
        <f t="shared" si="4"/>
        <v>0</v>
      </c>
      <c r="AM33" s="7">
        <f t="shared" si="5"/>
        <v>0</v>
      </c>
      <c r="AN33" s="7">
        <f t="shared" si="6"/>
        <v>0</v>
      </c>
      <c r="AO33" s="8">
        <f t="shared" si="7"/>
        <v>0</v>
      </c>
      <c r="AP33" s="12">
        <f t="shared" si="8"/>
        <v>18</v>
      </c>
      <c r="AQ33" s="23">
        <f t="shared" si="9"/>
        <v>0</v>
      </c>
      <c r="AR33" s="14">
        <f t="shared" si="10"/>
        <v>78.260869565217391</v>
      </c>
    </row>
    <row r="34" spans="1:44" x14ac:dyDescent="0.35">
      <c r="A34" s="2">
        <v>31</v>
      </c>
      <c r="B34" s="3" t="s">
        <v>144</v>
      </c>
      <c r="C34" s="22" t="s">
        <v>81</v>
      </c>
      <c r="D34" s="22" t="s">
        <v>81</v>
      </c>
      <c r="E34" s="22" t="s">
        <v>81</v>
      </c>
      <c r="F34" s="21" t="s">
        <v>75</v>
      </c>
      <c r="G34" s="21" t="s">
        <v>75</v>
      </c>
      <c r="H34" s="22" t="s">
        <v>81</v>
      </c>
      <c r="I34" s="22" t="s">
        <v>81</v>
      </c>
      <c r="J34" s="22" t="s">
        <v>81</v>
      </c>
      <c r="K34" s="22" t="s">
        <v>81</v>
      </c>
      <c r="L34" s="22" t="s">
        <v>81</v>
      </c>
      <c r="M34" s="21" t="s">
        <v>75</v>
      </c>
      <c r="N34" s="21" t="s">
        <v>75</v>
      </c>
      <c r="O34" s="22" t="s">
        <v>81</v>
      </c>
      <c r="P34" s="22" t="s">
        <v>81</v>
      </c>
      <c r="Q34" s="22" t="s">
        <v>81</v>
      </c>
      <c r="R34" s="22" t="s">
        <v>81</v>
      </c>
      <c r="S34" s="22" t="s">
        <v>81</v>
      </c>
      <c r="T34" s="21" t="s">
        <v>75</v>
      </c>
      <c r="U34" s="21" t="s">
        <v>75</v>
      </c>
      <c r="V34" s="22" t="s">
        <v>81</v>
      </c>
      <c r="W34" s="22" t="s">
        <v>81</v>
      </c>
      <c r="X34" s="22" t="s">
        <v>81</v>
      </c>
      <c r="Y34" s="22" t="s">
        <v>81</v>
      </c>
      <c r="Z34" s="22" t="s">
        <v>81</v>
      </c>
      <c r="AA34" s="21" t="s">
        <v>75</v>
      </c>
      <c r="AB34" s="21" t="s">
        <v>75</v>
      </c>
      <c r="AC34" s="22"/>
      <c r="AD34" s="22"/>
      <c r="AE34" s="22"/>
      <c r="AF34" s="22"/>
      <c r="AG34" s="22"/>
      <c r="AH34" s="4">
        <f t="shared" si="0"/>
        <v>23</v>
      </c>
      <c r="AI34" s="5">
        <f t="shared" si="1"/>
        <v>18</v>
      </c>
      <c r="AJ34" s="6">
        <f t="shared" si="2"/>
        <v>0</v>
      </c>
      <c r="AK34" s="7">
        <f t="shared" si="3"/>
        <v>0</v>
      </c>
      <c r="AL34" s="7">
        <f t="shared" si="4"/>
        <v>0</v>
      </c>
      <c r="AM34" s="7">
        <f t="shared" si="5"/>
        <v>0</v>
      </c>
      <c r="AN34" s="7">
        <f t="shared" si="6"/>
        <v>0</v>
      </c>
      <c r="AO34" s="8">
        <f t="shared" si="7"/>
        <v>0</v>
      </c>
      <c r="AP34" s="12">
        <f t="shared" si="8"/>
        <v>18</v>
      </c>
      <c r="AQ34" s="23">
        <f t="shared" si="9"/>
        <v>0</v>
      </c>
      <c r="AR34" s="14">
        <f t="shared" si="10"/>
        <v>78.260869565217391</v>
      </c>
    </row>
    <row r="35" spans="1:44" x14ac:dyDescent="0.35">
      <c r="A35" s="15">
        <v>32</v>
      </c>
      <c r="B35" s="3" t="s">
        <v>145</v>
      </c>
      <c r="C35" s="22" t="s">
        <v>81</v>
      </c>
      <c r="D35" s="22" t="s">
        <v>81</v>
      </c>
      <c r="E35" s="22" t="s">
        <v>81</v>
      </c>
      <c r="F35" s="21" t="s">
        <v>75</v>
      </c>
      <c r="G35" s="21" t="s">
        <v>75</v>
      </c>
      <c r="H35" s="22" t="s">
        <v>81</v>
      </c>
      <c r="I35" s="22" t="s">
        <v>81</v>
      </c>
      <c r="J35" s="22" t="s">
        <v>81</v>
      </c>
      <c r="K35" s="22" t="s">
        <v>81</v>
      </c>
      <c r="L35" s="22" t="s">
        <v>81</v>
      </c>
      <c r="M35" s="21" t="s">
        <v>75</v>
      </c>
      <c r="N35" s="21" t="s">
        <v>75</v>
      </c>
      <c r="O35" s="22" t="s">
        <v>81</v>
      </c>
      <c r="P35" s="22" t="s">
        <v>81</v>
      </c>
      <c r="Q35" s="22" t="s">
        <v>81</v>
      </c>
      <c r="R35" s="22" t="s">
        <v>81</v>
      </c>
      <c r="S35" s="22" t="s">
        <v>81</v>
      </c>
      <c r="T35" s="21" t="s">
        <v>75</v>
      </c>
      <c r="U35" s="21" t="s">
        <v>75</v>
      </c>
      <c r="V35" s="22" t="s">
        <v>81</v>
      </c>
      <c r="W35" s="22" t="s">
        <v>81</v>
      </c>
      <c r="X35" s="22" t="s">
        <v>81</v>
      </c>
      <c r="Y35" s="22" t="s">
        <v>81</v>
      </c>
      <c r="Z35" s="22" t="s">
        <v>81</v>
      </c>
      <c r="AA35" s="21" t="s">
        <v>75</v>
      </c>
      <c r="AB35" s="21" t="s">
        <v>75</v>
      </c>
      <c r="AC35" s="22"/>
      <c r="AD35" s="22"/>
      <c r="AE35" s="22"/>
      <c r="AF35" s="22"/>
      <c r="AG35" s="22"/>
      <c r="AH35" s="4">
        <f t="shared" si="0"/>
        <v>23</v>
      </c>
      <c r="AI35" s="5">
        <f t="shared" si="1"/>
        <v>18</v>
      </c>
      <c r="AJ35" s="6">
        <f t="shared" si="2"/>
        <v>0</v>
      </c>
      <c r="AK35" s="7">
        <f t="shared" si="3"/>
        <v>0</v>
      </c>
      <c r="AL35" s="7">
        <f t="shared" si="4"/>
        <v>0</v>
      </c>
      <c r="AM35" s="7">
        <f t="shared" si="5"/>
        <v>0</v>
      </c>
      <c r="AN35" s="7">
        <f t="shared" si="6"/>
        <v>0</v>
      </c>
      <c r="AO35" s="8">
        <f t="shared" si="7"/>
        <v>0</v>
      </c>
      <c r="AP35" s="12">
        <f t="shared" si="8"/>
        <v>18</v>
      </c>
      <c r="AQ35" s="23">
        <f t="shared" si="9"/>
        <v>0</v>
      </c>
      <c r="AR35" s="14">
        <f t="shared" si="10"/>
        <v>78.260869565217391</v>
      </c>
    </row>
    <row r="36" spans="1:44" x14ac:dyDescent="0.35">
      <c r="A36" s="2">
        <v>33</v>
      </c>
      <c r="B36" s="3" t="s">
        <v>146</v>
      </c>
      <c r="C36" s="22" t="s">
        <v>81</v>
      </c>
      <c r="D36" s="22" t="s">
        <v>81</v>
      </c>
      <c r="E36" s="22" t="s">
        <v>81</v>
      </c>
      <c r="F36" s="21" t="s">
        <v>75</v>
      </c>
      <c r="G36" s="21" t="s">
        <v>75</v>
      </c>
      <c r="H36" s="22" t="s">
        <v>81</v>
      </c>
      <c r="I36" s="22" t="s">
        <v>81</v>
      </c>
      <c r="J36" s="22" t="s">
        <v>81</v>
      </c>
      <c r="K36" s="22" t="s">
        <v>81</v>
      </c>
      <c r="L36" s="22" t="s">
        <v>81</v>
      </c>
      <c r="M36" s="21" t="s">
        <v>75</v>
      </c>
      <c r="N36" s="21" t="s">
        <v>75</v>
      </c>
      <c r="O36" s="22" t="s">
        <v>81</v>
      </c>
      <c r="P36" s="22" t="s">
        <v>81</v>
      </c>
      <c r="Q36" s="22" t="s">
        <v>81</v>
      </c>
      <c r="R36" s="22" t="s">
        <v>81</v>
      </c>
      <c r="S36" s="22" t="s">
        <v>81</v>
      </c>
      <c r="T36" s="21" t="s">
        <v>75</v>
      </c>
      <c r="U36" s="21" t="s">
        <v>75</v>
      </c>
      <c r="V36" s="22" t="s">
        <v>81</v>
      </c>
      <c r="W36" s="22" t="s">
        <v>81</v>
      </c>
      <c r="X36" s="22" t="s">
        <v>81</v>
      </c>
      <c r="Y36" s="22" t="s">
        <v>81</v>
      </c>
      <c r="Z36" s="22" t="s">
        <v>81</v>
      </c>
      <c r="AA36" s="21" t="s">
        <v>75</v>
      </c>
      <c r="AB36" s="21" t="s">
        <v>75</v>
      </c>
      <c r="AC36" s="22"/>
      <c r="AD36" s="22"/>
      <c r="AE36" s="22"/>
      <c r="AF36" s="22"/>
      <c r="AG36" s="22"/>
      <c r="AH36" s="4">
        <f t="shared" si="0"/>
        <v>23</v>
      </c>
      <c r="AI36" s="5">
        <f t="shared" si="1"/>
        <v>18</v>
      </c>
      <c r="AJ36" s="6">
        <f t="shared" si="2"/>
        <v>0</v>
      </c>
      <c r="AK36" s="7">
        <f t="shared" si="3"/>
        <v>0</v>
      </c>
      <c r="AL36" s="7">
        <f t="shared" si="4"/>
        <v>0</v>
      </c>
      <c r="AM36" s="7">
        <f t="shared" si="5"/>
        <v>0</v>
      </c>
      <c r="AN36" s="7">
        <f t="shared" si="6"/>
        <v>0</v>
      </c>
      <c r="AO36" s="8">
        <f t="shared" si="7"/>
        <v>0</v>
      </c>
      <c r="AP36" s="12">
        <f t="shared" si="8"/>
        <v>18</v>
      </c>
      <c r="AQ36" s="23">
        <f t="shared" si="9"/>
        <v>0</v>
      </c>
      <c r="AR36" s="14">
        <f t="shared" si="10"/>
        <v>78.260869565217391</v>
      </c>
    </row>
    <row r="37" spans="1:44" x14ac:dyDescent="0.35">
      <c r="A37" s="15">
        <v>34</v>
      </c>
      <c r="B37" s="3" t="s">
        <v>147</v>
      </c>
      <c r="C37" s="22" t="s">
        <v>81</v>
      </c>
      <c r="D37" s="22" t="s">
        <v>81</v>
      </c>
      <c r="E37" s="22" t="s">
        <v>81</v>
      </c>
      <c r="F37" s="21" t="s">
        <v>75</v>
      </c>
      <c r="G37" s="21" t="s">
        <v>75</v>
      </c>
      <c r="H37" s="22" t="s">
        <v>81</v>
      </c>
      <c r="I37" s="22" t="s">
        <v>81</v>
      </c>
      <c r="J37" s="22" t="s">
        <v>81</v>
      </c>
      <c r="K37" s="22" t="s">
        <v>81</v>
      </c>
      <c r="L37" s="22" t="s">
        <v>81</v>
      </c>
      <c r="M37" s="21" t="s">
        <v>75</v>
      </c>
      <c r="N37" s="21" t="s">
        <v>75</v>
      </c>
      <c r="O37" s="22" t="s">
        <v>81</v>
      </c>
      <c r="P37" s="22" t="s">
        <v>81</v>
      </c>
      <c r="Q37" s="22" t="s">
        <v>81</v>
      </c>
      <c r="R37" s="22" t="s">
        <v>81</v>
      </c>
      <c r="S37" s="22" t="s">
        <v>81</v>
      </c>
      <c r="T37" s="21" t="s">
        <v>75</v>
      </c>
      <c r="U37" s="21" t="s">
        <v>75</v>
      </c>
      <c r="V37" s="22" t="s">
        <v>81</v>
      </c>
      <c r="W37" s="22" t="s">
        <v>81</v>
      </c>
      <c r="X37" s="22" t="s">
        <v>81</v>
      </c>
      <c r="Y37" s="22" t="s">
        <v>81</v>
      </c>
      <c r="Z37" s="22" t="s">
        <v>81</v>
      </c>
      <c r="AA37" s="21" t="s">
        <v>75</v>
      </c>
      <c r="AB37" s="21" t="s">
        <v>75</v>
      </c>
      <c r="AC37" s="22"/>
      <c r="AD37" s="22"/>
      <c r="AE37" s="22"/>
      <c r="AF37" s="22"/>
      <c r="AG37" s="22"/>
      <c r="AH37" s="4">
        <f t="shared" si="0"/>
        <v>23</v>
      </c>
      <c r="AI37" s="5">
        <f t="shared" si="1"/>
        <v>18</v>
      </c>
      <c r="AJ37" s="6">
        <f t="shared" si="2"/>
        <v>0</v>
      </c>
      <c r="AK37" s="7">
        <f t="shared" si="3"/>
        <v>0</v>
      </c>
      <c r="AL37" s="7">
        <f t="shared" si="4"/>
        <v>0</v>
      </c>
      <c r="AM37" s="7">
        <f t="shared" si="5"/>
        <v>0</v>
      </c>
      <c r="AN37" s="7">
        <f t="shared" si="6"/>
        <v>0</v>
      </c>
      <c r="AO37" s="8">
        <f t="shared" si="7"/>
        <v>0</v>
      </c>
      <c r="AP37" s="12">
        <f t="shared" si="8"/>
        <v>18</v>
      </c>
      <c r="AQ37" s="23">
        <f t="shared" si="9"/>
        <v>0</v>
      </c>
      <c r="AR37" s="14">
        <f t="shared" si="10"/>
        <v>78.260869565217391</v>
      </c>
    </row>
    <row r="38" spans="1:44" x14ac:dyDescent="0.35">
      <c r="A38" s="2">
        <v>35</v>
      </c>
      <c r="B38" s="3" t="s">
        <v>149</v>
      </c>
      <c r="C38" s="22" t="s">
        <v>81</v>
      </c>
      <c r="D38" s="22" t="s">
        <v>81</v>
      </c>
      <c r="E38" s="22" t="s">
        <v>81</v>
      </c>
      <c r="F38" s="21" t="s">
        <v>75</v>
      </c>
      <c r="G38" s="21" t="s">
        <v>75</v>
      </c>
      <c r="H38" s="22" t="s">
        <v>81</v>
      </c>
      <c r="I38" s="22" t="s">
        <v>81</v>
      </c>
      <c r="J38" s="22" t="s">
        <v>81</v>
      </c>
      <c r="K38" s="22" t="s">
        <v>81</v>
      </c>
      <c r="L38" s="22" t="s">
        <v>81</v>
      </c>
      <c r="M38" s="21" t="s">
        <v>75</v>
      </c>
      <c r="N38" s="21" t="s">
        <v>75</v>
      </c>
      <c r="O38" s="22" t="s">
        <v>81</v>
      </c>
      <c r="P38" s="22" t="s">
        <v>81</v>
      </c>
      <c r="Q38" s="22" t="s">
        <v>81</v>
      </c>
      <c r="R38" s="22" t="s">
        <v>81</v>
      </c>
      <c r="S38" s="22" t="s">
        <v>81</v>
      </c>
      <c r="T38" s="21" t="s">
        <v>75</v>
      </c>
      <c r="U38" s="21" t="s">
        <v>75</v>
      </c>
      <c r="V38" s="22" t="s">
        <v>81</v>
      </c>
      <c r="W38" s="22" t="s">
        <v>81</v>
      </c>
      <c r="X38" s="22" t="s">
        <v>81</v>
      </c>
      <c r="Y38" s="22" t="s">
        <v>81</v>
      </c>
      <c r="Z38" s="22" t="s">
        <v>81</v>
      </c>
      <c r="AA38" s="21" t="s">
        <v>75</v>
      </c>
      <c r="AB38" s="21" t="s">
        <v>75</v>
      </c>
      <c r="AC38" s="22"/>
      <c r="AD38" s="22"/>
      <c r="AE38" s="22"/>
      <c r="AF38" s="22"/>
      <c r="AG38" s="22"/>
      <c r="AH38" s="4">
        <f t="shared" si="0"/>
        <v>23</v>
      </c>
      <c r="AI38" s="5">
        <f t="shared" si="1"/>
        <v>18</v>
      </c>
      <c r="AJ38" s="6">
        <f t="shared" si="2"/>
        <v>0</v>
      </c>
      <c r="AK38" s="7">
        <f t="shared" si="3"/>
        <v>0</v>
      </c>
      <c r="AL38" s="7">
        <f t="shared" si="4"/>
        <v>0</v>
      </c>
      <c r="AM38" s="7">
        <f t="shared" si="5"/>
        <v>0</v>
      </c>
      <c r="AN38" s="7">
        <f t="shared" si="6"/>
        <v>0</v>
      </c>
      <c r="AO38" s="8">
        <f t="shared" si="7"/>
        <v>0</v>
      </c>
      <c r="AP38" s="12">
        <f t="shared" si="8"/>
        <v>18</v>
      </c>
      <c r="AQ38" s="23">
        <f t="shared" si="9"/>
        <v>0</v>
      </c>
      <c r="AR38" s="14">
        <f t="shared" si="10"/>
        <v>78.260869565217391</v>
      </c>
    </row>
    <row r="39" spans="1:44" x14ac:dyDescent="0.35">
      <c r="A39" s="15">
        <v>36</v>
      </c>
      <c r="B39" s="3" t="s">
        <v>150</v>
      </c>
      <c r="C39" s="22" t="s">
        <v>81</v>
      </c>
      <c r="D39" s="22" t="s">
        <v>81</v>
      </c>
      <c r="E39" s="22" t="s">
        <v>81</v>
      </c>
      <c r="F39" s="21" t="s">
        <v>75</v>
      </c>
      <c r="G39" s="21" t="s">
        <v>75</v>
      </c>
      <c r="H39" s="22" t="s">
        <v>81</v>
      </c>
      <c r="I39" s="22" t="s">
        <v>81</v>
      </c>
      <c r="J39" s="22" t="s">
        <v>81</v>
      </c>
      <c r="K39" s="22" t="s">
        <v>81</v>
      </c>
      <c r="L39" s="22" t="s">
        <v>81</v>
      </c>
      <c r="M39" s="21" t="s">
        <v>75</v>
      </c>
      <c r="N39" s="21" t="s">
        <v>75</v>
      </c>
      <c r="O39" s="22" t="s">
        <v>81</v>
      </c>
      <c r="P39" s="22" t="s">
        <v>81</v>
      </c>
      <c r="Q39" s="22" t="s">
        <v>81</v>
      </c>
      <c r="R39" s="22" t="s">
        <v>81</v>
      </c>
      <c r="S39" s="22" t="s">
        <v>81</v>
      </c>
      <c r="T39" s="21" t="s">
        <v>75</v>
      </c>
      <c r="U39" s="21" t="s">
        <v>75</v>
      </c>
      <c r="V39" s="22" t="s">
        <v>81</v>
      </c>
      <c r="W39" s="22" t="s">
        <v>81</v>
      </c>
      <c r="X39" s="22" t="s">
        <v>81</v>
      </c>
      <c r="Y39" s="22" t="s">
        <v>81</v>
      </c>
      <c r="Z39" s="22" t="s">
        <v>81</v>
      </c>
      <c r="AA39" s="21" t="s">
        <v>75</v>
      </c>
      <c r="AB39" s="21" t="s">
        <v>75</v>
      </c>
      <c r="AC39" s="22"/>
      <c r="AD39" s="22"/>
      <c r="AE39" s="22"/>
      <c r="AF39" s="22"/>
      <c r="AG39" s="22"/>
      <c r="AH39" s="4">
        <f t="shared" si="0"/>
        <v>23</v>
      </c>
      <c r="AI39" s="5">
        <f t="shared" si="1"/>
        <v>18</v>
      </c>
      <c r="AJ39" s="6">
        <f t="shared" si="2"/>
        <v>0</v>
      </c>
      <c r="AK39" s="7">
        <f t="shared" si="3"/>
        <v>0</v>
      </c>
      <c r="AL39" s="7">
        <f t="shared" si="4"/>
        <v>0</v>
      </c>
      <c r="AM39" s="7">
        <f t="shared" si="5"/>
        <v>0</v>
      </c>
      <c r="AN39" s="7">
        <f t="shared" si="6"/>
        <v>0</v>
      </c>
      <c r="AO39" s="8">
        <f t="shared" si="7"/>
        <v>0</v>
      </c>
      <c r="AP39" s="12">
        <f t="shared" si="8"/>
        <v>18</v>
      </c>
      <c r="AQ39" s="23">
        <f t="shared" si="9"/>
        <v>0</v>
      </c>
      <c r="AR39" s="14">
        <f t="shared" si="10"/>
        <v>78.260869565217391</v>
      </c>
    </row>
    <row r="40" spans="1:44" x14ac:dyDescent="0.35">
      <c r="A40" s="2">
        <v>37</v>
      </c>
      <c r="B40" s="3" t="s">
        <v>151</v>
      </c>
      <c r="C40" s="22" t="s">
        <v>81</v>
      </c>
      <c r="D40" s="22" t="s">
        <v>81</v>
      </c>
      <c r="E40" s="22" t="s">
        <v>81</v>
      </c>
      <c r="F40" s="21" t="s">
        <v>75</v>
      </c>
      <c r="G40" s="21" t="s">
        <v>75</v>
      </c>
      <c r="H40" s="22" t="s">
        <v>81</v>
      </c>
      <c r="I40" s="22" t="s">
        <v>81</v>
      </c>
      <c r="J40" s="22" t="s">
        <v>81</v>
      </c>
      <c r="K40" s="22" t="s">
        <v>81</v>
      </c>
      <c r="L40" s="22" t="s">
        <v>81</v>
      </c>
      <c r="M40" s="21" t="s">
        <v>75</v>
      </c>
      <c r="N40" s="21" t="s">
        <v>75</v>
      </c>
      <c r="O40" s="22" t="s">
        <v>81</v>
      </c>
      <c r="P40" s="22" t="s">
        <v>81</v>
      </c>
      <c r="Q40" s="22" t="s">
        <v>81</v>
      </c>
      <c r="R40" s="22" t="s">
        <v>81</v>
      </c>
      <c r="S40" s="22" t="s">
        <v>81</v>
      </c>
      <c r="T40" s="21" t="s">
        <v>75</v>
      </c>
      <c r="U40" s="21" t="s">
        <v>75</v>
      </c>
      <c r="V40" s="22" t="s">
        <v>81</v>
      </c>
      <c r="W40" s="22" t="s">
        <v>81</v>
      </c>
      <c r="X40" s="22" t="s">
        <v>81</v>
      </c>
      <c r="Y40" s="22" t="s">
        <v>81</v>
      </c>
      <c r="Z40" s="22" t="s">
        <v>81</v>
      </c>
      <c r="AA40" s="21" t="s">
        <v>75</v>
      </c>
      <c r="AB40" s="21" t="s">
        <v>75</v>
      </c>
      <c r="AC40" s="22"/>
      <c r="AD40" s="22"/>
      <c r="AE40" s="22"/>
      <c r="AF40" s="22"/>
      <c r="AG40" s="22"/>
      <c r="AH40" s="4">
        <f t="shared" si="0"/>
        <v>23</v>
      </c>
      <c r="AI40" s="5">
        <f t="shared" si="1"/>
        <v>18</v>
      </c>
      <c r="AJ40" s="6">
        <f t="shared" si="2"/>
        <v>0</v>
      </c>
      <c r="AK40" s="7">
        <f t="shared" si="3"/>
        <v>0</v>
      </c>
      <c r="AL40" s="7">
        <f t="shared" si="4"/>
        <v>0</v>
      </c>
      <c r="AM40" s="7">
        <f t="shared" si="5"/>
        <v>0</v>
      </c>
      <c r="AN40" s="7">
        <f t="shared" si="6"/>
        <v>0</v>
      </c>
      <c r="AO40" s="8">
        <f t="shared" si="7"/>
        <v>0</v>
      </c>
      <c r="AP40" s="12">
        <f t="shared" si="8"/>
        <v>18</v>
      </c>
      <c r="AQ40" s="23">
        <f t="shared" si="9"/>
        <v>0</v>
      </c>
      <c r="AR40" s="14">
        <f t="shared" si="10"/>
        <v>78.260869565217391</v>
      </c>
    </row>
    <row r="41" spans="1:44" x14ac:dyDescent="0.35">
      <c r="A41" s="15">
        <v>38</v>
      </c>
      <c r="B41" s="3" t="s">
        <v>152</v>
      </c>
      <c r="C41" s="22" t="s">
        <v>81</v>
      </c>
      <c r="D41" s="22" t="s">
        <v>81</v>
      </c>
      <c r="E41" s="22" t="s">
        <v>81</v>
      </c>
      <c r="F41" s="21" t="s">
        <v>75</v>
      </c>
      <c r="G41" s="21" t="s">
        <v>75</v>
      </c>
      <c r="H41" s="22" t="s">
        <v>81</v>
      </c>
      <c r="I41" s="22" t="s">
        <v>81</v>
      </c>
      <c r="J41" s="22" t="s">
        <v>81</v>
      </c>
      <c r="K41" s="22" t="s">
        <v>81</v>
      </c>
      <c r="L41" s="22" t="s">
        <v>81</v>
      </c>
      <c r="M41" s="21" t="s">
        <v>75</v>
      </c>
      <c r="N41" s="21" t="s">
        <v>75</v>
      </c>
      <c r="O41" s="22" t="s">
        <v>81</v>
      </c>
      <c r="P41" s="22" t="s">
        <v>81</v>
      </c>
      <c r="Q41" s="22" t="s">
        <v>81</v>
      </c>
      <c r="R41" s="22" t="s">
        <v>81</v>
      </c>
      <c r="S41" s="22" t="s">
        <v>81</v>
      </c>
      <c r="T41" s="21" t="s">
        <v>75</v>
      </c>
      <c r="U41" s="21" t="s">
        <v>75</v>
      </c>
      <c r="V41" s="22" t="s">
        <v>81</v>
      </c>
      <c r="W41" s="22" t="s">
        <v>81</v>
      </c>
      <c r="X41" s="22" t="s">
        <v>81</v>
      </c>
      <c r="Y41" s="22" t="s">
        <v>81</v>
      </c>
      <c r="Z41" s="22" t="s">
        <v>81</v>
      </c>
      <c r="AA41" s="21" t="s">
        <v>75</v>
      </c>
      <c r="AB41" s="21" t="s">
        <v>75</v>
      </c>
      <c r="AC41" s="22"/>
      <c r="AD41" s="22"/>
      <c r="AE41" s="22"/>
      <c r="AF41" s="22"/>
      <c r="AG41" s="22"/>
      <c r="AH41" s="4">
        <f t="shared" si="0"/>
        <v>23</v>
      </c>
      <c r="AI41" s="5">
        <f t="shared" si="1"/>
        <v>18</v>
      </c>
      <c r="AJ41" s="6">
        <f t="shared" si="2"/>
        <v>0</v>
      </c>
      <c r="AK41" s="7">
        <f t="shared" si="3"/>
        <v>0</v>
      </c>
      <c r="AL41" s="7">
        <f t="shared" si="4"/>
        <v>0</v>
      </c>
      <c r="AM41" s="7">
        <f t="shared" si="5"/>
        <v>0</v>
      </c>
      <c r="AN41" s="7">
        <f t="shared" si="6"/>
        <v>0</v>
      </c>
      <c r="AO41" s="8">
        <f t="shared" si="7"/>
        <v>0</v>
      </c>
      <c r="AP41" s="12">
        <f t="shared" si="8"/>
        <v>18</v>
      </c>
      <c r="AQ41" s="23">
        <f t="shared" si="9"/>
        <v>0</v>
      </c>
      <c r="AR41" s="14">
        <f t="shared" si="10"/>
        <v>78.260869565217391</v>
      </c>
    </row>
    <row r="42" spans="1:44" x14ac:dyDescent="0.35">
      <c r="A42" s="2">
        <v>39</v>
      </c>
      <c r="B42" s="3" t="s">
        <v>153</v>
      </c>
      <c r="C42" s="22" t="s">
        <v>81</v>
      </c>
      <c r="D42" s="22" t="s">
        <v>81</v>
      </c>
      <c r="E42" s="22" t="s">
        <v>81</v>
      </c>
      <c r="F42" s="21" t="s">
        <v>75</v>
      </c>
      <c r="G42" s="21" t="s">
        <v>75</v>
      </c>
      <c r="H42" s="22" t="s">
        <v>81</v>
      </c>
      <c r="I42" s="22" t="s">
        <v>81</v>
      </c>
      <c r="J42" s="22" t="s">
        <v>81</v>
      </c>
      <c r="K42" s="22" t="s">
        <v>81</v>
      </c>
      <c r="L42" s="22" t="s">
        <v>81</v>
      </c>
      <c r="M42" s="21" t="s">
        <v>75</v>
      </c>
      <c r="N42" s="21" t="s">
        <v>75</v>
      </c>
      <c r="O42" s="22" t="s">
        <v>81</v>
      </c>
      <c r="P42" s="22" t="s">
        <v>81</v>
      </c>
      <c r="Q42" s="22" t="s">
        <v>81</v>
      </c>
      <c r="R42" s="22" t="s">
        <v>81</v>
      </c>
      <c r="S42" s="22" t="s">
        <v>81</v>
      </c>
      <c r="T42" s="21" t="s">
        <v>75</v>
      </c>
      <c r="U42" s="21" t="s">
        <v>75</v>
      </c>
      <c r="V42" s="22" t="s">
        <v>81</v>
      </c>
      <c r="W42" s="22" t="s">
        <v>81</v>
      </c>
      <c r="X42" s="22" t="s">
        <v>81</v>
      </c>
      <c r="Y42" s="22" t="s">
        <v>81</v>
      </c>
      <c r="Z42" s="22" t="s">
        <v>81</v>
      </c>
      <c r="AA42" s="21" t="s">
        <v>75</v>
      </c>
      <c r="AB42" s="21" t="s">
        <v>75</v>
      </c>
      <c r="AC42" s="22"/>
      <c r="AD42" s="22"/>
      <c r="AE42" s="22"/>
      <c r="AF42" s="22"/>
      <c r="AG42" s="22"/>
      <c r="AH42" s="4">
        <f t="shared" si="0"/>
        <v>23</v>
      </c>
      <c r="AI42" s="5">
        <f t="shared" si="1"/>
        <v>18</v>
      </c>
      <c r="AJ42" s="6">
        <f t="shared" si="2"/>
        <v>0</v>
      </c>
      <c r="AK42" s="7">
        <f t="shared" si="3"/>
        <v>0</v>
      </c>
      <c r="AL42" s="7">
        <f t="shared" si="4"/>
        <v>0</v>
      </c>
      <c r="AM42" s="7">
        <f t="shared" si="5"/>
        <v>0</v>
      </c>
      <c r="AN42" s="7">
        <f t="shared" si="6"/>
        <v>0</v>
      </c>
      <c r="AO42" s="8">
        <f t="shared" si="7"/>
        <v>0</v>
      </c>
      <c r="AP42" s="12">
        <f t="shared" si="8"/>
        <v>18</v>
      </c>
      <c r="AQ42" s="23">
        <f t="shared" si="9"/>
        <v>0</v>
      </c>
      <c r="AR42" s="14">
        <f t="shared" si="10"/>
        <v>78.260869565217391</v>
      </c>
    </row>
    <row r="43" spans="1:44" x14ac:dyDescent="0.35">
      <c r="A43" s="15">
        <v>40</v>
      </c>
      <c r="B43" s="3" t="s">
        <v>154</v>
      </c>
      <c r="C43" s="22" t="s">
        <v>81</v>
      </c>
      <c r="D43" s="22" t="s">
        <v>81</v>
      </c>
      <c r="E43" s="22" t="s">
        <v>81</v>
      </c>
      <c r="F43" s="21" t="s">
        <v>75</v>
      </c>
      <c r="G43" s="21" t="s">
        <v>75</v>
      </c>
      <c r="H43" s="22" t="s">
        <v>81</v>
      </c>
      <c r="I43" s="22" t="s">
        <v>81</v>
      </c>
      <c r="J43" s="22" t="s">
        <v>81</v>
      </c>
      <c r="K43" s="22" t="s">
        <v>81</v>
      </c>
      <c r="L43" s="22" t="s">
        <v>81</v>
      </c>
      <c r="M43" s="21" t="s">
        <v>75</v>
      </c>
      <c r="N43" s="21" t="s">
        <v>75</v>
      </c>
      <c r="O43" s="22" t="s">
        <v>81</v>
      </c>
      <c r="P43" s="22" t="s">
        <v>81</v>
      </c>
      <c r="Q43" s="22" t="s">
        <v>81</v>
      </c>
      <c r="R43" s="22" t="s">
        <v>81</v>
      </c>
      <c r="S43" s="22" t="s">
        <v>81</v>
      </c>
      <c r="T43" s="21" t="s">
        <v>75</v>
      </c>
      <c r="U43" s="21" t="s">
        <v>75</v>
      </c>
      <c r="V43" s="22" t="s">
        <v>81</v>
      </c>
      <c r="W43" s="22" t="s">
        <v>81</v>
      </c>
      <c r="X43" s="22" t="s">
        <v>81</v>
      </c>
      <c r="Y43" s="22" t="s">
        <v>81</v>
      </c>
      <c r="Z43" s="22" t="s">
        <v>81</v>
      </c>
      <c r="AA43" s="21" t="s">
        <v>75</v>
      </c>
      <c r="AB43" s="21" t="s">
        <v>75</v>
      </c>
      <c r="AC43" s="22"/>
      <c r="AD43" s="22"/>
      <c r="AE43" s="22"/>
      <c r="AF43" s="22"/>
      <c r="AG43" s="22"/>
      <c r="AH43" s="4">
        <f t="shared" si="0"/>
        <v>23</v>
      </c>
      <c r="AI43" s="5">
        <f t="shared" si="1"/>
        <v>18</v>
      </c>
      <c r="AJ43" s="6">
        <f t="shared" si="2"/>
        <v>0</v>
      </c>
      <c r="AK43" s="7">
        <f t="shared" si="3"/>
        <v>0</v>
      </c>
      <c r="AL43" s="7">
        <f t="shared" si="4"/>
        <v>0</v>
      </c>
      <c r="AM43" s="7">
        <f t="shared" si="5"/>
        <v>0</v>
      </c>
      <c r="AN43" s="7">
        <f t="shared" si="6"/>
        <v>0</v>
      </c>
      <c r="AO43" s="8">
        <f t="shared" si="7"/>
        <v>0</v>
      </c>
      <c r="AP43" s="12">
        <f t="shared" si="8"/>
        <v>18</v>
      </c>
      <c r="AQ43" s="23">
        <f t="shared" si="9"/>
        <v>0</v>
      </c>
      <c r="AR43" s="14">
        <f t="shared" si="10"/>
        <v>78.260869565217391</v>
      </c>
    </row>
    <row r="44" spans="1:44" x14ac:dyDescent="0.35">
      <c r="A44" s="2">
        <v>41</v>
      </c>
      <c r="B44" s="3" t="s">
        <v>155</v>
      </c>
      <c r="C44" s="22" t="s">
        <v>81</v>
      </c>
      <c r="D44" s="22" t="s">
        <v>81</v>
      </c>
      <c r="E44" s="22" t="s">
        <v>81</v>
      </c>
      <c r="F44" s="21" t="s">
        <v>75</v>
      </c>
      <c r="G44" s="21" t="s">
        <v>75</v>
      </c>
      <c r="H44" s="22" t="s">
        <v>81</v>
      </c>
      <c r="I44" s="22" t="s">
        <v>81</v>
      </c>
      <c r="J44" s="22" t="s">
        <v>81</v>
      </c>
      <c r="K44" s="22" t="s">
        <v>81</v>
      </c>
      <c r="L44" s="22" t="s">
        <v>81</v>
      </c>
      <c r="M44" s="21" t="s">
        <v>75</v>
      </c>
      <c r="N44" s="21" t="s">
        <v>75</v>
      </c>
      <c r="O44" s="22" t="s">
        <v>81</v>
      </c>
      <c r="P44" s="22" t="s">
        <v>81</v>
      </c>
      <c r="Q44" s="22" t="s">
        <v>81</v>
      </c>
      <c r="R44" s="22" t="s">
        <v>81</v>
      </c>
      <c r="S44" s="22" t="s">
        <v>81</v>
      </c>
      <c r="T44" s="21" t="s">
        <v>75</v>
      </c>
      <c r="U44" s="21" t="s">
        <v>75</v>
      </c>
      <c r="V44" s="22" t="s">
        <v>81</v>
      </c>
      <c r="W44" s="22" t="s">
        <v>81</v>
      </c>
      <c r="X44" s="22" t="s">
        <v>81</v>
      </c>
      <c r="Y44" s="22" t="s">
        <v>81</v>
      </c>
      <c r="Z44" s="22" t="s">
        <v>81</v>
      </c>
      <c r="AA44" s="21" t="s">
        <v>75</v>
      </c>
      <c r="AB44" s="21" t="s">
        <v>75</v>
      </c>
      <c r="AC44" s="22"/>
      <c r="AD44" s="22"/>
      <c r="AE44" s="22"/>
      <c r="AF44" s="22"/>
      <c r="AG44" s="22"/>
      <c r="AH44" s="4">
        <f t="shared" si="0"/>
        <v>23</v>
      </c>
      <c r="AI44" s="5">
        <f t="shared" si="1"/>
        <v>18</v>
      </c>
      <c r="AJ44" s="6">
        <f t="shared" si="2"/>
        <v>0</v>
      </c>
      <c r="AK44" s="7">
        <f t="shared" si="3"/>
        <v>0</v>
      </c>
      <c r="AL44" s="7">
        <f t="shared" si="4"/>
        <v>0</v>
      </c>
      <c r="AM44" s="7">
        <f t="shared" si="5"/>
        <v>0</v>
      </c>
      <c r="AN44" s="7">
        <f t="shared" si="6"/>
        <v>0</v>
      </c>
      <c r="AO44" s="8">
        <f t="shared" si="7"/>
        <v>0</v>
      </c>
      <c r="AP44" s="12">
        <f t="shared" si="8"/>
        <v>18</v>
      </c>
      <c r="AQ44" s="23">
        <f t="shared" si="9"/>
        <v>0</v>
      </c>
      <c r="AR44" s="14">
        <f t="shared" si="10"/>
        <v>78.260869565217391</v>
      </c>
    </row>
    <row r="45" spans="1:44" x14ac:dyDescent="0.35">
      <c r="A45" s="15">
        <v>42</v>
      </c>
      <c r="B45" s="3" t="s">
        <v>156</v>
      </c>
      <c r="C45" s="22" t="s">
        <v>81</v>
      </c>
      <c r="D45" s="22" t="s">
        <v>81</v>
      </c>
      <c r="E45" s="22" t="s">
        <v>81</v>
      </c>
      <c r="F45" s="21" t="s">
        <v>75</v>
      </c>
      <c r="G45" s="21" t="s">
        <v>75</v>
      </c>
      <c r="H45" s="22" t="s">
        <v>81</v>
      </c>
      <c r="I45" s="22" t="s">
        <v>81</v>
      </c>
      <c r="J45" s="22" t="s">
        <v>81</v>
      </c>
      <c r="K45" s="22" t="s">
        <v>81</v>
      </c>
      <c r="L45" s="22" t="s">
        <v>81</v>
      </c>
      <c r="M45" s="21" t="s">
        <v>75</v>
      </c>
      <c r="N45" s="21" t="s">
        <v>75</v>
      </c>
      <c r="O45" s="22" t="s">
        <v>81</v>
      </c>
      <c r="P45" s="22" t="s">
        <v>81</v>
      </c>
      <c r="Q45" s="22" t="s">
        <v>81</v>
      </c>
      <c r="R45" s="22" t="s">
        <v>81</v>
      </c>
      <c r="S45" s="22" t="s">
        <v>81</v>
      </c>
      <c r="T45" s="21" t="s">
        <v>75</v>
      </c>
      <c r="U45" s="21" t="s">
        <v>75</v>
      </c>
      <c r="V45" s="22" t="s">
        <v>81</v>
      </c>
      <c r="W45" s="22" t="s">
        <v>81</v>
      </c>
      <c r="X45" s="22" t="s">
        <v>81</v>
      </c>
      <c r="Y45" s="22" t="s">
        <v>81</v>
      </c>
      <c r="Z45" s="22" t="s">
        <v>81</v>
      </c>
      <c r="AA45" s="21" t="s">
        <v>75</v>
      </c>
      <c r="AB45" s="21" t="s">
        <v>75</v>
      </c>
      <c r="AC45" s="22"/>
      <c r="AD45" s="22"/>
      <c r="AE45" s="22"/>
      <c r="AF45" s="22"/>
      <c r="AG45" s="22"/>
      <c r="AH45" s="4">
        <f t="shared" si="0"/>
        <v>23</v>
      </c>
      <c r="AI45" s="5">
        <f t="shared" si="1"/>
        <v>18</v>
      </c>
      <c r="AJ45" s="6">
        <f t="shared" si="2"/>
        <v>0</v>
      </c>
      <c r="AK45" s="7">
        <f t="shared" si="3"/>
        <v>0</v>
      </c>
      <c r="AL45" s="7">
        <f t="shared" si="4"/>
        <v>0</v>
      </c>
      <c r="AM45" s="7">
        <f t="shared" si="5"/>
        <v>0</v>
      </c>
      <c r="AN45" s="7">
        <f t="shared" si="6"/>
        <v>0</v>
      </c>
      <c r="AO45" s="8">
        <f t="shared" si="7"/>
        <v>0</v>
      </c>
      <c r="AP45" s="12">
        <f t="shared" si="8"/>
        <v>18</v>
      </c>
      <c r="AQ45" s="23">
        <f t="shared" si="9"/>
        <v>0</v>
      </c>
      <c r="AR45" s="14">
        <f t="shared" si="10"/>
        <v>78.260869565217391</v>
      </c>
    </row>
    <row r="46" spans="1:44" x14ac:dyDescent="0.35">
      <c r="A46" s="2">
        <v>43</v>
      </c>
      <c r="B46" s="3" t="s">
        <v>157</v>
      </c>
      <c r="C46" s="22" t="s">
        <v>81</v>
      </c>
      <c r="D46" s="22" t="s">
        <v>81</v>
      </c>
      <c r="E46" s="22" t="s">
        <v>81</v>
      </c>
      <c r="F46" s="21" t="s">
        <v>75</v>
      </c>
      <c r="G46" s="21" t="s">
        <v>75</v>
      </c>
      <c r="H46" s="22" t="s">
        <v>81</v>
      </c>
      <c r="I46" s="22" t="s">
        <v>81</v>
      </c>
      <c r="J46" s="22" t="s">
        <v>81</v>
      </c>
      <c r="K46" s="22" t="s">
        <v>81</v>
      </c>
      <c r="L46" s="22" t="s">
        <v>81</v>
      </c>
      <c r="M46" s="21" t="s">
        <v>75</v>
      </c>
      <c r="N46" s="21" t="s">
        <v>75</v>
      </c>
      <c r="O46" s="22" t="s">
        <v>81</v>
      </c>
      <c r="P46" s="22" t="s">
        <v>81</v>
      </c>
      <c r="Q46" s="22" t="s">
        <v>81</v>
      </c>
      <c r="R46" s="22" t="s">
        <v>81</v>
      </c>
      <c r="S46" s="22" t="s">
        <v>81</v>
      </c>
      <c r="T46" s="21" t="s">
        <v>75</v>
      </c>
      <c r="U46" s="21" t="s">
        <v>75</v>
      </c>
      <c r="V46" s="22" t="s">
        <v>81</v>
      </c>
      <c r="W46" s="22" t="s">
        <v>81</v>
      </c>
      <c r="X46" s="22" t="s">
        <v>81</v>
      </c>
      <c r="Y46" s="22" t="s">
        <v>81</v>
      </c>
      <c r="Z46" s="22" t="s">
        <v>81</v>
      </c>
      <c r="AA46" s="21" t="s">
        <v>75</v>
      </c>
      <c r="AB46" s="21" t="s">
        <v>75</v>
      </c>
      <c r="AC46" s="22"/>
      <c r="AD46" s="22"/>
      <c r="AE46" s="22"/>
      <c r="AF46" s="22"/>
      <c r="AG46" s="22"/>
      <c r="AH46" s="4">
        <f t="shared" si="0"/>
        <v>23</v>
      </c>
      <c r="AI46" s="5">
        <f t="shared" si="1"/>
        <v>18</v>
      </c>
      <c r="AJ46" s="6">
        <f t="shared" si="2"/>
        <v>0</v>
      </c>
      <c r="AK46" s="7">
        <f t="shared" si="3"/>
        <v>0</v>
      </c>
      <c r="AL46" s="7">
        <f t="shared" si="4"/>
        <v>0</v>
      </c>
      <c r="AM46" s="7">
        <f t="shared" si="5"/>
        <v>0</v>
      </c>
      <c r="AN46" s="7">
        <f t="shared" si="6"/>
        <v>0</v>
      </c>
      <c r="AO46" s="8">
        <f t="shared" si="7"/>
        <v>0</v>
      </c>
      <c r="AP46" s="12">
        <f t="shared" si="8"/>
        <v>18</v>
      </c>
      <c r="AQ46" s="23">
        <f t="shared" si="9"/>
        <v>0</v>
      </c>
      <c r="AR46" s="14">
        <f t="shared" si="10"/>
        <v>78.260869565217391</v>
      </c>
    </row>
    <row r="47" spans="1:44" x14ac:dyDescent="0.35">
      <c r="A47" s="15">
        <v>44</v>
      </c>
      <c r="B47" s="3" t="s">
        <v>158</v>
      </c>
      <c r="C47" s="22" t="s">
        <v>81</v>
      </c>
      <c r="D47" s="22" t="s">
        <v>81</v>
      </c>
      <c r="E47" s="22" t="s">
        <v>81</v>
      </c>
      <c r="F47" s="21" t="s">
        <v>75</v>
      </c>
      <c r="G47" s="21" t="s">
        <v>75</v>
      </c>
      <c r="H47" s="22" t="s">
        <v>81</v>
      </c>
      <c r="I47" s="22" t="s">
        <v>81</v>
      </c>
      <c r="J47" s="22" t="s">
        <v>81</v>
      </c>
      <c r="K47" s="22" t="s">
        <v>81</v>
      </c>
      <c r="L47" s="22" t="s">
        <v>81</v>
      </c>
      <c r="M47" s="21" t="s">
        <v>75</v>
      </c>
      <c r="N47" s="21" t="s">
        <v>75</v>
      </c>
      <c r="O47" s="22" t="s">
        <v>81</v>
      </c>
      <c r="P47" s="22" t="s">
        <v>81</v>
      </c>
      <c r="Q47" s="22" t="s">
        <v>81</v>
      </c>
      <c r="R47" s="22" t="s">
        <v>81</v>
      </c>
      <c r="S47" s="22" t="s">
        <v>81</v>
      </c>
      <c r="T47" s="21" t="s">
        <v>75</v>
      </c>
      <c r="U47" s="21" t="s">
        <v>75</v>
      </c>
      <c r="V47" s="22" t="s">
        <v>81</v>
      </c>
      <c r="W47" s="22" t="s">
        <v>81</v>
      </c>
      <c r="X47" s="22" t="s">
        <v>81</v>
      </c>
      <c r="Y47" s="22" t="s">
        <v>81</v>
      </c>
      <c r="Z47" s="22" t="s">
        <v>81</v>
      </c>
      <c r="AA47" s="21" t="s">
        <v>75</v>
      </c>
      <c r="AB47" s="21" t="s">
        <v>75</v>
      </c>
      <c r="AC47" s="22"/>
      <c r="AD47" s="22"/>
      <c r="AE47" s="22"/>
      <c r="AF47" s="22"/>
      <c r="AG47" s="22"/>
      <c r="AH47" s="4">
        <f t="shared" si="0"/>
        <v>23</v>
      </c>
      <c r="AI47" s="5">
        <f t="shared" si="1"/>
        <v>18</v>
      </c>
      <c r="AJ47" s="6">
        <f t="shared" si="2"/>
        <v>0</v>
      </c>
      <c r="AK47" s="7">
        <f t="shared" si="3"/>
        <v>0</v>
      </c>
      <c r="AL47" s="7">
        <f t="shared" si="4"/>
        <v>0</v>
      </c>
      <c r="AM47" s="7">
        <f t="shared" si="5"/>
        <v>0</v>
      </c>
      <c r="AN47" s="7">
        <f t="shared" si="6"/>
        <v>0</v>
      </c>
      <c r="AO47" s="8">
        <f t="shared" si="7"/>
        <v>0</v>
      </c>
      <c r="AP47" s="12">
        <f t="shared" si="8"/>
        <v>18</v>
      </c>
      <c r="AQ47" s="23">
        <f t="shared" si="9"/>
        <v>0</v>
      </c>
      <c r="AR47" s="14">
        <f t="shared" si="10"/>
        <v>78.260869565217391</v>
      </c>
    </row>
    <row r="48" spans="1:44" x14ac:dyDescent="0.35">
      <c r="A48" s="2">
        <v>45</v>
      </c>
      <c r="B48" s="3" t="s">
        <v>159</v>
      </c>
      <c r="C48" s="22" t="s">
        <v>81</v>
      </c>
      <c r="D48" s="22" t="s">
        <v>81</v>
      </c>
      <c r="E48" s="22" t="s">
        <v>81</v>
      </c>
      <c r="F48" s="21" t="s">
        <v>75</v>
      </c>
      <c r="G48" s="21" t="s">
        <v>75</v>
      </c>
      <c r="H48" s="22" t="s">
        <v>81</v>
      </c>
      <c r="I48" s="22" t="s">
        <v>81</v>
      </c>
      <c r="J48" s="22" t="s">
        <v>81</v>
      </c>
      <c r="K48" s="22" t="s">
        <v>81</v>
      </c>
      <c r="L48" s="22" t="s">
        <v>81</v>
      </c>
      <c r="M48" s="21" t="s">
        <v>75</v>
      </c>
      <c r="N48" s="21" t="s">
        <v>75</v>
      </c>
      <c r="O48" s="22" t="s">
        <v>81</v>
      </c>
      <c r="P48" s="22" t="s">
        <v>81</v>
      </c>
      <c r="Q48" s="22" t="s">
        <v>81</v>
      </c>
      <c r="R48" s="22" t="s">
        <v>81</v>
      </c>
      <c r="S48" s="22" t="s">
        <v>81</v>
      </c>
      <c r="T48" s="21" t="s">
        <v>75</v>
      </c>
      <c r="U48" s="21" t="s">
        <v>75</v>
      </c>
      <c r="V48" s="22" t="s">
        <v>81</v>
      </c>
      <c r="W48" s="22" t="s">
        <v>81</v>
      </c>
      <c r="X48" s="22" t="s">
        <v>81</v>
      </c>
      <c r="Y48" s="22" t="s">
        <v>81</v>
      </c>
      <c r="Z48" s="22" t="s">
        <v>81</v>
      </c>
      <c r="AA48" s="21" t="s">
        <v>75</v>
      </c>
      <c r="AB48" s="21" t="s">
        <v>75</v>
      </c>
      <c r="AC48" s="22"/>
      <c r="AD48" s="22"/>
      <c r="AE48" s="22"/>
      <c r="AF48" s="22"/>
      <c r="AG48" s="22"/>
      <c r="AH48" s="4">
        <f t="shared" si="0"/>
        <v>23</v>
      </c>
      <c r="AI48" s="5">
        <f t="shared" si="1"/>
        <v>18</v>
      </c>
      <c r="AJ48" s="6">
        <f t="shared" si="2"/>
        <v>0</v>
      </c>
      <c r="AK48" s="7">
        <f t="shared" si="3"/>
        <v>0</v>
      </c>
      <c r="AL48" s="7">
        <f t="shared" si="4"/>
        <v>0</v>
      </c>
      <c r="AM48" s="7">
        <f t="shared" si="5"/>
        <v>0</v>
      </c>
      <c r="AN48" s="7">
        <f t="shared" si="6"/>
        <v>0</v>
      </c>
      <c r="AO48" s="8">
        <f t="shared" si="7"/>
        <v>0</v>
      </c>
      <c r="AP48" s="12">
        <f t="shared" si="8"/>
        <v>18</v>
      </c>
      <c r="AQ48" s="23">
        <f t="shared" si="9"/>
        <v>0</v>
      </c>
      <c r="AR48" s="14">
        <f t="shared" si="10"/>
        <v>78.260869565217391</v>
      </c>
    </row>
    <row r="49" spans="1:44" x14ac:dyDescent="0.35">
      <c r="A49" s="15">
        <v>46</v>
      </c>
      <c r="B49" s="3" t="s">
        <v>160</v>
      </c>
      <c r="C49" s="22" t="s">
        <v>81</v>
      </c>
      <c r="D49" s="22" t="s">
        <v>81</v>
      </c>
      <c r="E49" s="22" t="s">
        <v>81</v>
      </c>
      <c r="F49" s="21" t="s">
        <v>75</v>
      </c>
      <c r="G49" s="21" t="s">
        <v>75</v>
      </c>
      <c r="H49" s="22" t="s">
        <v>81</v>
      </c>
      <c r="I49" s="22" t="s">
        <v>81</v>
      </c>
      <c r="J49" s="22" t="s">
        <v>81</v>
      </c>
      <c r="K49" s="22" t="s">
        <v>81</v>
      </c>
      <c r="L49" s="22" t="s">
        <v>81</v>
      </c>
      <c r="M49" s="21" t="s">
        <v>75</v>
      </c>
      <c r="N49" s="21" t="s">
        <v>75</v>
      </c>
      <c r="O49" s="22" t="s">
        <v>81</v>
      </c>
      <c r="P49" s="22" t="s">
        <v>81</v>
      </c>
      <c r="Q49" s="22" t="s">
        <v>81</v>
      </c>
      <c r="R49" s="22" t="s">
        <v>81</v>
      </c>
      <c r="S49" s="22" t="s">
        <v>81</v>
      </c>
      <c r="T49" s="21" t="s">
        <v>75</v>
      </c>
      <c r="U49" s="21" t="s">
        <v>75</v>
      </c>
      <c r="V49" s="22" t="s">
        <v>81</v>
      </c>
      <c r="W49" s="22" t="s">
        <v>81</v>
      </c>
      <c r="X49" s="22" t="s">
        <v>81</v>
      </c>
      <c r="Y49" s="22" t="s">
        <v>81</v>
      </c>
      <c r="Z49" s="22" t="s">
        <v>81</v>
      </c>
      <c r="AA49" s="21" t="s">
        <v>75</v>
      </c>
      <c r="AB49" s="21" t="s">
        <v>75</v>
      </c>
      <c r="AC49" s="22"/>
      <c r="AD49" s="22"/>
      <c r="AE49" s="22"/>
      <c r="AF49" s="22"/>
      <c r="AG49" s="22"/>
      <c r="AH49" s="4">
        <f t="shared" si="0"/>
        <v>23</v>
      </c>
      <c r="AI49" s="5">
        <f t="shared" si="1"/>
        <v>18</v>
      </c>
      <c r="AJ49" s="6">
        <f t="shared" si="2"/>
        <v>0</v>
      </c>
      <c r="AK49" s="7">
        <f t="shared" si="3"/>
        <v>0</v>
      </c>
      <c r="AL49" s="7">
        <f t="shared" si="4"/>
        <v>0</v>
      </c>
      <c r="AM49" s="7">
        <f t="shared" si="5"/>
        <v>0</v>
      </c>
      <c r="AN49" s="7">
        <f t="shared" si="6"/>
        <v>0</v>
      </c>
      <c r="AO49" s="8">
        <f t="shared" si="7"/>
        <v>0</v>
      </c>
      <c r="AP49" s="12">
        <f t="shared" si="8"/>
        <v>18</v>
      </c>
      <c r="AQ49" s="23">
        <f t="shared" si="9"/>
        <v>0</v>
      </c>
      <c r="AR49" s="14">
        <f t="shared" si="10"/>
        <v>78.260869565217391</v>
      </c>
    </row>
    <row r="50" spans="1:44" x14ac:dyDescent="0.35">
      <c r="A50" s="2">
        <v>47</v>
      </c>
      <c r="B50" s="3" t="s">
        <v>161</v>
      </c>
      <c r="C50" s="22" t="s">
        <v>81</v>
      </c>
      <c r="D50" s="22" t="s">
        <v>81</v>
      </c>
      <c r="E50" s="22" t="s">
        <v>81</v>
      </c>
      <c r="F50" s="21" t="s">
        <v>75</v>
      </c>
      <c r="G50" s="21" t="s">
        <v>75</v>
      </c>
      <c r="H50" s="22" t="s">
        <v>81</v>
      </c>
      <c r="I50" s="22" t="s">
        <v>81</v>
      </c>
      <c r="J50" s="22" t="s">
        <v>81</v>
      </c>
      <c r="K50" s="22" t="s">
        <v>81</v>
      </c>
      <c r="L50" s="22" t="s">
        <v>81</v>
      </c>
      <c r="M50" s="21" t="s">
        <v>75</v>
      </c>
      <c r="N50" s="21" t="s">
        <v>75</v>
      </c>
      <c r="O50" s="22" t="s">
        <v>81</v>
      </c>
      <c r="P50" s="22" t="s">
        <v>81</v>
      </c>
      <c r="Q50" s="22" t="s">
        <v>81</v>
      </c>
      <c r="R50" s="22" t="s">
        <v>81</v>
      </c>
      <c r="S50" s="22" t="s">
        <v>81</v>
      </c>
      <c r="T50" s="21" t="s">
        <v>75</v>
      </c>
      <c r="U50" s="21" t="s">
        <v>75</v>
      </c>
      <c r="V50" s="22" t="s">
        <v>81</v>
      </c>
      <c r="W50" s="22" t="s">
        <v>81</v>
      </c>
      <c r="X50" s="22" t="s">
        <v>81</v>
      </c>
      <c r="Y50" s="22" t="s">
        <v>81</v>
      </c>
      <c r="Z50" s="22" t="s">
        <v>81</v>
      </c>
      <c r="AA50" s="21" t="s">
        <v>75</v>
      </c>
      <c r="AB50" s="21" t="s">
        <v>75</v>
      </c>
      <c r="AC50" s="22"/>
      <c r="AD50" s="22"/>
      <c r="AE50" s="22"/>
      <c r="AF50" s="22"/>
      <c r="AG50" s="22"/>
      <c r="AH50" s="4">
        <f t="shared" si="0"/>
        <v>23</v>
      </c>
      <c r="AI50" s="5">
        <f t="shared" si="1"/>
        <v>18</v>
      </c>
      <c r="AJ50" s="6">
        <f t="shared" si="2"/>
        <v>0</v>
      </c>
      <c r="AK50" s="7">
        <f t="shared" si="3"/>
        <v>0</v>
      </c>
      <c r="AL50" s="7">
        <f t="shared" si="4"/>
        <v>0</v>
      </c>
      <c r="AM50" s="7">
        <f t="shared" si="5"/>
        <v>0</v>
      </c>
      <c r="AN50" s="7">
        <f t="shared" si="6"/>
        <v>0</v>
      </c>
      <c r="AO50" s="8">
        <f t="shared" si="7"/>
        <v>0</v>
      </c>
      <c r="AP50" s="12">
        <f t="shared" si="8"/>
        <v>18</v>
      </c>
      <c r="AQ50" s="23">
        <f t="shared" si="9"/>
        <v>0</v>
      </c>
      <c r="AR50" s="14">
        <f t="shared" si="10"/>
        <v>78.260869565217391</v>
      </c>
    </row>
    <row r="51" spans="1:44" x14ac:dyDescent="0.35">
      <c r="A51" s="15">
        <v>48</v>
      </c>
      <c r="B51" s="3" t="s">
        <v>162</v>
      </c>
      <c r="C51" s="22" t="s">
        <v>81</v>
      </c>
      <c r="D51" s="22" t="s">
        <v>81</v>
      </c>
      <c r="E51" s="22" t="s">
        <v>81</v>
      </c>
      <c r="F51" s="21" t="s">
        <v>75</v>
      </c>
      <c r="G51" s="21" t="s">
        <v>75</v>
      </c>
      <c r="H51" s="22" t="s">
        <v>81</v>
      </c>
      <c r="I51" s="22" t="s">
        <v>81</v>
      </c>
      <c r="J51" s="22" t="s">
        <v>81</v>
      </c>
      <c r="K51" s="22" t="s">
        <v>81</v>
      </c>
      <c r="L51" s="22" t="s">
        <v>81</v>
      </c>
      <c r="M51" s="21" t="s">
        <v>75</v>
      </c>
      <c r="N51" s="21" t="s">
        <v>75</v>
      </c>
      <c r="O51" s="22" t="s">
        <v>81</v>
      </c>
      <c r="P51" s="22" t="s">
        <v>81</v>
      </c>
      <c r="Q51" s="22" t="s">
        <v>81</v>
      </c>
      <c r="R51" s="22" t="s">
        <v>81</v>
      </c>
      <c r="S51" s="22" t="s">
        <v>81</v>
      </c>
      <c r="T51" s="21" t="s">
        <v>75</v>
      </c>
      <c r="U51" s="21" t="s">
        <v>75</v>
      </c>
      <c r="V51" s="22" t="s">
        <v>81</v>
      </c>
      <c r="W51" s="22" t="s">
        <v>81</v>
      </c>
      <c r="X51" s="22" t="s">
        <v>81</v>
      </c>
      <c r="Y51" s="22" t="s">
        <v>81</v>
      </c>
      <c r="Z51" s="22" t="s">
        <v>81</v>
      </c>
      <c r="AA51" s="21" t="s">
        <v>75</v>
      </c>
      <c r="AB51" s="21" t="s">
        <v>75</v>
      </c>
      <c r="AC51" s="22"/>
      <c r="AD51" s="22"/>
      <c r="AE51" s="22"/>
      <c r="AF51" s="22"/>
      <c r="AG51" s="22"/>
      <c r="AH51" s="4">
        <f t="shared" si="0"/>
        <v>23</v>
      </c>
      <c r="AI51" s="5">
        <f t="shared" si="1"/>
        <v>18</v>
      </c>
      <c r="AJ51" s="6">
        <f t="shared" si="2"/>
        <v>0</v>
      </c>
      <c r="AK51" s="7">
        <f t="shared" si="3"/>
        <v>0</v>
      </c>
      <c r="AL51" s="7">
        <f t="shared" si="4"/>
        <v>0</v>
      </c>
      <c r="AM51" s="7">
        <f t="shared" si="5"/>
        <v>0</v>
      </c>
      <c r="AN51" s="7">
        <f t="shared" si="6"/>
        <v>0</v>
      </c>
      <c r="AO51" s="8">
        <f t="shared" si="7"/>
        <v>0</v>
      </c>
      <c r="AP51" s="12">
        <f t="shared" si="8"/>
        <v>18</v>
      </c>
      <c r="AQ51" s="23">
        <f t="shared" si="9"/>
        <v>0</v>
      </c>
      <c r="AR51" s="14">
        <f t="shared" si="10"/>
        <v>78.260869565217391</v>
      </c>
    </row>
    <row r="52" spans="1:44" x14ac:dyDescent="0.35">
      <c r="A52" s="2">
        <v>49</v>
      </c>
      <c r="B52" s="3" t="s">
        <v>163</v>
      </c>
      <c r="C52" s="22" t="s">
        <v>81</v>
      </c>
      <c r="D52" s="22" t="s">
        <v>81</v>
      </c>
      <c r="E52" s="22" t="s">
        <v>81</v>
      </c>
      <c r="F52" s="21" t="s">
        <v>75</v>
      </c>
      <c r="G52" s="21" t="s">
        <v>75</v>
      </c>
      <c r="H52" s="22" t="s">
        <v>81</v>
      </c>
      <c r="I52" s="22" t="s">
        <v>81</v>
      </c>
      <c r="J52" s="22" t="s">
        <v>81</v>
      </c>
      <c r="K52" s="22" t="s">
        <v>81</v>
      </c>
      <c r="L52" s="22" t="s">
        <v>81</v>
      </c>
      <c r="M52" s="21" t="s">
        <v>75</v>
      </c>
      <c r="N52" s="21" t="s">
        <v>75</v>
      </c>
      <c r="O52" s="22" t="s">
        <v>81</v>
      </c>
      <c r="P52" s="22" t="s">
        <v>81</v>
      </c>
      <c r="Q52" s="22" t="s">
        <v>81</v>
      </c>
      <c r="R52" s="22" t="s">
        <v>81</v>
      </c>
      <c r="S52" s="22" t="s">
        <v>81</v>
      </c>
      <c r="T52" s="21" t="s">
        <v>75</v>
      </c>
      <c r="U52" s="21" t="s">
        <v>75</v>
      </c>
      <c r="V52" s="22" t="s">
        <v>81</v>
      </c>
      <c r="W52" s="22" t="s">
        <v>81</v>
      </c>
      <c r="X52" s="22" t="s">
        <v>81</v>
      </c>
      <c r="Y52" s="22" t="s">
        <v>81</v>
      </c>
      <c r="Z52" s="22" t="s">
        <v>81</v>
      </c>
      <c r="AA52" s="21" t="s">
        <v>75</v>
      </c>
      <c r="AB52" s="21" t="s">
        <v>75</v>
      </c>
      <c r="AC52" s="22"/>
      <c r="AD52" s="22"/>
      <c r="AE52" s="22"/>
      <c r="AF52" s="22"/>
      <c r="AG52" s="22"/>
      <c r="AH52" s="4">
        <f t="shared" si="0"/>
        <v>23</v>
      </c>
      <c r="AI52" s="5">
        <f t="shared" si="1"/>
        <v>18</v>
      </c>
      <c r="AJ52" s="6">
        <f t="shared" si="2"/>
        <v>0</v>
      </c>
      <c r="AK52" s="7">
        <f t="shared" si="3"/>
        <v>0</v>
      </c>
      <c r="AL52" s="7">
        <f t="shared" si="4"/>
        <v>0</v>
      </c>
      <c r="AM52" s="7">
        <f t="shared" si="5"/>
        <v>0</v>
      </c>
      <c r="AN52" s="7">
        <f t="shared" si="6"/>
        <v>0</v>
      </c>
      <c r="AO52" s="8">
        <f t="shared" si="7"/>
        <v>0</v>
      </c>
      <c r="AP52" s="12">
        <f t="shared" si="8"/>
        <v>18</v>
      </c>
      <c r="AQ52" s="23">
        <f t="shared" si="9"/>
        <v>0</v>
      </c>
      <c r="AR52" s="14">
        <f t="shared" si="10"/>
        <v>78.260869565217391</v>
      </c>
    </row>
    <row r="53" spans="1:44" x14ac:dyDescent="0.35">
      <c r="A53" s="15">
        <v>50</v>
      </c>
      <c r="B53" s="3" t="s">
        <v>164</v>
      </c>
      <c r="C53" s="22" t="s">
        <v>81</v>
      </c>
      <c r="D53" s="22" t="s">
        <v>81</v>
      </c>
      <c r="E53" s="22" t="s">
        <v>81</v>
      </c>
      <c r="F53" s="21" t="s">
        <v>75</v>
      </c>
      <c r="G53" s="21" t="s">
        <v>75</v>
      </c>
      <c r="H53" s="22" t="s">
        <v>81</v>
      </c>
      <c r="I53" s="22" t="s">
        <v>81</v>
      </c>
      <c r="J53" s="22" t="s">
        <v>81</v>
      </c>
      <c r="K53" s="22" t="s">
        <v>81</v>
      </c>
      <c r="L53" s="22" t="s">
        <v>81</v>
      </c>
      <c r="M53" s="21" t="s">
        <v>75</v>
      </c>
      <c r="N53" s="21" t="s">
        <v>75</v>
      </c>
      <c r="O53" s="22" t="s">
        <v>81</v>
      </c>
      <c r="P53" s="22" t="s">
        <v>81</v>
      </c>
      <c r="Q53" s="22" t="s">
        <v>81</v>
      </c>
      <c r="R53" s="22" t="s">
        <v>81</v>
      </c>
      <c r="S53" s="22" t="s">
        <v>81</v>
      </c>
      <c r="T53" s="21" t="s">
        <v>75</v>
      </c>
      <c r="U53" s="21" t="s">
        <v>75</v>
      </c>
      <c r="V53" s="22" t="s">
        <v>81</v>
      </c>
      <c r="W53" s="22" t="s">
        <v>81</v>
      </c>
      <c r="X53" s="22" t="s">
        <v>81</v>
      </c>
      <c r="Y53" s="22" t="s">
        <v>81</v>
      </c>
      <c r="Z53" s="22" t="s">
        <v>81</v>
      </c>
      <c r="AA53" s="21" t="s">
        <v>75</v>
      </c>
      <c r="AB53" s="21" t="s">
        <v>75</v>
      </c>
      <c r="AC53" s="22"/>
      <c r="AD53" s="22"/>
      <c r="AE53" s="22"/>
      <c r="AF53" s="22"/>
      <c r="AG53" s="22"/>
      <c r="AH53" s="4">
        <f t="shared" si="0"/>
        <v>23</v>
      </c>
      <c r="AI53" s="5">
        <f t="shared" si="1"/>
        <v>18</v>
      </c>
      <c r="AJ53" s="6">
        <f t="shared" si="2"/>
        <v>0</v>
      </c>
      <c r="AK53" s="7">
        <f t="shared" si="3"/>
        <v>0</v>
      </c>
      <c r="AL53" s="7">
        <f t="shared" si="4"/>
        <v>0</v>
      </c>
      <c r="AM53" s="7">
        <f t="shared" si="5"/>
        <v>0</v>
      </c>
      <c r="AN53" s="7">
        <f t="shared" si="6"/>
        <v>0</v>
      </c>
      <c r="AO53" s="8">
        <f t="shared" si="7"/>
        <v>0</v>
      </c>
      <c r="AP53" s="12">
        <f t="shared" si="8"/>
        <v>18</v>
      </c>
      <c r="AQ53" s="23">
        <f t="shared" si="9"/>
        <v>0</v>
      </c>
      <c r="AR53" s="14">
        <f t="shared" si="10"/>
        <v>78.260869565217391</v>
      </c>
    </row>
    <row r="54" spans="1:44" x14ac:dyDescent="0.35">
      <c r="A54" s="2">
        <v>51</v>
      </c>
      <c r="B54" s="3" t="s">
        <v>165</v>
      </c>
      <c r="C54" s="22" t="s">
        <v>81</v>
      </c>
      <c r="D54" s="22" t="s">
        <v>81</v>
      </c>
      <c r="E54" s="22" t="s">
        <v>81</v>
      </c>
      <c r="F54" s="21" t="s">
        <v>75</v>
      </c>
      <c r="G54" s="21" t="s">
        <v>75</v>
      </c>
      <c r="H54" s="22" t="s">
        <v>81</v>
      </c>
      <c r="I54" s="22" t="s">
        <v>81</v>
      </c>
      <c r="J54" s="22" t="s">
        <v>81</v>
      </c>
      <c r="K54" s="22" t="s">
        <v>81</v>
      </c>
      <c r="L54" s="22" t="s">
        <v>81</v>
      </c>
      <c r="M54" s="21" t="s">
        <v>75</v>
      </c>
      <c r="N54" s="21" t="s">
        <v>75</v>
      </c>
      <c r="O54" s="22" t="s">
        <v>81</v>
      </c>
      <c r="P54" s="22" t="s">
        <v>81</v>
      </c>
      <c r="Q54" s="22" t="s">
        <v>81</v>
      </c>
      <c r="R54" s="22" t="s">
        <v>81</v>
      </c>
      <c r="S54" s="22" t="s">
        <v>81</v>
      </c>
      <c r="T54" s="21" t="s">
        <v>75</v>
      </c>
      <c r="U54" s="21" t="s">
        <v>75</v>
      </c>
      <c r="V54" s="22" t="s">
        <v>81</v>
      </c>
      <c r="W54" s="22" t="s">
        <v>81</v>
      </c>
      <c r="X54" s="22" t="s">
        <v>81</v>
      </c>
      <c r="Y54" s="22" t="s">
        <v>81</v>
      </c>
      <c r="Z54" s="22" t="s">
        <v>81</v>
      </c>
      <c r="AA54" s="21" t="s">
        <v>75</v>
      </c>
      <c r="AB54" s="21" t="s">
        <v>75</v>
      </c>
      <c r="AC54" s="22"/>
      <c r="AD54" s="22"/>
      <c r="AE54" s="22"/>
      <c r="AF54" s="22"/>
      <c r="AG54" s="22"/>
      <c r="AH54" s="4">
        <f t="shared" si="0"/>
        <v>23</v>
      </c>
      <c r="AI54" s="5">
        <f t="shared" si="1"/>
        <v>18</v>
      </c>
      <c r="AJ54" s="6">
        <f t="shared" si="2"/>
        <v>0</v>
      </c>
      <c r="AK54" s="7">
        <f t="shared" si="3"/>
        <v>0</v>
      </c>
      <c r="AL54" s="7">
        <f t="shared" si="4"/>
        <v>0</v>
      </c>
      <c r="AM54" s="7">
        <f t="shared" si="5"/>
        <v>0</v>
      </c>
      <c r="AN54" s="7">
        <f t="shared" si="6"/>
        <v>0</v>
      </c>
      <c r="AO54" s="8">
        <f t="shared" si="7"/>
        <v>0</v>
      </c>
      <c r="AP54" s="12">
        <f t="shared" si="8"/>
        <v>18</v>
      </c>
      <c r="AQ54" s="23">
        <f t="shared" si="9"/>
        <v>0</v>
      </c>
      <c r="AR54" s="14">
        <f t="shared" si="10"/>
        <v>78.260869565217391</v>
      </c>
    </row>
    <row r="55" spans="1:44" x14ac:dyDescent="0.35">
      <c r="A55" s="15">
        <v>52</v>
      </c>
      <c r="B55" s="3" t="s">
        <v>167</v>
      </c>
      <c r="C55" s="22" t="s">
        <v>81</v>
      </c>
      <c r="D55" s="22" t="s">
        <v>81</v>
      </c>
      <c r="E55" s="22" t="s">
        <v>81</v>
      </c>
      <c r="F55" s="21" t="s">
        <v>75</v>
      </c>
      <c r="G55" s="21" t="s">
        <v>75</v>
      </c>
      <c r="H55" s="22" t="s">
        <v>81</v>
      </c>
      <c r="I55" s="22" t="s">
        <v>81</v>
      </c>
      <c r="J55" s="22" t="s">
        <v>81</v>
      </c>
      <c r="K55" s="22" t="s">
        <v>81</v>
      </c>
      <c r="L55" s="22" t="s">
        <v>81</v>
      </c>
      <c r="M55" s="21" t="s">
        <v>75</v>
      </c>
      <c r="N55" s="21" t="s">
        <v>75</v>
      </c>
      <c r="O55" s="22" t="s">
        <v>81</v>
      </c>
      <c r="P55" s="22" t="s">
        <v>81</v>
      </c>
      <c r="Q55" s="22" t="s">
        <v>81</v>
      </c>
      <c r="R55" s="22" t="s">
        <v>81</v>
      </c>
      <c r="S55" s="22" t="s">
        <v>81</v>
      </c>
      <c r="T55" s="21" t="s">
        <v>75</v>
      </c>
      <c r="U55" s="21" t="s">
        <v>75</v>
      </c>
      <c r="V55" s="22" t="s">
        <v>81</v>
      </c>
      <c r="W55" s="22" t="s">
        <v>81</v>
      </c>
      <c r="X55" s="22" t="s">
        <v>81</v>
      </c>
      <c r="Y55" s="22" t="s">
        <v>81</v>
      </c>
      <c r="Z55" s="22" t="s">
        <v>81</v>
      </c>
      <c r="AA55" s="21" t="s">
        <v>75</v>
      </c>
      <c r="AB55" s="21" t="s">
        <v>75</v>
      </c>
      <c r="AC55" s="22"/>
      <c r="AD55" s="22"/>
      <c r="AE55" s="22"/>
      <c r="AF55" s="22"/>
      <c r="AG55" s="22"/>
      <c r="AH55" s="4">
        <f t="shared" si="0"/>
        <v>23</v>
      </c>
      <c r="AI55" s="5">
        <f t="shared" si="1"/>
        <v>18</v>
      </c>
      <c r="AJ55" s="6">
        <f t="shared" si="2"/>
        <v>0</v>
      </c>
      <c r="AK55" s="7">
        <f t="shared" si="3"/>
        <v>0</v>
      </c>
      <c r="AL55" s="7">
        <f t="shared" si="4"/>
        <v>0</v>
      </c>
      <c r="AM55" s="7">
        <f t="shared" si="5"/>
        <v>0</v>
      </c>
      <c r="AN55" s="7">
        <f t="shared" si="6"/>
        <v>0</v>
      </c>
      <c r="AO55" s="8">
        <f t="shared" si="7"/>
        <v>0</v>
      </c>
      <c r="AP55" s="12">
        <f t="shared" si="8"/>
        <v>18</v>
      </c>
      <c r="AQ55" s="23">
        <f t="shared" si="9"/>
        <v>0</v>
      </c>
      <c r="AR55" s="14">
        <f t="shared" si="10"/>
        <v>78.260869565217391</v>
      </c>
    </row>
    <row r="56" spans="1:44" x14ac:dyDescent="0.35">
      <c r="A56" s="2">
        <v>53</v>
      </c>
      <c r="B56" s="3" t="s">
        <v>168</v>
      </c>
      <c r="C56" s="22" t="s">
        <v>81</v>
      </c>
      <c r="D56" s="22" t="s">
        <v>81</v>
      </c>
      <c r="E56" s="22" t="s">
        <v>81</v>
      </c>
      <c r="F56" s="21" t="s">
        <v>75</v>
      </c>
      <c r="G56" s="21" t="s">
        <v>75</v>
      </c>
      <c r="H56" s="22" t="s">
        <v>81</v>
      </c>
      <c r="I56" s="22" t="s">
        <v>81</v>
      </c>
      <c r="J56" s="22" t="s">
        <v>81</v>
      </c>
      <c r="K56" s="22" t="s">
        <v>81</v>
      </c>
      <c r="L56" s="22" t="s">
        <v>81</v>
      </c>
      <c r="M56" s="21" t="s">
        <v>75</v>
      </c>
      <c r="N56" s="21" t="s">
        <v>75</v>
      </c>
      <c r="O56" s="22" t="s">
        <v>81</v>
      </c>
      <c r="P56" s="22" t="s">
        <v>81</v>
      </c>
      <c r="Q56" s="22" t="s">
        <v>81</v>
      </c>
      <c r="R56" s="22" t="s">
        <v>81</v>
      </c>
      <c r="S56" s="22" t="s">
        <v>81</v>
      </c>
      <c r="T56" s="21" t="s">
        <v>75</v>
      </c>
      <c r="U56" s="21" t="s">
        <v>75</v>
      </c>
      <c r="V56" s="22" t="s">
        <v>81</v>
      </c>
      <c r="W56" s="22" t="s">
        <v>81</v>
      </c>
      <c r="X56" s="22" t="s">
        <v>81</v>
      </c>
      <c r="Y56" s="22" t="s">
        <v>81</v>
      </c>
      <c r="Z56" s="22" t="s">
        <v>81</v>
      </c>
      <c r="AA56" s="21" t="s">
        <v>75</v>
      </c>
      <c r="AB56" s="21" t="s">
        <v>75</v>
      </c>
      <c r="AC56" s="22"/>
      <c r="AD56" s="22"/>
      <c r="AE56" s="22"/>
      <c r="AF56" s="22"/>
      <c r="AG56" s="22"/>
      <c r="AH56" s="4">
        <f t="shared" si="0"/>
        <v>23</v>
      </c>
      <c r="AI56" s="5">
        <f t="shared" si="1"/>
        <v>18</v>
      </c>
      <c r="AJ56" s="6">
        <f t="shared" si="2"/>
        <v>0</v>
      </c>
      <c r="AK56" s="7">
        <f t="shared" si="3"/>
        <v>0</v>
      </c>
      <c r="AL56" s="7">
        <f t="shared" si="4"/>
        <v>0</v>
      </c>
      <c r="AM56" s="7">
        <f t="shared" si="5"/>
        <v>0</v>
      </c>
      <c r="AN56" s="7">
        <f t="shared" si="6"/>
        <v>0</v>
      </c>
      <c r="AO56" s="8">
        <f t="shared" si="7"/>
        <v>0</v>
      </c>
      <c r="AP56" s="12">
        <f t="shared" si="8"/>
        <v>18</v>
      </c>
      <c r="AQ56" s="23">
        <f t="shared" si="9"/>
        <v>0</v>
      </c>
      <c r="AR56" s="14">
        <f t="shared" si="10"/>
        <v>78.260869565217391</v>
      </c>
    </row>
    <row r="57" spans="1:44" x14ac:dyDescent="0.35">
      <c r="A57" s="15">
        <v>54</v>
      </c>
      <c r="B57" s="3" t="s">
        <v>169</v>
      </c>
      <c r="C57" s="22" t="s">
        <v>81</v>
      </c>
      <c r="D57" s="22" t="s">
        <v>81</v>
      </c>
      <c r="E57" s="22" t="s">
        <v>81</v>
      </c>
      <c r="F57" s="21" t="s">
        <v>75</v>
      </c>
      <c r="G57" s="21" t="s">
        <v>75</v>
      </c>
      <c r="H57" s="22" t="s">
        <v>81</v>
      </c>
      <c r="I57" s="22" t="s">
        <v>81</v>
      </c>
      <c r="J57" s="22" t="s">
        <v>81</v>
      </c>
      <c r="K57" s="22" t="s">
        <v>81</v>
      </c>
      <c r="L57" s="22" t="s">
        <v>81</v>
      </c>
      <c r="M57" s="21" t="s">
        <v>75</v>
      </c>
      <c r="N57" s="21" t="s">
        <v>75</v>
      </c>
      <c r="O57" s="22" t="s">
        <v>81</v>
      </c>
      <c r="P57" s="22" t="s">
        <v>81</v>
      </c>
      <c r="Q57" s="22" t="s">
        <v>81</v>
      </c>
      <c r="R57" s="22" t="s">
        <v>81</v>
      </c>
      <c r="S57" s="22" t="s">
        <v>81</v>
      </c>
      <c r="T57" s="21" t="s">
        <v>75</v>
      </c>
      <c r="U57" s="21" t="s">
        <v>75</v>
      </c>
      <c r="V57" s="22" t="s">
        <v>81</v>
      </c>
      <c r="W57" s="22" t="s">
        <v>81</v>
      </c>
      <c r="X57" s="22" t="s">
        <v>81</v>
      </c>
      <c r="Y57" s="22" t="s">
        <v>81</v>
      </c>
      <c r="Z57" s="22" t="s">
        <v>81</v>
      </c>
      <c r="AA57" s="21" t="s">
        <v>75</v>
      </c>
      <c r="AB57" s="21" t="s">
        <v>75</v>
      </c>
      <c r="AC57" s="22"/>
      <c r="AD57" s="22"/>
      <c r="AE57" s="22"/>
      <c r="AF57" s="22"/>
      <c r="AG57" s="22"/>
      <c r="AH57" s="4">
        <f t="shared" si="0"/>
        <v>23</v>
      </c>
      <c r="AI57" s="5">
        <f t="shared" si="1"/>
        <v>18</v>
      </c>
      <c r="AJ57" s="6">
        <f t="shared" si="2"/>
        <v>0</v>
      </c>
      <c r="AK57" s="7">
        <f t="shared" si="3"/>
        <v>0</v>
      </c>
      <c r="AL57" s="7">
        <f t="shared" si="4"/>
        <v>0</v>
      </c>
      <c r="AM57" s="7">
        <f t="shared" si="5"/>
        <v>0</v>
      </c>
      <c r="AN57" s="7">
        <f t="shared" si="6"/>
        <v>0</v>
      </c>
      <c r="AO57" s="8">
        <f t="shared" si="7"/>
        <v>0</v>
      </c>
      <c r="AP57" s="12">
        <f t="shared" si="8"/>
        <v>18</v>
      </c>
      <c r="AQ57" s="23">
        <f t="shared" si="9"/>
        <v>0</v>
      </c>
      <c r="AR57" s="14">
        <f t="shared" si="10"/>
        <v>78.260869565217391</v>
      </c>
    </row>
    <row r="58" spans="1:44" x14ac:dyDescent="0.35">
      <c r="A58" s="2">
        <v>55</v>
      </c>
      <c r="B58" s="3" t="s">
        <v>170</v>
      </c>
      <c r="C58" s="22" t="s">
        <v>81</v>
      </c>
      <c r="D58" s="22" t="s">
        <v>81</v>
      </c>
      <c r="E58" s="22" t="s">
        <v>81</v>
      </c>
      <c r="F58" s="21" t="s">
        <v>75</v>
      </c>
      <c r="G58" s="21" t="s">
        <v>75</v>
      </c>
      <c r="H58" s="22" t="s">
        <v>81</v>
      </c>
      <c r="I58" s="22" t="s">
        <v>81</v>
      </c>
      <c r="J58" s="22" t="s">
        <v>81</v>
      </c>
      <c r="K58" s="22" t="s">
        <v>81</v>
      </c>
      <c r="L58" s="22" t="s">
        <v>81</v>
      </c>
      <c r="M58" s="21" t="s">
        <v>75</v>
      </c>
      <c r="N58" s="21" t="s">
        <v>75</v>
      </c>
      <c r="O58" s="22" t="s">
        <v>81</v>
      </c>
      <c r="P58" s="22" t="s">
        <v>81</v>
      </c>
      <c r="Q58" s="22" t="s">
        <v>81</v>
      </c>
      <c r="R58" s="40" t="s">
        <v>19</v>
      </c>
      <c r="S58" s="22" t="s">
        <v>81</v>
      </c>
      <c r="T58" s="21" t="s">
        <v>75</v>
      </c>
      <c r="U58" s="21" t="s">
        <v>75</v>
      </c>
      <c r="V58" s="22" t="s">
        <v>81</v>
      </c>
      <c r="W58" s="22" t="s">
        <v>81</v>
      </c>
      <c r="X58" s="22" t="s">
        <v>81</v>
      </c>
      <c r="Y58" s="22" t="s">
        <v>81</v>
      </c>
      <c r="Z58" s="22" t="s">
        <v>81</v>
      </c>
      <c r="AA58" s="21" t="s">
        <v>75</v>
      </c>
      <c r="AB58" s="21" t="s">
        <v>75</v>
      </c>
      <c r="AC58" s="22"/>
      <c r="AD58" s="22"/>
      <c r="AE58" s="22"/>
      <c r="AF58" s="22"/>
      <c r="AG58" s="22"/>
      <c r="AH58" s="4">
        <f t="shared" si="0"/>
        <v>23</v>
      </c>
      <c r="AI58" s="5">
        <f t="shared" si="1"/>
        <v>17</v>
      </c>
      <c r="AJ58" s="6">
        <f t="shared" si="2"/>
        <v>0</v>
      </c>
      <c r="AK58" s="7">
        <f t="shared" si="3"/>
        <v>0</v>
      </c>
      <c r="AL58" s="7">
        <f t="shared" si="4"/>
        <v>0</v>
      </c>
      <c r="AM58" s="7">
        <f t="shared" si="5"/>
        <v>0</v>
      </c>
      <c r="AN58" s="7">
        <f t="shared" si="6"/>
        <v>1</v>
      </c>
      <c r="AO58" s="8">
        <f t="shared" si="7"/>
        <v>0</v>
      </c>
      <c r="AP58" s="12">
        <f t="shared" si="8"/>
        <v>18</v>
      </c>
      <c r="AQ58" s="23">
        <f t="shared" si="9"/>
        <v>0</v>
      </c>
      <c r="AR58" s="14">
        <f t="shared" si="10"/>
        <v>78.260869565217391</v>
      </c>
    </row>
    <row r="59" spans="1:44" x14ac:dyDescent="0.35">
      <c r="A59" s="15">
        <v>56</v>
      </c>
      <c r="B59" s="3" t="s">
        <v>171</v>
      </c>
      <c r="C59" s="22" t="s">
        <v>81</v>
      </c>
      <c r="D59" s="22" t="s">
        <v>81</v>
      </c>
      <c r="E59" s="22" t="s">
        <v>81</v>
      </c>
      <c r="F59" s="21" t="s">
        <v>75</v>
      </c>
      <c r="G59" s="21" t="s">
        <v>75</v>
      </c>
      <c r="H59" s="22" t="s">
        <v>81</v>
      </c>
      <c r="I59" s="40" t="s">
        <v>91</v>
      </c>
      <c r="J59" s="22" t="s">
        <v>81</v>
      </c>
      <c r="K59" s="22" t="s">
        <v>81</v>
      </c>
      <c r="L59" s="22" t="s">
        <v>81</v>
      </c>
      <c r="M59" s="21" t="s">
        <v>75</v>
      </c>
      <c r="N59" s="21" t="s">
        <v>75</v>
      </c>
      <c r="O59" s="22" t="s">
        <v>81</v>
      </c>
      <c r="P59" s="22" t="s">
        <v>81</v>
      </c>
      <c r="Q59" s="22" t="s">
        <v>81</v>
      </c>
      <c r="R59" s="22" t="s">
        <v>81</v>
      </c>
      <c r="S59" s="22" t="s">
        <v>81</v>
      </c>
      <c r="T59" s="21" t="s">
        <v>75</v>
      </c>
      <c r="U59" s="21" t="s">
        <v>75</v>
      </c>
      <c r="V59" s="22" t="s">
        <v>81</v>
      </c>
      <c r="W59" s="22" t="s">
        <v>81</v>
      </c>
      <c r="X59" s="22" t="s">
        <v>81</v>
      </c>
      <c r="Y59" s="22" t="s">
        <v>81</v>
      </c>
      <c r="Z59" s="22" t="s">
        <v>81</v>
      </c>
      <c r="AA59" s="21" t="s">
        <v>75</v>
      </c>
      <c r="AB59" s="21" t="s">
        <v>75</v>
      </c>
      <c r="AC59" s="22"/>
      <c r="AD59" s="22"/>
      <c r="AE59" s="22"/>
      <c r="AF59" s="22"/>
      <c r="AG59" s="22"/>
      <c r="AH59" s="4">
        <f t="shared" si="0"/>
        <v>23</v>
      </c>
      <c r="AI59" s="5">
        <f t="shared" si="1"/>
        <v>17</v>
      </c>
      <c r="AJ59" s="6">
        <f t="shared" si="2"/>
        <v>0</v>
      </c>
      <c r="AK59" s="7">
        <f t="shared" si="3"/>
        <v>1</v>
      </c>
      <c r="AL59" s="7">
        <f t="shared" si="4"/>
        <v>0</v>
      </c>
      <c r="AM59" s="7">
        <f t="shared" si="5"/>
        <v>0</v>
      </c>
      <c r="AN59" s="7">
        <f t="shared" si="6"/>
        <v>0</v>
      </c>
      <c r="AO59" s="8">
        <f t="shared" si="7"/>
        <v>0</v>
      </c>
      <c r="AP59" s="12">
        <f t="shared" si="8"/>
        <v>17.5</v>
      </c>
      <c r="AQ59" s="23">
        <f t="shared" si="9"/>
        <v>0</v>
      </c>
      <c r="AR59" s="14">
        <f t="shared" si="10"/>
        <v>76.08695652173914</v>
      </c>
    </row>
    <row r="60" spans="1:44" x14ac:dyDescent="0.35">
      <c r="A60" s="2">
        <v>57</v>
      </c>
      <c r="B60" s="3" t="s">
        <v>172</v>
      </c>
      <c r="C60" s="22" t="s">
        <v>81</v>
      </c>
      <c r="D60" s="22" t="s">
        <v>81</v>
      </c>
      <c r="E60" s="22" t="s">
        <v>81</v>
      </c>
      <c r="F60" s="21" t="s">
        <v>75</v>
      </c>
      <c r="G60" s="21" t="s">
        <v>75</v>
      </c>
      <c r="H60" s="22" t="s">
        <v>81</v>
      </c>
      <c r="I60" s="22" t="s">
        <v>81</v>
      </c>
      <c r="J60" s="22" t="s">
        <v>81</v>
      </c>
      <c r="K60" s="22" t="s">
        <v>81</v>
      </c>
      <c r="L60" s="22" t="s">
        <v>81</v>
      </c>
      <c r="M60" s="21" t="s">
        <v>75</v>
      </c>
      <c r="N60" s="21" t="s">
        <v>75</v>
      </c>
      <c r="O60" s="22" t="s">
        <v>81</v>
      </c>
      <c r="P60" s="22" t="s">
        <v>81</v>
      </c>
      <c r="Q60" s="22" t="s">
        <v>81</v>
      </c>
      <c r="R60" s="22" t="s">
        <v>81</v>
      </c>
      <c r="S60" s="22" t="s">
        <v>81</v>
      </c>
      <c r="T60" s="21" t="s">
        <v>75</v>
      </c>
      <c r="U60" s="21" t="s">
        <v>75</v>
      </c>
      <c r="V60" s="22" t="s">
        <v>81</v>
      </c>
      <c r="W60" s="22" t="s">
        <v>81</v>
      </c>
      <c r="X60" s="22" t="s">
        <v>81</v>
      </c>
      <c r="Y60" s="22" t="s">
        <v>81</v>
      </c>
      <c r="Z60" s="22" t="s">
        <v>81</v>
      </c>
      <c r="AA60" s="21" t="s">
        <v>75</v>
      </c>
      <c r="AB60" s="21" t="s">
        <v>75</v>
      </c>
      <c r="AC60" s="22"/>
      <c r="AD60" s="22"/>
      <c r="AE60" s="22"/>
      <c r="AF60" s="22"/>
      <c r="AG60" s="22"/>
      <c r="AH60" s="4">
        <f t="shared" si="0"/>
        <v>23</v>
      </c>
      <c r="AI60" s="5">
        <f t="shared" si="1"/>
        <v>18</v>
      </c>
      <c r="AJ60" s="6">
        <f t="shared" si="2"/>
        <v>0</v>
      </c>
      <c r="AK60" s="7">
        <f t="shared" si="3"/>
        <v>0</v>
      </c>
      <c r="AL60" s="7">
        <f t="shared" si="4"/>
        <v>0</v>
      </c>
      <c r="AM60" s="7">
        <f t="shared" si="5"/>
        <v>0</v>
      </c>
      <c r="AN60" s="7">
        <f t="shared" si="6"/>
        <v>0</v>
      </c>
      <c r="AO60" s="8">
        <f t="shared" si="7"/>
        <v>0</v>
      </c>
      <c r="AP60" s="12">
        <f t="shared" si="8"/>
        <v>18</v>
      </c>
      <c r="AQ60" s="23">
        <f t="shared" si="9"/>
        <v>0</v>
      </c>
      <c r="AR60" s="14">
        <f t="shared" si="10"/>
        <v>78.260869565217391</v>
      </c>
    </row>
    <row r="61" spans="1:44" x14ac:dyDescent="0.35">
      <c r="A61" s="15">
        <v>58</v>
      </c>
      <c r="B61" s="3" t="s">
        <v>173</v>
      </c>
      <c r="C61" s="22" t="s">
        <v>81</v>
      </c>
      <c r="D61" s="22" t="s">
        <v>81</v>
      </c>
      <c r="E61" s="22" t="s">
        <v>81</v>
      </c>
      <c r="F61" s="21" t="s">
        <v>75</v>
      </c>
      <c r="G61" s="21" t="s">
        <v>75</v>
      </c>
      <c r="H61" s="22" t="s">
        <v>81</v>
      </c>
      <c r="I61" s="22" t="s">
        <v>81</v>
      </c>
      <c r="J61" s="22" t="s">
        <v>81</v>
      </c>
      <c r="K61" s="22" t="s">
        <v>81</v>
      </c>
      <c r="L61" s="22" t="s">
        <v>81</v>
      </c>
      <c r="M61" s="21" t="s">
        <v>75</v>
      </c>
      <c r="N61" s="21" t="s">
        <v>75</v>
      </c>
      <c r="O61" s="22" t="s">
        <v>81</v>
      </c>
      <c r="P61" s="22" t="s">
        <v>81</v>
      </c>
      <c r="Q61" s="22" t="s">
        <v>81</v>
      </c>
      <c r="R61" s="22" t="s">
        <v>81</v>
      </c>
      <c r="S61" s="22" t="s">
        <v>81</v>
      </c>
      <c r="T61" s="21" t="s">
        <v>75</v>
      </c>
      <c r="U61" s="21" t="s">
        <v>75</v>
      </c>
      <c r="V61" s="22" t="s">
        <v>81</v>
      </c>
      <c r="W61" s="22" t="s">
        <v>81</v>
      </c>
      <c r="X61" s="22" t="s">
        <v>81</v>
      </c>
      <c r="Y61" s="22" t="s">
        <v>81</v>
      </c>
      <c r="Z61" s="22" t="s">
        <v>81</v>
      </c>
      <c r="AA61" s="21" t="s">
        <v>75</v>
      </c>
      <c r="AB61" s="21" t="s">
        <v>75</v>
      </c>
      <c r="AC61" s="22"/>
      <c r="AD61" s="22"/>
      <c r="AE61" s="22"/>
      <c r="AF61" s="22"/>
      <c r="AG61" s="22"/>
      <c r="AH61" s="4">
        <f t="shared" si="0"/>
        <v>23</v>
      </c>
      <c r="AI61" s="5">
        <f t="shared" si="1"/>
        <v>18</v>
      </c>
      <c r="AJ61" s="6">
        <f t="shared" si="2"/>
        <v>0</v>
      </c>
      <c r="AK61" s="7">
        <f t="shared" si="3"/>
        <v>0</v>
      </c>
      <c r="AL61" s="7">
        <f t="shared" si="4"/>
        <v>0</v>
      </c>
      <c r="AM61" s="7">
        <f t="shared" si="5"/>
        <v>0</v>
      </c>
      <c r="AN61" s="7">
        <f t="shared" si="6"/>
        <v>0</v>
      </c>
      <c r="AO61" s="8">
        <f t="shared" si="7"/>
        <v>0</v>
      </c>
      <c r="AP61" s="12">
        <f t="shared" si="8"/>
        <v>18</v>
      </c>
      <c r="AQ61" s="23">
        <f t="shared" si="9"/>
        <v>0</v>
      </c>
      <c r="AR61" s="14">
        <f t="shared" si="10"/>
        <v>78.260869565217391</v>
      </c>
    </row>
    <row r="62" spans="1:44" x14ac:dyDescent="0.35">
      <c r="A62" s="2">
        <v>59</v>
      </c>
      <c r="B62" s="3" t="s">
        <v>174</v>
      </c>
      <c r="C62" s="22" t="s">
        <v>81</v>
      </c>
      <c r="D62" s="22" t="s">
        <v>81</v>
      </c>
      <c r="E62" s="22" t="s">
        <v>81</v>
      </c>
      <c r="F62" s="21" t="s">
        <v>75</v>
      </c>
      <c r="G62" s="21" t="s">
        <v>75</v>
      </c>
      <c r="H62" s="22" t="s">
        <v>81</v>
      </c>
      <c r="I62" s="22" t="s">
        <v>81</v>
      </c>
      <c r="J62" s="22" t="s">
        <v>81</v>
      </c>
      <c r="K62" s="22" t="s">
        <v>81</v>
      </c>
      <c r="L62" s="22" t="s">
        <v>81</v>
      </c>
      <c r="M62" s="21" t="s">
        <v>75</v>
      </c>
      <c r="N62" s="21" t="s">
        <v>75</v>
      </c>
      <c r="O62" s="22" t="s">
        <v>81</v>
      </c>
      <c r="P62" s="22" t="s">
        <v>81</v>
      </c>
      <c r="Q62" s="22" t="s">
        <v>81</v>
      </c>
      <c r="R62" s="22" t="s">
        <v>81</v>
      </c>
      <c r="S62" s="22" t="s">
        <v>81</v>
      </c>
      <c r="T62" s="21" t="s">
        <v>75</v>
      </c>
      <c r="U62" s="21" t="s">
        <v>75</v>
      </c>
      <c r="V62" s="22" t="s">
        <v>81</v>
      </c>
      <c r="W62" s="22" t="s">
        <v>81</v>
      </c>
      <c r="X62" s="22" t="s">
        <v>81</v>
      </c>
      <c r="Y62" s="22" t="s">
        <v>81</v>
      </c>
      <c r="Z62" s="22" t="s">
        <v>81</v>
      </c>
      <c r="AA62" s="21" t="s">
        <v>75</v>
      </c>
      <c r="AB62" s="21" t="s">
        <v>75</v>
      </c>
      <c r="AC62" s="22"/>
      <c r="AD62" s="22"/>
      <c r="AE62" s="22"/>
      <c r="AF62" s="22"/>
      <c r="AG62" s="22"/>
      <c r="AH62" s="4">
        <f t="shared" si="0"/>
        <v>23</v>
      </c>
      <c r="AI62" s="5">
        <f t="shared" si="1"/>
        <v>18</v>
      </c>
      <c r="AJ62" s="6">
        <f t="shared" si="2"/>
        <v>0</v>
      </c>
      <c r="AK62" s="7">
        <f t="shared" si="3"/>
        <v>0</v>
      </c>
      <c r="AL62" s="7">
        <f t="shared" si="4"/>
        <v>0</v>
      </c>
      <c r="AM62" s="7">
        <f t="shared" si="5"/>
        <v>0</v>
      </c>
      <c r="AN62" s="7">
        <f t="shared" si="6"/>
        <v>0</v>
      </c>
      <c r="AO62" s="8">
        <f t="shared" si="7"/>
        <v>0</v>
      </c>
      <c r="AP62" s="12">
        <f t="shared" si="8"/>
        <v>18</v>
      </c>
      <c r="AQ62" s="23">
        <f t="shared" si="9"/>
        <v>0</v>
      </c>
      <c r="AR62" s="14">
        <f t="shared" si="10"/>
        <v>78.260869565217391</v>
      </c>
    </row>
    <row r="63" spans="1:44" x14ac:dyDescent="0.35">
      <c r="A63" s="15">
        <v>60</v>
      </c>
      <c r="B63" s="3" t="s">
        <v>175</v>
      </c>
      <c r="C63" s="22" t="s">
        <v>81</v>
      </c>
      <c r="D63" s="22" t="s">
        <v>81</v>
      </c>
      <c r="E63" s="22" t="s">
        <v>81</v>
      </c>
      <c r="F63" s="21" t="s">
        <v>75</v>
      </c>
      <c r="G63" s="21" t="s">
        <v>75</v>
      </c>
      <c r="H63" s="22" t="s">
        <v>81</v>
      </c>
      <c r="I63" s="22" t="s">
        <v>81</v>
      </c>
      <c r="J63" s="22" t="s">
        <v>81</v>
      </c>
      <c r="K63" s="22" t="s">
        <v>81</v>
      </c>
      <c r="L63" s="22" t="s">
        <v>81</v>
      </c>
      <c r="M63" s="21" t="s">
        <v>75</v>
      </c>
      <c r="N63" s="21" t="s">
        <v>75</v>
      </c>
      <c r="O63" s="22" t="s">
        <v>81</v>
      </c>
      <c r="P63" s="22" t="s">
        <v>81</v>
      </c>
      <c r="Q63" s="22" t="s">
        <v>81</v>
      </c>
      <c r="R63" s="22" t="s">
        <v>81</v>
      </c>
      <c r="S63" s="22" t="s">
        <v>81</v>
      </c>
      <c r="T63" s="21" t="s">
        <v>75</v>
      </c>
      <c r="U63" s="21" t="s">
        <v>75</v>
      </c>
      <c r="V63" s="22" t="s">
        <v>81</v>
      </c>
      <c r="W63" s="22" t="s">
        <v>81</v>
      </c>
      <c r="X63" s="22" t="s">
        <v>81</v>
      </c>
      <c r="Y63" s="22" t="s">
        <v>81</v>
      </c>
      <c r="Z63" s="22" t="s">
        <v>81</v>
      </c>
      <c r="AA63" s="21" t="s">
        <v>75</v>
      </c>
      <c r="AB63" s="21" t="s">
        <v>75</v>
      </c>
      <c r="AC63" s="22"/>
      <c r="AD63" s="22"/>
      <c r="AE63" s="22"/>
      <c r="AF63" s="22"/>
      <c r="AG63" s="22"/>
      <c r="AH63" s="4">
        <f t="shared" si="0"/>
        <v>23</v>
      </c>
      <c r="AI63" s="5">
        <f t="shared" si="1"/>
        <v>18</v>
      </c>
      <c r="AJ63" s="6">
        <f t="shared" si="2"/>
        <v>0</v>
      </c>
      <c r="AK63" s="7">
        <f t="shared" si="3"/>
        <v>0</v>
      </c>
      <c r="AL63" s="7">
        <f t="shared" si="4"/>
        <v>0</v>
      </c>
      <c r="AM63" s="7">
        <f t="shared" si="5"/>
        <v>0</v>
      </c>
      <c r="AN63" s="7">
        <f t="shared" si="6"/>
        <v>0</v>
      </c>
      <c r="AO63" s="8">
        <f t="shared" si="7"/>
        <v>0</v>
      </c>
      <c r="AP63" s="12">
        <f t="shared" si="8"/>
        <v>18</v>
      </c>
      <c r="AQ63" s="23">
        <f t="shared" si="9"/>
        <v>0</v>
      </c>
      <c r="AR63" s="14">
        <f t="shared" si="10"/>
        <v>78.260869565217391</v>
      </c>
    </row>
    <row r="64" spans="1:44" x14ac:dyDescent="0.35">
      <c r="A64" s="2">
        <v>61</v>
      </c>
      <c r="B64" s="3" t="s">
        <v>176</v>
      </c>
      <c r="C64" s="22" t="s">
        <v>81</v>
      </c>
      <c r="D64" s="22" t="s">
        <v>81</v>
      </c>
      <c r="E64" s="22" t="s">
        <v>81</v>
      </c>
      <c r="F64" s="21" t="s">
        <v>75</v>
      </c>
      <c r="G64" s="21" t="s">
        <v>75</v>
      </c>
      <c r="H64" s="22" t="s">
        <v>81</v>
      </c>
      <c r="I64" s="22" t="s">
        <v>81</v>
      </c>
      <c r="J64" s="22" t="s">
        <v>81</v>
      </c>
      <c r="K64" s="22" t="s">
        <v>81</v>
      </c>
      <c r="L64" s="22" t="s">
        <v>81</v>
      </c>
      <c r="M64" s="21" t="s">
        <v>75</v>
      </c>
      <c r="N64" s="21" t="s">
        <v>75</v>
      </c>
      <c r="O64" s="22" t="s">
        <v>81</v>
      </c>
      <c r="P64" s="22" t="s">
        <v>81</v>
      </c>
      <c r="Q64" s="22" t="s">
        <v>81</v>
      </c>
      <c r="R64" s="22" t="s">
        <v>81</v>
      </c>
      <c r="S64" s="22" t="s">
        <v>81</v>
      </c>
      <c r="T64" s="21" t="s">
        <v>75</v>
      </c>
      <c r="U64" s="21" t="s">
        <v>75</v>
      </c>
      <c r="V64" s="22" t="s">
        <v>81</v>
      </c>
      <c r="W64" s="22" t="s">
        <v>81</v>
      </c>
      <c r="X64" s="22" t="s">
        <v>81</v>
      </c>
      <c r="Y64" s="22" t="s">
        <v>81</v>
      </c>
      <c r="Z64" s="22" t="s">
        <v>81</v>
      </c>
      <c r="AA64" s="21" t="s">
        <v>75</v>
      </c>
      <c r="AB64" s="21" t="s">
        <v>75</v>
      </c>
      <c r="AC64" s="22"/>
      <c r="AD64" s="22"/>
      <c r="AE64" s="22"/>
      <c r="AF64" s="22"/>
      <c r="AG64" s="22"/>
      <c r="AH64" s="4">
        <f t="shared" si="0"/>
        <v>23</v>
      </c>
      <c r="AI64" s="5">
        <f t="shared" si="1"/>
        <v>18</v>
      </c>
      <c r="AJ64" s="6">
        <f t="shared" si="2"/>
        <v>0</v>
      </c>
      <c r="AK64" s="7">
        <f t="shared" si="3"/>
        <v>0</v>
      </c>
      <c r="AL64" s="7">
        <f t="shared" si="4"/>
        <v>0</v>
      </c>
      <c r="AM64" s="7">
        <f t="shared" si="5"/>
        <v>0</v>
      </c>
      <c r="AN64" s="7">
        <f t="shared" si="6"/>
        <v>0</v>
      </c>
      <c r="AO64" s="8">
        <f t="shared" si="7"/>
        <v>0</v>
      </c>
      <c r="AP64" s="12">
        <f t="shared" si="8"/>
        <v>18</v>
      </c>
      <c r="AQ64" s="23">
        <f t="shared" si="9"/>
        <v>0</v>
      </c>
      <c r="AR64" s="14">
        <f t="shared" si="10"/>
        <v>78.260869565217391</v>
      </c>
    </row>
    <row r="65" spans="1:44" x14ac:dyDescent="0.35">
      <c r="A65" s="15">
        <v>62</v>
      </c>
      <c r="B65" s="3" t="s">
        <v>177</v>
      </c>
      <c r="C65" s="22" t="s">
        <v>81</v>
      </c>
      <c r="D65" s="22" t="s">
        <v>81</v>
      </c>
      <c r="E65" s="22" t="s">
        <v>81</v>
      </c>
      <c r="F65" s="21" t="s">
        <v>75</v>
      </c>
      <c r="G65" s="21" t="s">
        <v>75</v>
      </c>
      <c r="H65" s="22" t="s">
        <v>81</v>
      </c>
      <c r="I65" s="22" t="s">
        <v>81</v>
      </c>
      <c r="J65" s="22" t="s">
        <v>81</v>
      </c>
      <c r="K65" s="22" t="s">
        <v>81</v>
      </c>
      <c r="L65" s="22" t="s">
        <v>81</v>
      </c>
      <c r="M65" s="21" t="s">
        <v>75</v>
      </c>
      <c r="N65" s="21" t="s">
        <v>75</v>
      </c>
      <c r="O65" s="22" t="s">
        <v>81</v>
      </c>
      <c r="P65" s="22" t="s">
        <v>81</v>
      </c>
      <c r="Q65" s="22" t="s">
        <v>81</v>
      </c>
      <c r="R65" s="22" t="s">
        <v>81</v>
      </c>
      <c r="S65" s="22" t="s">
        <v>81</v>
      </c>
      <c r="T65" s="21" t="s">
        <v>75</v>
      </c>
      <c r="U65" s="21" t="s">
        <v>75</v>
      </c>
      <c r="V65" s="22" t="s">
        <v>81</v>
      </c>
      <c r="W65" s="22" t="s">
        <v>81</v>
      </c>
      <c r="X65" s="22" t="s">
        <v>81</v>
      </c>
      <c r="Y65" s="22" t="s">
        <v>81</v>
      </c>
      <c r="Z65" s="22" t="s">
        <v>81</v>
      </c>
      <c r="AA65" s="21" t="s">
        <v>75</v>
      </c>
      <c r="AB65" s="21" t="s">
        <v>75</v>
      </c>
      <c r="AC65" s="22"/>
      <c r="AD65" s="22"/>
      <c r="AE65" s="22"/>
      <c r="AF65" s="22"/>
      <c r="AG65" s="22"/>
      <c r="AH65" s="4">
        <f t="shared" si="0"/>
        <v>23</v>
      </c>
      <c r="AI65" s="5">
        <f t="shared" si="1"/>
        <v>18</v>
      </c>
      <c r="AJ65" s="6">
        <f t="shared" si="2"/>
        <v>0</v>
      </c>
      <c r="AK65" s="7">
        <f t="shared" si="3"/>
        <v>0</v>
      </c>
      <c r="AL65" s="7">
        <f t="shared" si="4"/>
        <v>0</v>
      </c>
      <c r="AM65" s="7">
        <f t="shared" si="5"/>
        <v>0</v>
      </c>
      <c r="AN65" s="7">
        <f t="shared" si="6"/>
        <v>0</v>
      </c>
      <c r="AO65" s="8">
        <f t="shared" si="7"/>
        <v>0</v>
      </c>
      <c r="AP65" s="12">
        <f t="shared" si="8"/>
        <v>18</v>
      </c>
      <c r="AQ65" s="23">
        <f t="shared" si="9"/>
        <v>0</v>
      </c>
      <c r="AR65" s="14">
        <f t="shared" si="10"/>
        <v>78.260869565217391</v>
      </c>
    </row>
    <row r="66" spans="1:44" x14ac:dyDescent="0.35">
      <c r="A66" s="2">
        <v>63</v>
      </c>
      <c r="B66" s="3" t="s">
        <v>178</v>
      </c>
      <c r="C66" s="22" t="s">
        <v>81</v>
      </c>
      <c r="D66" s="22" t="s">
        <v>81</v>
      </c>
      <c r="E66" s="22" t="s">
        <v>81</v>
      </c>
      <c r="F66" s="21" t="s">
        <v>75</v>
      </c>
      <c r="G66" s="21" t="s">
        <v>75</v>
      </c>
      <c r="H66" s="22" t="s">
        <v>81</v>
      </c>
      <c r="I66" s="22" t="s">
        <v>81</v>
      </c>
      <c r="J66" s="40" t="s">
        <v>19</v>
      </c>
      <c r="K66" s="22" t="s">
        <v>81</v>
      </c>
      <c r="L66" s="22" t="s">
        <v>81</v>
      </c>
      <c r="M66" s="21" t="s">
        <v>75</v>
      </c>
      <c r="N66" s="21" t="s">
        <v>75</v>
      </c>
      <c r="O66" s="22" t="s">
        <v>81</v>
      </c>
      <c r="P66" s="22" t="s">
        <v>81</v>
      </c>
      <c r="Q66" s="22" t="s">
        <v>81</v>
      </c>
      <c r="R66" s="22" t="s">
        <v>81</v>
      </c>
      <c r="S66" s="22" t="s">
        <v>81</v>
      </c>
      <c r="T66" s="21" t="s">
        <v>75</v>
      </c>
      <c r="U66" s="21" t="s">
        <v>75</v>
      </c>
      <c r="V66" s="22" t="s">
        <v>81</v>
      </c>
      <c r="W66" s="22" t="s">
        <v>81</v>
      </c>
      <c r="X66" s="22" t="s">
        <v>81</v>
      </c>
      <c r="Y66" s="22" t="s">
        <v>81</v>
      </c>
      <c r="Z66" s="40" t="s">
        <v>18</v>
      </c>
      <c r="AA66" s="21" t="s">
        <v>75</v>
      </c>
      <c r="AB66" s="21" t="s">
        <v>75</v>
      </c>
      <c r="AC66" s="22"/>
      <c r="AD66" s="22"/>
      <c r="AE66" s="22"/>
      <c r="AF66" s="22"/>
      <c r="AG66" s="22"/>
      <c r="AH66" s="4">
        <f t="shared" si="0"/>
        <v>23</v>
      </c>
      <c r="AI66" s="5">
        <f t="shared" si="1"/>
        <v>16</v>
      </c>
      <c r="AJ66" s="6">
        <f t="shared" si="2"/>
        <v>0</v>
      </c>
      <c r="AK66" s="7">
        <f t="shared" si="3"/>
        <v>0</v>
      </c>
      <c r="AL66" s="7">
        <f t="shared" si="4"/>
        <v>0</v>
      </c>
      <c r="AM66" s="7">
        <f t="shared" si="5"/>
        <v>1</v>
      </c>
      <c r="AN66" s="7">
        <f t="shared" si="6"/>
        <v>1</v>
      </c>
      <c r="AO66" s="8">
        <f t="shared" si="7"/>
        <v>0</v>
      </c>
      <c r="AP66" s="12">
        <f t="shared" si="8"/>
        <v>18</v>
      </c>
      <c r="AQ66" s="23">
        <f t="shared" si="9"/>
        <v>0</v>
      </c>
      <c r="AR66" s="14">
        <f t="shared" si="10"/>
        <v>78.260869565217391</v>
      </c>
    </row>
    <row r="67" spans="1:44" x14ac:dyDescent="0.35">
      <c r="A67" s="15">
        <v>64</v>
      </c>
      <c r="B67" s="38" t="s">
        <v>179</v>
      </c>
      <c r="C67" s="22" t="s">
        <v>81</v>
      </c>
      <c r="D67" s="22" t="s">
        <v>81</v>
      </c>
      <c r="E67" s="22" t="s">
        <v>81</v>
      </c>
      <c r="F67" s="21" t="s">
        <v>75</v>
      </c>
      <c r="G67" s="21" t="s">
        <v>75</v>
      </c>
      <c r="H67" s="22" t="s">
        <v>81</v>
      </c>
      <c r="I67" s="22" t="s">
        <v>81</v>
      </c>
      <c r="J67" s="22" t="s">
        <v>81</v>
      </c>
      <c r="K67" s="22" t="s">
        <v>81</v>
      </c>
      <c r="L67" s="22" t="s">
        <v>81</v>
      </c>
      <c r="M67" s="21" t="s">
        <v>75</v>
      </c>
      <c r="N67" s="21" t="s">
        <v>75</v>
      </c>
      <c r="O67" s="22" t="s">
        <v>81</v>
      </c>
      <c r="P67" s="22" t="s">
        <v>81</v>
      </c>
      <c r="Q67" s="22" t="s">
        <v>81</v>
      </c>
      <c r="R67" s="22" t="s">
        <v>81</v>
      </c>
      <c r="S67" s="22" t="s">
        <v>81</v>
      </c>
      <c r="T67" s="21" t="s">
        <v>75</v>
      </c>
      <c r="U67" s="21" t="s">
        <v>75</v>
      </c>
      <c r="V67" s="22" t="s">
        <v>81</v>
      </c>
      <c r="W67" s="22" t="s">
        <v>81</v>
      </c>
      <c r="X67" s="22" t="s">
        <v>81</v>
      </c>
      <c r="Y67" s="22" t="s">
        <v>81</v>
      </c>
      <c r="Z67" s="40" t="s">
        <v>19</v>
      </c>
      <c r="AA67" s="21" t="s">
        <v>75</v>
      </c>
      <c r="AB67" s="21" t="s">
        <v>75</v>
      </c>
      <c r="AC67" s="22"/>
      <c r="AD67" s="22"/>
      <c r="AE67" s="22"/>
      <c r="AF67" s="22"/>
      <c r="AG67" s="22"/>
      <c r="AH67" s="4">
        <f t="shared" si="0"/>
        <v>23</v>
      </c>
      <c r="AI67" s="5">
        <f t="shared" si="1"/>
        <v>17</v>
      </c>
      <c r="AJ67" s="6">
        <f t="shared" si="2"/>
        <v>0</v>
      </c>
      <c r="AK67" s="7">
        <f t="shared" si="3"/>
        <v>0</v>
      </c>
      <c r="AL67" s="7">
        <f t="shared" si="4"/>
        <v>0</v>
      </c>
      <c r="AM67" s="7">
        <f t="shared" si="5"/>
        <v>0</v>
      </c>
      <c r="AN67" s="7">
        <f t="shared" si="6"/>
        <v>1</v>
      </c>
      <c r="AO67" s="8">
        <f t="shared" si="7"/>
        <v>0</v>
      </c>
      <c r="AP67" s="12">
        <f t="shared" si="8"/>
        <v>18</v>
      </c>
      <c r="AQ67" s="23">
        <f t="shared" si="9"/>
        <v>0</v>
      </c>
      <c r="AR67" s="14">
        <f t="shared" si="10"/>
        <v>78.260869565217391</v>
      </c>
    </row>
    <row r="68" spans="1:44" x14ac:dyDescent="0.35">
      <c r="A68" s="2">
        <v>65</v>
      </c>
      <c r="B68" s="39" t="s">
        <v>180</v>
      </c>
      <c r="C68" s="22" t="s">
        <v>81</v>
      </c>
      <c r="D68" s="22" t="s">
        <v>81</v>
      </c>
      <c r="E68" s="22" t="s">
        <v>81</v>
      </c>
      <c r="F68" s="21" t="s">
        <v>75</v>
      </c>
      <c r="G68" s="21" t="s">
        <v>75</v>
      </c>
      <c r="H68" s="22" t="s">
        <v>81</v>
      </c>
      <c r="I68" s="22" t="s">
        <v>81</v>
      </c>
      <c r="J68" s="22" t="s">
        <v>81</v>
      </c>
      <c r="K68" s="22" t="s">
        <v>81</v>
      </c>
      <c r="L68" s="22" t="s">
        <v>81</v>
      </c>
      <c r="M68" s="21" t="s">
        <v>75</v>
      </c>
      <c r="N68" s="21" t="s">
        <v>75</v>
      </c>
      <c r="O68" s="22" t="s">
        <v>81</v>
      </c>
      <c r="P68" s="22" t="s">
        <v>81</v>
      </c>
      <c r="Q68" s="22" t="s">
        <v>81</v>
      </c>
      <c r="R68" s="22" t="s">
        <v>81</v>
      </c>
      <c r="S68" s="22" t="s">
        <v>81</v>
      </c>
      <c r="T68" s="21" t="s">
        <v>75</v>
      </c>
      <c r="U68" s="21" t="s">
        <v>75</v>
      </c>
      <c r="V68" s="22" t="s">
        <v>81</v>
      </c>
      <c r="W68" s="22" t="s">
        <v>81</v>
      </c>
      <c r="X68" s="22" t="s">
        <v>81</v>
      </c>
      <c r="Y68" s="22" t="s">
        <v>81</v>
      </c>
      <c r="Z68" s="22" t="s">
        <v>81</v>
      </c>
      <c r="AA68" s="21" t="s">
        <v>75</v>
      </c>
      <c r="AB68" s="21" t="s">
        <v>75</v>
      </c>
      <c r="AC68" s="22"/>
      <c r="AD68" s="22"/>
      <c r="AE68" s="22"/>
      <c r="AF68" s="22"/>
      <c r="AG68" s="22"/>
      <c r="AH68" s="4">
        <f t="shared" si="0"/>
        <v>23</v>
      </c>
      <c r="AI68" s="5">
        <f t="shared" si="1"/>
        <v>18</v>
      </c>
      <c r="AJ68" s="6">
        <f t="shared" si="2"/>
        <v>0</v>
      </c>
      <c r="AK68" s="7">
        <f t="shared" si="3"/>
        <v>0</v>
      </c>
      <c r="AL68" s="7">
        <f t="shared" si="4"/>
        <v>0</v>
      </c>
      <c r="AM68" s="7">
        <f t="shared" si="5"/>
        <v>0</v>
      </c>
      <c r="AN68" s="7">
        <f t="shared" si="6"/>
        <v>0</v>
      </c>
      <c r="AO68" s="8">
        <f t="shared" si="7"/>
        <v>0</v>
      </c>
      <c r="AP68" s="12">
        <f t="shared" si="8"/>
        <v>18</v>
      </c>
      <c r="AQ68" s="23">
        <f t="shared" si="9"/>
        <v>0</v>
      </c>
      <c r="AR68" s="14">
        <f t="shared" si="10"/>
        <v>78.260869565217391</v>
      </c>
    </row>
    <row r="69" spans="1:44" x14ac:dyDescent="0.35">
      <c r="A69" s="15">
        <v>66</v>
      </c>
      <c r="B69" s="39" t="s">
        <v>181</v>
      </c>
      <c r="C69" s="22" t="s">
        <v>81</v>
      </c>
      <c r="D69" s="22" t="s">
        <v>81</v>
      </c>
      <c r="E69" s="22" t="s">
        <v>81</v>
      </c>
      <c r="F69" s="21" t="s">
        <v>75</v>
      </c>
      <c r="G69" s="21" t="s">
        <v>75</v>
      </c>
      <c r="H69" s="22" t="s">
        <v>81</v>
      </c>
      <c r="I69" s="22" t="s">
        <v>81</v>
      </c>
      <c r="J69" s="22" t="s">
        <v>81</v>
      </c>
      <c r="K69" s="22" t="s">
        <v>81</v>
      </c>
      <c r="L69" s="22" t="s">
        <v>81</v>
      </c>
      <c r="M69" s="21" t="s">
        <v>75</v>
      </c>
      <c r="N69" s="21" t="s">
        <v>75</v>
      </c>
      <c r="O69" s="22" t="s">
        <v>81</v>
      </c>
      <c r="P69" s="22" t="s">
        <v>81</v>
      </c>
      <c r="Q69" s="22" t="s">
        <v>81</v>
      </c>
      <c r="R69" s="22" t="s">
        <v>81</v>
      </c>
      <c r="S69" s="22" t="s">
        <v>81</v>
      </c>
      <c r="T69" s="21" t="s">
        <v>75</v>
      </c>
      <c r="U69" s="21" t="s">
        <v>75</v>
      </c>
      <c r="V69" s="22" t="s">
        <v>81</v>
      </c>
      <c r="W69" s="22" t="s">
        <v>81</v>
      </c>
      <c r="X69" s="22" t="s">
        <v>81</v>
      </c>
      <c r="Y69" s="22" t="s">
        <v>81</v>
      </c>
      <c r="Z69" s="22" t="s">
        <v>81</v>
      </c>
      <c r="AA69" s="21" t="s">
        <v>75</v>
      </c>
      <c r="AB69" s="21" t="s">
        <v>75</v>
      </c>
      <c r="AC69" s="22"/>
      <c r="AD69" s="22"/>
      <c r="AE69" s="22"/>
      <c r="AF69" s="22"/>
      <c r="AG69" s="22"/>
      <c r="AH69" s="4">
        <f t="shared" ref="AH69" si="11">31-COUNTIF(C69:AG69,"WO")-COUNTIF(C69:AG69,"H")</f>
        <v>23</v>
      </c>
      <c r="AI69" s="5">
        <f t="shared" ref="AI69" si="12">COUNTIF(C69:AG69,"P")</f>
        <v>18</v>
      </c>
      <c r="AJ69" s="6">
        <f t="shared" ref="AJ69" si="13">COUNTIF(C69:AG69,"WFH")</f>
        <v>0</v>
      </c>
      <c r="AK69" s="7">
        <f t="shared" ref="AK69" si="14">COUNTIF(C69:AG69,"HD")</f>
        <v>0</v>
      </c>
      <c r="AL69" s="7">
        <f t="shared" ref="AL69" si="15">COUNTIF(C69:AG69,"EL")</f>
        <v>0</v>
      </c>
      <c r="AM69" s="7">
        <f t="shared" ref="AM69" si="16">COUNTIF(C69:AG69,"SL")</f>
        <v>0</v>
      </c>
      <c r="AN69" s="7">
        <f t="shared" ref="AN69" si="17">COUNTIF(C69:AG69,"CL")</f>
        <v>0</v>
      </c>
      <c r="AO69" s="8">
        <f t="shared" ref="AO69" si="18">COUNTIF(C69:AG69,"LOP")</f>
        <v>0</v>
      </c>
      <c r="AP69" s="12">
        <f t="shared" ref="AP69" si="19">AI69+AJ69+AK69*0.5+AL69+AM69+AN69</f>
        <v>18</v>
      </c>
      <c r="AQ69" s="23">
        <f t="shared" ref="AQ69" si="20">AO69</f>
        <v>0</v>
      </c>
      <c r="AR69" s="14">
        <f t="shared" ref="AR69" si="21">IFERROR(AP69/AH69*100,0)</f>
        <v>78.260869565217391</v>
      </c>
    </row>
    <row r="70" spans="1:44" x14ac:dyDescent="0.35">
      <c r="A70" s="2">
        <v>67</v>
      </c>
      <c r="B70" s="39" t="s">
        <v>185</v>
      </c>
      <c r="C70" s="22" t="s">
        <v>81</v>
      </c>
      <c r="D70" s="22" t="s">
        <v>81</v>
      </c>
      <c r="E70" s="22" t="s">
        <v>81</v>
      </c>
      <c r="F70" s="21" t="s">
        <v>75</v>
      </c>
      <c r="G70" s="21" t="s">
        <v>75</v>
      </c>
      <c r="H70" s="22" t="s">
        <v>81</v>
      </c>
      <c r="I70" s="40" t="s">
        <v>91</v>
      </c>
      <c r="J70" s="22" t="s">
        <v>81</v>
      </c>
      <c r="K70" s="22" t="s">
        <v>81</v>
      </c>
      <c r="L70" s="22" t="s">
        <v>81</v>
      </c>
      <c r="M70" s="21" t="s">
        <v>75</v>
      </c>
      <c r="N70" s="21" t="s">
        <v>75</v>
      </c>
      <c r="O70" s="22" t="s">
        <v>81</v>
      </c>
      <c r="P70" s="22" t="s">
        <v>81</v>
      </c>
      <c r="Q70" s="22" t="s">
        <v>81</v>
      </c>
      <c r="R70" s="22" t="s">
        <v>81</v>
      </c>
      <c r="S70" s="22" t="s">
        <v>81</v>
      </c>
      <c r="T70" s="21" t="s">
        <v>75</v>
      </c>
      <c r="U70" s="21" t="s">
        <v>75</v>
      </c>
      <c r="V70" s="22" t="s">
        <v>81</v>
      </c>
      <c r="W70" s="22" t="s">
        <v>81</v>
      </c>
      <c r="X70" s="22" t="s">
        <v>81</v>
      </c>
      <c r="Y70" s="22" t="s">
        <v>81</v>
      </c>
      <c r="Z70" s="22" t="s">
        <v>81</v>
      </c>
      <c r="AA70" s="21" t="s">
        <v>75</v>
      </c>
      <c r="AB70" s="21" t="s">
        <v>75</v>
      </c>
      <c r="AC70" s="22"/>
      <c r="AD70" s="22"/>
      <c r="AE70" s="22"/>
      <c r="AF70" s="22"/>
      <c r="AG70" s="22"/>
      <c r="AH70" s="4"/>
      <c r="AI70" s="5"/>
      <c r="AJ70" s="6"/>
      <c r="AK70" s="7"/>
      <c r="AL70" s="7"/>
      <c r="AM70" s="7"/>
      <c r="AN70" s="7"/>
      <c r="AO70" s="8"/>
      <c r="AP70" s="12"/>
      <c r="AQ70" s="23"/>
      <c r="AR70" s="14"/>
    </row>
  </sheetData>
  <mergeCells count="12">
    <mergeCell ref="A1:AR1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dataValidations count="1">
    <dataValidation type="list" showErrorMessage="1" errorTitle="Invalid" error="Use: P,A,EL,SL,CL,LOP,WFH,H,HD,WO" sqref="C4:AG69 C70:AB70" xr:uid="{00000000-0002-0000-05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27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12" customWidth="1"/>
    <col min="3" max="3" width="28" customWidth="1"/>
    <col min="4" max="4" width="4" customWidth="1"/>
    <col min="5" max="5" width="28" customWidth="1"/>
  </cols>
  <sheetData>
    <row r="2" spans="2:5" ht="34.5" customHeight="1" x14ac:dyDescent="0.35">
      <c r="B2" s="50" t="s">
        <v>79</v>
      </c>
      <c r="C2" s="50"/>
      <c r="D2" s="50"/>
      <c r="E2" s="50"/>
    </row>
    <row r="4" spans="2:5" x14ac:dyDescent="0.35">
      <c r="B4" s="51" t="s">
        <v>80</v>
      </c>
      <c r="C4" s="51"/>
    </row>
    <row r="5" spans="2:5" ht="19.5" customHeight="1" x14ac:dyDescent="0.35">
      <c r="B5" s="25" t="s">
        <v>81</v>
      </c>
      <c r="C5" s="26" t="s">
        <v>14</v>
      </c>
    </row>
    <row r="6" spans="2:5" ht="19.5" customHeight="1" x14ac:dyDescent="0.35">
      <c r="B6" s="27" t="s">
        <v>82</v>
      </c>
      <c r="C6" s="26" t="s">
        <v>83</v>
      </c>
    </row>
    <row r="7" spans="2:5" ht="19.5" customHeight="1" x14ac:dyDescent="0.35">
      <c r="B7" s="28" t="s">
        <v>17</v>
      </c>
      <c r="C7" s="26" t="s">
        <v>84</v>
      </c>
    </row>
    <row r="8" spans="2:5" ht="19.5" customHeight="1" x14ac:dyDescent="0.35">
      <c r="B8" s="28" t="s">
        <v>18</v>
      </c>
      <c r="C8" s="26" t="s">
        <v>85</v>
      </c>
    </row>
    <row r="9" spans="2:5" ht="19.5" customHeight="1" x14ac:dyDescent="0.35">
      <c r="B9" s="28" t="s">
        <v>19</v>
      </c>
      <c r="C9" s="26" t="s">
        <v>86</v>
      </c>
    </row>
    <row r="10" spans="2:5" ht="19.5" customHeight="1" x14ac:dyDescent="0.35">
      <c r="B10" s="29" t="s">
        <v>20</v>
      </c>
      <c r="C10" s="26" t="s">
        <v>87</v>
      </c>
    </row>
    <row r="11" spans="2:5" ht="19.5" customHeight="1" x14ac:dyDescent="0.35">
      <c r="B11" s="30" t="s">
        <v>15</v>
      </c>
      <c r="C11" s="26" t="s">
        <v>88</v>
      </c>
    </row>
    <row r="12" spans="2:5" ht="19.5" customHeight="1" x14ac:dyDescent="0.35">
      <c r="B12" s="31" t="s">
        <v>89</v>
      </c>
      <c r="C12" s="26" t="s">
        <v>90</v>
      </c>
    </row>
    <row r="13" spans="2:5" ht="19.5" customHeight="1" x14ac:dyDescent="0.35">
      <c r="B13" s="28" t="s">
        <v>91</v>
      </c>
      <c r="C13" s="26" t="s">
        <v>92</v>
      </c>
    </row>
    <row r="14" spans="2:5" ht="19.5" customHeight="1" x14ac:dyDescent="0.35">
      <c r="B14" s="32" t="s">
        <v>75</v>
      </c>
      <c r="C14" s="26" t="s">
        <v>93</v>
      </c>
    </row>
    <row r="16" spans="2:5" x14ac:dyDescent="0.35">
      <c r="B16" s="51" t="s">
        <v>94</v>
      </c>
      <c r="C16" s="51"/>
    </row>
    <row r="17" spans="2:3" ht="18" customHeight="1" x14ac:dyDescent="0.35">
      <c r="B17" s="33" t="s">
        <v>13</v>
      </c>
      <c r="C17" s="34" t="s">
        <v>95</v>
      </c>
    </row>
    <row r="18" spans="2:3" ht="18" customHeight="1" x14ac:dyDescent="0.35">
      <c r="B18" s="33" t="s">
        <v>96</v>
      </c>
      <c r="C18" s="34" t="s">
        <v>97</v>
      </c>
    </row>
    <row r="19" spans="2:3" ht="18" customHeight="1" x14ac:dyDescent="0.35">
      <c r="B19" s="33" t="s">
        <v>15</v>
      </c>
      <c r="C19" s="34" t="s">
        <v>98</v>
      </c>
    </row>
    <row r="20" spans="2:3" ht="18" customHeight="1" x14ac:dyDescent="0.35">
      <c r="B20" s="33" t="s">
        <v>99</v>
      </c>
      <c r="C20" s="34" t="s">
        <v>100</v>
      </c>
    </row>
    <row r="21" spans="2:3" ht="18" customHeight="1" x14ac:dyDescent="0.35">
      <c r="B21" s="33" t="s">
        <v>101</v>
      </c>
      <c r="C21" s="34" t="s">
        <v>102</v>
      </c>
    </row>
    <row r="22" spans="2:3" ht="18" customHeight="1" x14ac:dyDescent="0.35">
      <c r="B22" s="33" t="s">
        <v>103</v>
      </c>
      <c r="C22" s="34" t="s">
        <v>104</v>
      </c>
    </row>
    <row r="23" spans="2:3" ht="18" customHeight="1" x14ac:dyDescent="0.35">
      <c r="B23" s="33" t="s">
        <v>105</v>
      </c>
      <c r="C23" s="34" t="s">
        <v>106</v>
      </c>
    </row>
    <row r="24" spans="2:3" ht="18" customHeight="1" x14ac:dyDescent="0.35">
      <c r="B24" s="33" t="s">
        <v>107</v>
      </c>
      <c r="C24" s="34" t="s">
        <v>108</v>
      </c>
    </row>
    <row r="25" spans="2:3" ht="18" customHeight="1" x14ac:dyDescent="0.35">
      <c r="B25" s="33" t="s">
        <v>21</v>
      </c>
      <c r="C25" s="34" t="s">
        <v>109</v>
      </c>
    </row>
    <row r="26" spans="2:3" ht="18" customHeight="1" x14ac:dyDescent="0.35">
      <c r="B26" s="33" t="s">
        <v>22</v>
      </c>
      <c r="C26" s="34" t="s">
        <v>110</v>
      </c>
    </row>
    <row r="27" spans="2:3" ht="18" customHeight="1" x14ac:dyDescent="0.35">
      <c r="B27" s="33" t="s">
        <v>111</v>
      </c>
      <c r="C27" s="34" t="s">
        <v>112</v>
      </c>
    </row>
  </sheetData>
  <mergeCells count="3">
    <mergeCell ref="B2:E2"/>
    <mergeCell ref="B4:C4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Payroll Summary</vt:lpstr>
      <vt:lpstr>March</vt:lpstr>
      <vt:lpstr>April</vt:lpstr>
      <vt:lpstr>June</vt:lpstr>
      <vt:lpstr>July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Axiora</cp:lastModifiedBy>
  <cp:revision>0</cp:revision>
  <dcterms:created xsi:type="dcterms:W3CDTF">2026-06-06T09:50:58Z</dcterms:created>
  <dcterms:modified xsi:type="dcterms:W3CDTF">2026-07-27T12:19:25Z</dcterms:modified>
  <dc:language>en-US</dc:language>
</cp:coreProperties>
</file>