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March\"/>
    </mc:Choice>
  </mc:AlternateContent>
  <xr:revisionPtr revIDLastSave="0" documentId="13_ncr:1_{C5041D33-1D28-4F8D-B443-7BF620DE82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8" i="1" l="1"/>
  <c r="Z3" i="1"/>
  <c r="Z17" i="1"/>
  <c r="Z5" i="1"/>
  <c r="Z6" i="1"/>
  <c r="Z7" i="1"/>
  <c r="Z11" i="1"/>
  <c r="Z12" i="1"/>
  <c r="Z13" i="1"/>
  <c r="Z14" i="1"/>
  <c r="Z15" i="1"/>
  <c r="Z18" i="1"/>
  <c r="Z19" i="1"/>
  <c r="Z20" i="1"/>
  <c r="Z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Z10" i="1"/>
  <c r="Z2" i="1" l="1"/>
  <c r="Z16" i="1"/>
  <c r="Z9" i="1"/>
</calcChain>
</file>

<file path=xl/sharedStrings.xml><?xml version="1.0" encoding="utf-8"?>
<sst xmlns="http://schemas.openxmlformats.org/spreadsheetml/2006/main" count="197" uniqueCount="79">
  <si>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</si>
  <si>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</si>
  <si>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</si>
  <si>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</si>
  <si>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</si>
  <si>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</si>
  <si>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</si>
  <si>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</si>
  <si>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</si>
  <si>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</si>
  <si>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</si>
  <si>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</si>
  <si>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</si>
  <si>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</si>
  <si>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</si>
  <si>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</si>
  <si>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</si>
  <si>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UAN No</t>
  </si>
  <si>
    <t>PF No</t>
  </si>
  <si>
    <t>HRA</t>
  </si>
  <si>
    <t>Special Al</t>
  </si>
  <si>
    <t>Other Al</t>
  </si>
  <si>
    <t>Gross Ea</t>
  </si>
  <si>
    <t>PT</t>
  </si>
  <si>
    <t>Ded</t>
  </si>
  <si>
    <t>EPF</t>
  </si>
  <si>
    <t>AGS26006</t>
  </si>
  <si>
    <t>Abhijeet Vijaysingh Pardeshi</t>
  </si>
  <si>
    <t>AGS26038</t>
  </si>
  <si>
    <t>Ainala Saiesha</t>
  </si>
  <si>
    <t>AGS26011</t>
  </si>
  <si>
    <t>Siddula Hemasai</t>
  </si>
  <si>
    <t>AGS26018</t>
  </si>
  <si>
    <t>Settybathini Sathish</t>
  </si>
  <si>
    <t>AGS26010</t>
  </si>
  <si>
    <t>Vemula Varshith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</si>
  <si>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</si>
  <si>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</si>
  <si>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</si>
  <si>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</si>
  <si>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</si>
  <si>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</si>
  <si>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</si>
  <si>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</si>
  <si>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</si>
  <si>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</si>
  <si>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</si>
  <si>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</si>
  <si>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</si>
  <si>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</si>
  <si>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</si>
  <si>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</si>
  <si>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</si>
  <si>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</si>
  <si>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AGS26029</t>
  </si>
  <si>
    <t>Mula Sai Preetham Goud</t>
  </si>
  <si>
    <t>AGS26030</t>
  </si>
  <si>
    <t>Sruthin Kumar Basa</t>
  </si>
  <si>
    <t>AGS26033</t>
  </si>
  <si>
    <t>Kethavath Sai Raj</t>
  </si>
  <si>
    <t>AGS26034</t>
  </si>
  <si>
    <t>Sripada Shivakumar</t>
  </si>
  <si>
    <t>AGS26035</t>
  </si>
  <si>
    <t>Varakantham Surender Reddy</t>
  </si>
  <si>
    <t>International Business Development Manager</t>
  </si>
  <si>
    <t>Senior Business Analyst</t>
  </si>
  <si>
    <t>Software Engineer – II</t>
  </si>
  <si>
    <t>Principal Software Engineer / Lead Engineer</t>
  </si>
  <si>
    <t>Senior Software Engineer</t>
  </si>
  <si>
    <t>Software Engineer – I</t>
  </si>
  <si>
    <t>Sales</t>
  </si>
  <si>
    <t>Business Analyst</t>
  </si>
  <si>
    <t>Development</t>
  </si>
  <si>
    <t>Hyderabad</t>
  </si>
  <si>
    <t>March 2026</t>
  </si>
  <si>
    <t>09 Feb 2026</t>
  </si>
  <si>
    <t>05 Mar 2026</t>
  </si>
  <si>
    <t>02 Mar 2026</t>
  </si>
  <si>
    <t>02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</si>
</sst>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09]dd\ mmm\ 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1" fontId="0" fillId="0" borderId="0" xfId="0" applyNumberFormat="1"/>
    <xf numFmtId="49" fontId="0" fillId="0" borderId="0" xfId="0" quotePrefix="1" applyNumberFormat="1"/>
    <xf numFmtId="43" fontId="2" fillId="0" borderId="0" xfId="1" applyFont="1" applyAlignment="1">
      <alignment horizontal="center"/>
    </xf>
    <xf numFmtId="164" fontId="2" fillId="0" borderId="0" xfId="0" quotePrefix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dmin\Payroll\2026\March\March_Payroll_Data.xlsx" TargetMode="External"/><Relationship Id="rId1" Type="http://schemas.openxmlformats.org/officeDocument/2006/relationships/externalLinkPath" Target="March_Payro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Consultant"/>
      <sheetName val="Tech Employees"/>
      <sheetName val="Payment"/>
      <sheetName val="Trainers"/>
    </sheetNames>
    <sheetDataSet>
      <sheetData sheetId="0"/>
      <sheetData sheetId="1"/>
      <sheetData sheetId="2"/>
      <sheetData sheetId="3">
        <row r="2">
          <cell r="A2" t="str">
            <v>AGS26006</v>
          </cell>
          <cell r="B2" t="str">
            <v>Abhijeet Vijaysingh Pardeshi</v>
          </cell>
          <cell r="C2">
            <v>46062</v>
          </cell>
          <cell r="D2">
            <v>65330.466350000002</v>
          </cell>
          <cell r="E2">
            <v>41280100007853</v>
          </cell>
          <cell r="F2" t="str">
            <v>BARB0WALUJX</v>
          </cell>
          <cell r="G2" t="str">
            <v>BANK OF BARODA</v>
          </cell>
        </row>
        <row r="3">
          <cell r="A3" t="str">
            <v>AGS26038</v>
          </cell>
          <cell r="B3" t="str">
            <v>Ainala Saiesha</v>
          </cell>
          <cell r="C3">
            <v>46086</v>
          </cell>
          <cell r="D3">
            <v>81434.355257645162</v>
          </cell>
          <cell r="E3">
            <v>919010033458832</v>
          </cell>
          <cell r="F3" t="str">
            <v>UTIB0000553</v>
          </cell>
          <cell r="G3" t="str">
            <v>Union Bank</v>
          </cell>
        </row>
        <row r="4">
          <cell r="A4" t="str">
            <v>AGS26004</v>
          </cell>
          <cell r="B4" t="str">
            <v>Ande Sharath Chandra</v>
          </cell>
          <cell r="C4">
            <v>46054</v>
          </cell>
          <cell r="D4">
            <v>79800</v>
          </cell>
          <cell r="E4">
            <v>50100677371816</v>
          </cell>
          <cell r="F4" t="str">
            <v>HDFC0001042</v>
          </cell>
          <cell r="G4" t="str">
            <v>HDFC Bank</v>
          </cell>
        </row>
        <row r="5">
          <cell r="A5" t="str">
            <v>AGS26005</v>
          </cell>
          <cell r="B5" t="str">
            <v>Tanakala Janardhan</v>
          </cell>
          <cell r="C5">
            <v>46054</v>
          </cell>
          <cell r="D5">
            <v>69800</v>
          </cell>
          <cell r="E5">
            <v>154710100018477</v>
          </cell>
          <cell r="F5" t="str">
            <v>UBIN0815471</v>
          </cell>
          <cell r="G5" t="str">
            <v>Union Bank</v>
          </cell>
        </row>
        <row r="6">
          <cell r="A6" t="str">
            <v>AGS26020</v>
          </cell>
          <cell r="B6" t="str">
            <v>Gurindapalli Krishna Chaitanya</v>
          </cell>
          <cell r="C6">
            <v>46066</v>
          </cell>
          <cell r="D6">
            <v>59800</v>
          </cell>
          <cell r="E6" t="str">
            <v>020201545829</v>
          </cell>
          <cell r="F6" t="str">
            <v>ICIC0000202</v>
          </cell>
          <cell r="G6" t="str">
            <v>ICICI Bank</v>
          </cell>
        </row>
        <row r="7">
          <cell r="A7" t="str">
            <v>AGS26024</v>
          </cell>
          <cell r="B7" t="str">
            <v>Priya Darshini Pola</v>
          </cell>
          <cell r="C7">
            <v>46072</v>
          </cell>
          <cell r="D7">
            <v>77133.333333333328</v>
          </cell>
          <cell r="E7">
            <v>770301501355</v>
          </cell>
          <cell r="F7" t="str">
            <v>ICIC0007703</v>
          </cell>
          <cell r="G7" t="str">
            <v>ICICI Bank</v>
          </cell>
        </row>
        <row r="8">
          <cell r="A8" t="str">
            <v>AGS26039</v>
          </cell>
          <cell r="B8" t="str">
            <v>Esther Deva Priya</v>
          </cell>
          <cell r="C8">
            <v>46092</v>
          </cell>
          <cell r="D8">
            <v>13348.387096774193</v>
          </cell>
          <cell r="E8">
            <v>50100743220366</v>
          </cell>
          <cell r="F8" t="str">
            <v>HDFC0000545</v>
          </cell>
          <cell r="G8" t="str">
            <v>HDFC Bank</v>
          </cell>
        </row>
        <row r="9">
          <cell r="A9" t="str">
            <v>AGS26011</v>
          </cell>
          <cell r="B9" t="str">
            <v>Siddula Hemasai</v>
          </cell>
          <cell r="C9">
            <v>46083</v>
          </cell>
          <cell r="D9">
            <v>38759.113112693551</v>
          </cell>
          <cell r="E9">
            <v>3327101004003</v>
          </cell>
          <cell r="F9" t="str">
            <v>CNRB0003327</v>
          </cell>
          <cell r="G9" t="str">
            <v>Canara Bank</v>
          </cell>
        </row>
        <row r="10">
          <cell r="A10" t="str">
            <v>AGS26018</v>
          </cell>
          <cell r="B10" t="str">
            <v>Settybathini Sathish</v>
          </cell>
          <cell r="C10">
            <v>46083</v>
          </cell>
          <cell r="D10">
            <v>37400.47600893709</v>
          </cell>
          <cell r="E10">
            <v>50100595290241</v>
          </cell>
          <cell r="F10" t="str">
            <v>HDFC0000075</v>
          </cell>
          <cell r="G10" t="str">
            <v>HDFC Bank</v>
          </cell>
        </row>
        <row r="11">
          <cell r="A11" t="str">
            <v>AGS26010</v>
          </cell>
          <cell r="B11" t="str">
            <v>Vemula Varshith</v>
          </cell>
          <cell r="C11">
            <v>46083</v>
          </cell>
          <cell r="D11">
            <v>51095.258334496779</v>
          </cell>
          <cell r="E11">
            <v>62428832885</v>
          </cell>
          <cell r="F11" t="str">
            <v>SBIN0020959</v>
          </cell>
          <cell r="G11" t="str">
            <v>State Bank of India</v>
          </cell>
        </row>
        <row r="12">
          <cell r="A12" t="str">
            <v>AGS26019</v>
          </cell>
          <cell r="B12" t="str">
            <v>Nelapatla Srinivas</v>
          </cell>
          <cell r="C12">
            <v>46083</v>
          </cell>
          <cell r="D12">
            <v>18151.587087496955</v>
          </cell>
          <cell r="E12">
            <v>62442668281</v>
          </cell>
          <cell r="F12" t="str">
            <v>SBIN0020176</v>
          </cell>
          <cell r="G12" t="str">
            <v>State Bank of India</v>
          </cell>
        </row>
        <row r="13">
          <cell r="A13" t="str">
            <v>AGS26014</v>
          </cell>
          <cell r="B13" t="str">
            <v>Vulli Pavan</v>
          </cell>
          <cell r="C13">
            <v>46083</v>
          </cell>
          <cell r="D13">
            <v>43481.451845645155</v>
          </cell>
          <cell r="E13">
            <v>77770116800885</v>
          </cell>
          <cell r="F13" t="str">
            <v>FDRL0007777</v>
          </cell>
          <cell r="G13" t="str">
            <v>Federal Bank</v>
          </cell>
        </row>
        <row r="14">
          <cell r="A14" t="str">
            <v>AGS26017</v>
          </cell>
          <cell r="B14" t="str">
            <v>Vavilla Saikumar</v>
          </cell>
          <cell r="C14">
            <v>46083</v>
          </cell>
          <cell r="D14">
            <v>38759.113112693551</v>
          </cell>
          <cell r="E14">
            <v>41085488775</v>
          </cell>
          <cell r="F14" t="str">
            <v>SBIN0016293</v>
          </cell>
          <cell r="G14" t="str">
            <v>State Bank of India</v>
          </cell>
        </row>
        <row r="15">
          <cell r="A15" t="str">
            <v>AGS26016</v>
          </cell>
          <cell r="B15" t="str">
            <v>Manisha Ashroba Virkar</v>
          </cell>
          <cell r="C15">
            <v>46083</v>
          </cell>
          <cell r="D15">
            <v>38759.113112693551</v>
          </cell>
          <cell r="E15">
            <v>62297418711</v>
          </cell>
          <cell r="F15" t="str">
            <v>SBIN0003801</v>
          </cell>
          <cell r="G15" t="str">
            <v>State Bank of India</v>
          </cell>
        </row>
        <row r="16">
          <cell r="A16" t="str">
            <v>AGS26015</v>
          </cell>
          <cell r="B16" t="str">
            <v>Karne Narsimha Reddy</v>
          </cell>
          <cell r="C16">
            <v>46083</v>
          </cell>
          <cell r="D16">
            <v>38759.113112693551</v>
          </cell>
          <cell r="E16">
            <v>1446178000009710</v>
          </cell>
          <cell r="F16" t="str">
            <v>KVBL0001446</v>
          </cell>
          <cell r="G16" t="str">
            <v>Karur Vysya Bank</v>
          </cell>
        </row>
        <row r="17">
          <cell r="A17" t="str">
            <v>AGS26013</v>
          </cell>
          <cell r="B17" t="str">
            <v>Kalepu Vijay</v>
          </cell>
          <cell r="C17">
            <v>46083</v>
          </cell>
          <cell r="D17">
            <v>38759.113112693551</v>
          </cell>
          <cell r="E17">
            <v>159502740717</v>
          </cell>
          <cell r="F17" t="str">
            <v>INDB0000329</v>
          </cell>
          <cell r="G17" t="str">
            <v>INDUSIND BANK</v>
          </cell>
        </row>
        <row r="18">
          <cell r="A18" t="str">
            <v>AGS26021</v>
          </cell>
          <cell r="B18" t="str">
            <v>Kontham Sushma</v>
          </cell>
          <cell r="C18">
            <v>46083</v>
          </cell>
          <cell r="D18">
            <v>43481.451845645155</v>
          </cell>
          <cell r="E18">
            <v>39569845546</v>
          </cell>
          <cell r="F18" t="str">
            <v>SBIN0008024</v>
          </cell>
          <cell r="G18" t="str">
            <v>State Bank of India</v>
          </cell>
        </row>
        <row r="19">
          <cell r="A19" t="str">
            <v>AGS26022</v>
          </cell>
          <cell r="B19" t="str">
            <v>Akkma Sai Teja</v>
          </cell>
          <cell r="C19">
            <v>46083</v>
          </cell>
          <cell r="D19">
            <v>43481.451845645155</v>
          </cell>
          <cell r="E19">
            <v>50100565431077</v>
          </cell>
          <cell r="F19" t="str">
            <v>HDFC0005175</v>
          </cell>
          <cell r="G19" t="str">
            <v>HDFC Bank</v>
          </cell>
        </row>
        <row r="20">
          <cell r="A20" t="str">
            <v>AGS26023</v>
          </cell>
          <cell r="B20" t="str">
            <v>Bobbarala Varshini</v>
          </cell>
          <cell r="C20">
            <v>46083</v>
          </cell>
          <cell r="D20">
            <v>52926.129311548393</v>
          </cell>
          <cell r="E20">
            <v>41202390653</v>
          </cell>
          <cell r="F20" t="str">
            <v>SBIN0000910</v>
          </cell>
          <cell r="G20" t="str">
            <v>State Bank of India</v>
          </cell>
        </row>
        <row r="21">
          <cell r="A21" t="str">
            <v>AGS26026</v>
          </cell>
          <cell r="B21" t="str">
            <v>Surampudi Roop Sai</v>
          </cell>
          <cell r="C21">
            <v>46083</v>
          </cell>
          <cell r="D21">
            <v>52926.129311548393</v>
          </cell>
          <cell r="E21">
            <v>615728726</v>
          </cell>
          <cell r="F21" t="str">
            <v>IDIB000P121</v>
          </cell>
          <cell r="G21" t="str">
            <v>Indian Bank</v>
          </cell>
        </row>
        <row r="22">
          <cell r="A22" t="str">
            <v>AGS26028</v>
          </cell>
          <cell r="B22" t="str">
            <v>Mohammed Abdul Moid</v>
          </cell>
          <cell r="C22">
            <v>46083</v>
          </cell>
          <cell r="D22">
            <v>12153.245708669359</v>
          </cell>
          <cell r="E22">
            <v>9147600708</v>
          </cell>
          <cell r="F22" t="str">
            <v>KKBK0007474</v>
          </cell>
          <cell r="G22" t="str">
            <v xml:space="preserve">Kotak </v>
          </cell>
        </row>
        <row r="23">
          <cell r="A23" t="str">
            <v>AGS26029</v>
          </cell>
          <cell r="B23" t="str">
            <v>Mula Sai Preetham Goud</v>
          </cell>
          <cell r="C23">
            <v>46083</v>
          </cell>
          <cell r="D23">
            <v>29314.43564679032</v>
          </cell>
          <cell r="E23">
            <v>7445588605</v>
          </cell>
          <cell r="F23" t="str">
            <v>KKBK0007462</v>
          </cell>
          <cell r="G23" t="str">
            <v xml:space="preserve">Kotak </v>
          </cell>
        </row>
        <row r="24">
          <cell r="A24" t="str">
            <v>AGS26030</v>
          </cell>
          <cell r="B24" t="str">
            <v>Sruthin Kumar Basa</v>
          </cell>
          <cell r="C24">
            <v>46083</v>
          </cell>
          <cell r="D24">
            <v>29314.43564679032</v>
          </cell>
          <cell r="E24">
            <v>4495101004331</v>
          </cell>
          <cell r="F24" t="str">
            <v>CNRB0004495</v>
          </cell>
          <cell r="G24" t="str">
            <v>Canara Bank</v>
          </cell>
        </row>
        <row r="25">
          <cell r="A25" t="str">
            <v>AGS26032</v>
          </cell>
          <cell r="B25" t="str">
            <v>Vempadapu Uday Sai Tarun</v>
          </cell>
          <cell r="C25">
            <v>46083</v>
          </cell>
          <cell r="D25">
            <v>18741.643419959688</v>
          </cell>
          <cell r="E25">
            <v>37182972098</v>
          </cell>
          <cell r="F25" t="str">
            <v>SBIN0008054</v>
          </cell>
          <cell r="G25" t="str">
            <v>State Bank of India</v>
          </cell>
        </row>
        <row r="26">
          <cell r="A26" t="str">
            <v>AGS26033</v>
          </cell>
          <cell r="B26" t="str">
            <v>Kethavath Sai Raj</v>
          </cell>
          <cell r="C26">
            <v>46083</v>
          </cell>
          <cell r="D26">
            <v>29314.43564679032</v>
          </cell>
          <cell r="E26">
            <v>39971511897</v>
          </cell>
          <cell r="F26" t="str">
            <v>SBIN0021227</v>
          </cell>
          <cell r="G26" t="str">
            <v>State Bank of India</v>
          </cell>
        </row>
        <row r="27">
          <cell r="A27" t="str">
            <v>AGS26034</v>
          </cell>
          <cell r="B27" t="str">
            <v>Sripada Shivakumar</v>
          </cell>
          <cell r="C27">
            <v>46083</v>
          </cell>
          <cell r="D27">
            <v>52926.129311548393</v>
          </cell>
          <cell r="E27">
            <v>41536691505</v>
          </cell>
          <cell r="F27" t="str">
            <v>SBIN0008807</v>
          </cell>
          <cell r="G27" t="str">
            <v>State Bank of India</v>
          </cell>
        </row>
        <row r="28">
          <cell r="A28" t="str">
            <v>AGS26035</v>
          </cell>
          <cell r="B28" t="str">
            <v>Varakantham Surender Reddy</v>
          </cell>
          <cell r="C28">
            <v>46083</v>
          </cell>
          <cell r="D28">
            <v>52926.129311548393</v>
          </cell>
          <cell r="E28">
            <v>50100141200194</v>
          </cell>
          <cell r="F28" t="str">
            <v>HDFC0004480</v>
          </cell>
          <cell r="G28" t="str">
            <v>HDFC Bank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workbookViewId="0">
      <selection activeCell="L2" sqref="L2:L20"/>
    </sheetView>
  </sheetViews>
  <sheetFormatPr defaultRowHeight="14.5" x14ac:dyDescent="0.35"/>
  <cols>
    <col min="1" max="1" width="9.1796875" bestFit="1" customWidth="1"/>
    <col min="2" max="2" width="26.08984375" bestFit="1" customWidth="1"/>
    <col min="3" max="3" width="11.1796875" bestFit="1" customWidth="1"/>
    <col min="4" max="4" width="22" bestFit="1" customWidth="1"/>
    <col min="5" max="5" width="14.6328125" bestFit="1" customWidth="1"/>
    <col min="6" max="6" width="10" bestFit="1" customWidth="1"/>
    <col min="7" max="7" width="17" bestFit="1" customWidth="1"/>
    <col min="8" max="8" width="13.08984375" bestFit="1" customWidth="1"/>
    <col min="9" max="9" width="7.36328125" bestFit="1" customWidth="1"/>
    <col min="10" max="10" width="5.6328125" bestFit="1" customWidth="1"/>
    <col min="11" max="11" width="10.6328125" bestFit="1" customWidth="1"/>
    <col min="12" max="12" width="10.453125" bestFit="1" customWidth="1"/>
    <col min="13" max="13" width="8.90625" bestFit="1" customWidth="1"/>
    <col min="14" max="14" width="8.54296875" bestFit="1" customWidth="1"/>
    <col min="15" max="15" width="10.6328125" bestFit="1" customWidth="1"/>
    <col min="16" max="17" width="9.7265625" bestFit="1" customWidth="1"/>
    <col min="18" max="18" width="8.7265625" bestFit="1" customWidth="1"/>
    <col min="19" max="20" width="9.7265625" bestFit="1" customWidth="1"/>
    <col min="21" max="21" width="8.7265625" bestFit="1" customWidth="1"/>
    <col min="22" max="22" width="7.26953125" bestFit="1" customWidth="1"/>
    <col min="23" max="23" width="4.36328125" bestFit="1" customWidth="1"/>
    <col min="24" max="24" width="8.7265625" bestFit="1" customWidth="1"/>
    <col min="25" max="25" width="9.7265625" bestFit="1" customWidth="1"/>
    <col min="26" max="26" width="45.36328125" bestFit="1" customWidth="1"/>
    <col min="27" max="27" width="8.453125" bestFit="1" customWidth="1"/>
  </cols>
  <sheetData>
    <row r="1" spans="1:26" x14ac:dyDescent="0.35">
      <c r="A1" s="3" t="s">
        <v>9</v>
      </c>
      <c r="B1" s="3" t="s">
        <v>10</v>
      </c>
      <c r="C1" s="3" t="s">
        <v>11</v>
      </c>
      <c r="D1" s="4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25</v>
      </c>
      <c r="V1" s="3" t="s">
        <v>23</v>
      </c>
      <c r="W1" s="3" t="s">
        <v>6</v>
      </c>
      <c r="X1" s="3" t="s">
        <v>24</v>
      </c>
      <c r="Y1" s="3" t="s">
        <v>7</v>
      </c>
      <c r="Z1" s="3" t="s">
        <v>8</v>
      </c>
    </row>
    <row r="2" spans="1:26" ht="29" x14ac:dyDescent="0.35">
      <c r="A2" s="1" t="s">
        <v>26</v>
      </c>
      <c r="B2" s="1" t="s">
        <v>27</v>
      </c>
      <c r="C2" s="8" t="s">
        <v>75</v>
      </c>
      <c r="D2" s="2" t="s">
        <v>64</v>
      </c>
      <c r="E2" t="s">
        <v>70</v>
      </c>
      <c r="F2" t="s">
        <v>73</v>
      </c>
      <c r="G2" s="5">
        <f>VLOOKUP(A2,[1]Payment!$A$2:$G$28,5,0)</f>
        <v>41280100007853</v>
      </c>
      <c r="H2" t="str">
        <f>VLOOKUP(A2,[1]Payment!$A$2:$G$28,6,0)</f>
        <v>BARB0WALUJX</v>
      </c>
      <c r="K2" s="6" t="s">
        <v>74</v>
      </c>
      <c r="L2" s="8" t="s">
        <v>78</v>
      </c>
      <c r="M2">
        <v>30</v>
      </c>
      <c r="N2">
        <v>0</v>
      </c>
      <c r="O2" s="6" t="s">
        <v>74</v>
      </c>
      <c r="P2" s="7">
        <v>35417</v>
      </c>
      <c r="Q2" s="7">
        <v>17708</v>
      </c>
      <c r="R2" s="7">
        <v>1600</v>
      </c>
      <c r="S2" s="7">
        <v>12605</v>
      </c>
      <c r="T2" s="7">
        <v>67330</v>
      </c>
      <c r="U2" s="7">
        <v>1800</v>
      </c>
      <c r="V2" s="7">
        <v>200</v>
      </c>
      <c r="W2" s="7">
        <v>0</v>
      </c>
      <c r="X2" s="7">
        <v>2000</v>
      </c>
      <c r="Y2" s="7">
        <v>65330</v>
      </c>
      <c r="Z2" t="str">
        <f>CHOOSE(--LEFT(TEXT(Y2,"000000.00"))+1,,"One","Two","Three","Four","Five","Six","Seven","Eight","Nine")&amp;IF(--LEFT(TEXT(Y2,"000000.00"))=0,""," Lakh ")&amp;IF(--MID(TEXT(Y2,"000000.00"),2,1)&lt;&gt;1,CHOOSE(--MID(TEXT(Y2,"000000.00"),2,1)+1,,"","Twenty ","Thirty ","Forty ","Fifty ","Sixty ","Seventy ","Eighty ","Ninety "),"")&amp;IF(--MID(TEXT(Y2,"000000.00"),2,1)&lt;&gt;1,CHOOSE(--MID(TEXT(Y2,"000000.00"),3,1)+1,,"One","Two","Three","Four","Five","Six","Seven","Eight","Nine"),CHOOSE(--MID(TEXT(Y2,"000000.00"),3,1)+1,"Ten","Eleven","Twelve","Thirteen","Fourteen","Fifteen","Sixteen","Seventeen","Eighteen","Nineteen"))&amp;IF((--MID(TEXT(Y2,"000000.00"),2,1)+--MID(TEXT(Y2,"000000.00"),3,1))=0,""," Thousand ")&amp;CHOOSE(--MID(TEXT(Y2,"000000.00"),4,1)+1,,"One","Two","Three","Four","Five","Six","Seven","Eight","Nine")&amp;IF(--MID(TEXT(Y2,"000000.00"),4,1)=0,"",IF(AND(--MID(TEXT(Y2,"000000.00"),5,1)=0,--MID(TEXT(Y2,"000000.00"),6,1)=0)," Hundred"," Hundred and "))&amp;IF(--MID(TEXT(Y2,"000000.00"),5,1)&lt;&gt;1,CHOOSE(--MID(TEXT(Y2,"000000.00"),5,1)+1,,"","Twenty ","Thirty ","Forty ","Fifty ","Sixty ","Seventy ","Eighty ","Ninety "),"")&amp;IF(--MID(TEXT(Y2,"000000.00"),5,1)&lt;&gt;1,CHOOSE(--MID(TEXT(Y2,"000000.00"),6,1)+1,,"One","Two","Three","Four","Five","Six","Seven","Eight","Nine"),CHOOSE(--MID(TEXT(Y2,"000000.00"),6,1)+1,"Ten","Eleven","Twelve","Thirteen","Fourteen","Fifteen","Sixteen","Seventeen","Eighteen","Nineteen"))</f>
        <v xml:space="preserve">Sixty Five Thousand Three Hundred and Thirty </v>
      </c>
    </row>
    <row r="3" spans="1:26" x14ac:dyDescent="0.35">
      <c r="A3" s="1" t="s">
        <v>28</v>
      </c>
      <c r="B3" s="1" t="s">
        <v>29</v>
      </c>
      <c r="C3" s="8" t="s">
        <v>76</v>
      </c>
      <c r="D3" s="2" t="s">
        <v>65</v>
      </c>
      <c r="E3" t="s">
        <v>71</v>
      </c>
      <c r="F3" t="s">
        <v>73</v>
      </c>
      <c r="G3" s="5">
        <f>VLOOKUP(A3,[1]Payment!$A$2:$G$28,5,0)</f>
        <v>919010033458832</v>
      </c>
      <c r="H3" t="str">
        <f>VLOOKUP(A3,[1]Payment!$A$2:$G$28,6,0)</f>
        <v>UTIB0000553</v>
      </c>
      <c r="K3" s="6" t="s">
        <v>74</v>
      </c>
      <c r="L3" s="8" t="s">
        <v>78</v>
      </c>
      <c r="M3">
        <v>30</v>
      </c>
      <c r="N3">
        <v>0</v>
      </c>
      <c r="O3" s="6" t="s">
        <v>74</v>
      </c>
      <c r="P3" s="7">
        <v>43548</v>
      </c>
      <c r="Q3" s="7">
        <v>21774</v>
      </c>
      <c r="R3" s="7">
        <v>1394</v>
      </c>
      <c r="S3" s="7">
        <v>16718</v>
      </c>
      <c r="T3" s="7">
        <v>83434</v>
      </c>
      <c r="U3" s="7">
        <v>1800</v>
      </c>
      <c r="V3" s="7">
        <v>200</v>
      </c>
      <c r="W3" s="7">
        <v>0</v>
      </c>
      <c r="X3" s="7">
        <v>2000</v>
      </c>
      <c r="Y3" s="7">
        <v>81434</v>
      </c>
      <c r="Z3" t="str">
        <f t="shared" ref="Z3:Z20" si="0">CHOOSE(--LEFT(TEXT(Y3,"000000.00"))+1,,"One","Two","Three","Four","Five","Six","Seven","Eight","Nine")&amp;IF(--LEFT(TEXT(Y3,"000000.00"))=0,""," Lakh ")&amp;IF(--MID(TEXT(Y3,"000000.00"),2,1)&lt;&gt;1,CHOOSE(--MID(TEXT(Y3,"000000.00"),2,1)+1,,"","Twenty ","Thirty ","Forty ","Fifty ","Sixty ","Seventy ","Eighty ","Ninety "),"")&amp;IF(--MID(TEXT(Y3,"000000.00"),2,1)&lt;&gt;1,CHOOSE(--MID(TEXT(Y3,"000000.00"),3,1)+1,,"One","Two","Three","Four","Five","Six","Seven","Eight","Nine"),CHOOSE(--MID(TEXT(Y3,"000000.00"),3,1)+1,"Ten","Eleven","Twelve","Thirteen","Fourteen","Fifteen","Sixteen","Seventeen","Eighteen","Nineteen"))&amp;IF((--MID(TEXT(Y3,"000000.00"),2,1)+--MID(TEXT(Y3,"000000.00"),3,1))=0,""," Thousand ")&amp;CHOOSE(--MID(TEXT(Y3,"000000.00"),4,1)+1,,"One","Two","Three","Four","Five","Six","Seven","Eight","Nine")&amp;IF(--MID(TEXT(Y3,"000000.00"),4,1)=0,"",IF(AND(--MID(TEXT(Y3,"000000.00"),5,1)=0,--MID(TEXT(Y3,"000000.00"),6,1)=0)," Hundred"," Hundred and "))&amp;IF(--MID(TEXT(Y3,"000000.00"),5,1)&lt;&gt;1,CHOOSE(--MID(TEXT(Y3,"000000.00"),5,1)+1,,"","Twenty ","Thirty ","Forty ","Fifty ","Sixty ","Seventy ","Eighty ","Ninety "),"")&amp;IF(--MID(TEXT(Y3,"000000.00"),5,1)&lt;&gt;1,CHOOSE(--MID(TEXT(Y3,"000000.00"),6,1)+1,,"One","Two","Three","Four","Five","Six","Seven","Eight","Nine"),CHOOSE(--MID(TEXT(Y3,"000000.00"),6,1)+1,"Ten","Eleven","Twelve","Thirteen","Fourteen","Fifteen","Sixteen","Seventeen","Eighteen","Nineteen"))</f>
        <v>Eighty One Thousand Four Hundred and Thirty Four</v>
      </c>
    </row>
    <row r="4" spans="1:26" x14ac:dyDescent="0.35">
      <c r="A4" s="1" t="s">
        <v>30</v>
      </c>
      <c r="B4" s="1" t="s">
        <v>31</v>
      </c>
      <c r="C4" s="8" t="s">
        <v>77</v>
      </c>
      <c r="D4" s="2" t="s">
        <v>66</v>
      </c>
      <c r="E4" t="s">
        <v>72</v>
      </c>
      <c r="F4" t="s">
        <v>73</v>
      </c>
      <c r="G4" s="5">
        <f>VLOOKUP(A4,[1]Payment!$A$2:$G$28,5,0)</f>
        <v>3327101004003</v>
      </c>
      <c r="H4" t="str">
        <f>VLOOKUP(A4,[1]Payment!$A$2:$G$28,6,0)</f>
        <v>CNRB0003327</v>
      </c>
      <c r="K4" s="6" t="s">
        <v>74</v>
      </c>
      <c r="L4" s="8" t="s">
        <v>78</v>
      </c>
      <c r="M4">
        <v>30</v>
      </c>
      <c r="N4">
        <v>0</v>
      </c>
      <c r="O4" s="6" t="s">
        <v>74</v>
      </c>
      <c r="P4" s="7">
        <v>21774</v>
      </c>
      <c r="Q4" s="7">
        <v>10887</v>
      </c>
      <c r="R4" s="7">
        <v>1548</v>
      </c>
      <c r="S4" s="7">
        <v>6549</v>
      </c>
      <c r="T4" s="7">
        <v>40759</v>
      </c>
      <c r="U4" s="7">
        <v>1800</v>
      </c>
      <c r="V4" s="7">
        <v>200</v>
      </c>
      <c r="W4" s="7">
        <v>0</v>
      </c>
      <c r="X4" s="7">
        <v>2000</v>
      </c>
      <c r="Y4" s="7">
        <v>38759</v>
      </c>
      <c r="Z4" t="str">
        <f t="shared" si="0"/>
        <v>Thirty Eight Thousand Seven Hundred and Fifty Nine</v>
      </c>
    </row>
    <row r="5" spans="1:26" x14ac:dyDescent="0.35">
      <c r="A5" s="1" t="s">
        <v>32</v>
      </c>
      <c r="B5" s="1" t="s">
        <v>33</v>
      </c>
      <c r="C5" s="8" t="s">
        <v>77</v>
      </c>
      <c r="D5" s="2" t="s">
        <v>66</v>
      </c>
      <c r="E5" t="s">
        <v>72</v>
      </c>
      <c r="F5" t="s">
        <v>73</v>
      </c>
      <c r="G5" s="5">
        <f>VLOOKUP(A5,[1]Payment!$A$2:$G$28,5,0)</f>
        <v>50100595290241</v>
      </c>
      <c r="H5" t="str">
        <f>VLOOKUP(A5,[1]Payment!$A$2:$G$28,6,0)</f>
        <v>HDFC0000075</v>
      </c>
      <c r="K5" s="6" t="s">
        <v>74</v>
      </c>
      <c r="L5" s="8" t="s">
        <v>78</v>
      </c>
      <c r="M5">
        <v>30</v>
      </c>
      <c r="N5">
        <v>0</v>
      </c>
      <c r="O5" s="6" t="s">
        <v>74</v>
      </c>
      <c r="P5" s="7">
        <v>21048</v>
      </c>
      <c r="Q5" s="7">
        <v>10524</v>
      </c>
      <c r="R5" s="7">
        <v>1497</v>
      </c>
      <c r="S5" s="7">
        <v>6331</v>
      </c>
      <c r="T5" s="7">
        <v>39400</v>
      </c>
      <c r="U5" s="7">
        <v>1800</v>
      </c>
      <c r="V5" s="7">
        <v>200</v>
      </c>
      <c r="W5" s="7">
        <v>0</v>
      </c>
      <c r="X5" s="7">
        <v>2000</v>
      </c>
      <c r="Y5" s="7">
        <v>37400</v>
      </c>
      <c r="Z5" t="str">
        <f t="shared" si="0"/>
        <v>Thirty Seven Thousand Four Hundred</v>
      </c>
    </row>
    <row r="6" spans="1:26" ht="29" x14ac:dyDescent="0.35">
      <c r="A6" s="1" t="s">
        <v>34</v>
      </c>
      <c r="B6" s="1" t="s">
        <v>35</v>
      </c>
      <c r="C6" s="8" t="s">
        <v>77</v>
      </c>
      <c r="D6" s="2" t="s">
        <v>67</v>
      </c>
      <c r="E6" t="s">
        <v>72</v>
      </c>
      <c r="F6" t="s">
        <v>73</v>
      </c>
      <c r="G6" s="5">
        <f>VLOOKUP(A6,[1]Payment!$A$2:$G$28,5,0)</f>
        <v>62428832885</v>
      </c>
      <c r="H6" t="str">
        <f>VLOOKUP(A6,[1]Payment!$A$2:$G$28,6,0)</f>
        <v>SBIN0020959</v>
      </c>
      <c r="K6" s="6" t="s">
        <v>74</v>
      </c>
      <c r="L6" s="8" t="s">
        <v>78</v>
      </c>
      <c r="M6">
        <v>30</v>
      </c>
      <c r="N6">
        <v>0</v>
      </c>
      <c r="O6" s="6" t="s">
        <v>74</v>
      </c>
      <c r="P6" s="7">
        <v>28065</v>
      </c>
      <c r="Q6" s="7">
        <v>14032</v>
      </c>
      <c r="R6" s="7">
        <v>1497</v>
      </c>
      <c r="S6" s="7">
        <v>9502</v>
      </c>
      <c r="T6" s="7">
        <v>53095</v>
      </c>
      <c r="U6" s="7">
        <v>1800</v>
      </c>
      <c r="V6" s="7">
        <v>200</v>
      </c>
      <c r="W6" s="7">
        <v>0</v>
      </c>
      <c r="X6" s="7">
        <v>2000</v>
      </c>
      <c r="Y6" s="7">
        <v>51095</v>
      </c>
      <c r="Z6" t="str">
        <f t="shared" si="0"/>
        <v>Fifty One Thousand Ninety Five</v>
      </c>
    </row>
    <row r="7" spans="1:26" x14ac:dyDescent="0.35">
      <c r="A7" s="1" t="s">
        <v>36</v>
      </c>
      <c r="B7" s="1" t="s">
        <v>37</v>
      </c>
      <c r="C7" s="8" t="s">
        <v>77</v>
      </c>
      <c r="D7" s="2" t="s">
        <v>68</v>
      </c>
      <c r="E7" t="s">
        <v>72</v>
      </c>
      <c r="F7" t="s">
        <v>73</v>
      </c>
      <c r="G7" s="5">
        <f>VLOOKUP(A7,[1]Payment!$A$2:$G$28,5,0)</f>
        <v>77770116800885</v>
      </c>
      <c r="H7" t="str">
        <f>VLOOKUP(A7,[1]Payment!$A$2:$G$28,6,0)</f>
        <v>FDRL0007777</v>
      </c>
      <c r="K7" s="6" t="s">
        <v>74</v>
      </c>
      <c r="L7" s="8" t="s">
        <v>78</v>
      </c>
      <c r="M7">
        <v>30</v>
      </c>
      <c r="N7">
        <v>0</v>
      </c>
      <c r="O7" s="6" t="s">
        <v>74</v>
      </c>
      <c r="P7" s="7">
        <v>24194</v>
      </c>
      <c r="Q7" s="7">
        <v>12097</v>
      </c>
      <c r="R7" s="7">
        <v>1548</v>
      </c>
      <c r="S7" s="7">
        <v>7643</v>
      </c>
      <c r="T7" s="7">
        <v>45481</v>
      </c>
      <c r="U7" s="7">
        <v>1800</v>
      </c>
      <c r="V7" s="7">
        <v>200</v>
      </c>
      <c r="W7" s="7">
        <v>0</v>
      </c>
      <c r="X7" s="7">
        <v>2000</v>
      </c>
      <c r="Y7" s="7">
        <v>43481</v>
      </c>
      <c r="Z7" t="str">
        <f t="shared" si="0"/>
        <v>Forty Three Thousand Four Hundred and Eighty One</v>
      </c>
    </row>
    <row r="8" spans="1:26" x14ac:dyDescent="0.35">
      <c r="A8" s="1" t="s">
        <v>38</v>
      </c>
      <c r="B8" s="1" t="s">
        <v>39</v>
      </c>
      <c r="C8" s="8" t="s">
        <v>77</v>
      </c>
      <c r="D8" s="2" t="s">
        <v>66</v>
      </c>
      <c r="E8" t="s">
        <v>72</v>
      </c>
      <c r="F8" t="s">
        <v>73</v>
      </c>
      <c r="G8" s="5">
        <f>VLOOKUP(A8,[1]Payment!$A$2:$G$28,5,0)</f>
        <v>41085488775</v>
      </c>
      <c r="H8" t="str">
        <f>VLOOKUP(A8,[1]Payment!$A$2:$G$28,6,0)</f>
        <v>SBIN0016293</v>
      </c>
      <c r="K8" s="6" t="s">
        <v>74</v>
      </c>
      <c r="L8" s="8" t="s">
        <v>78</v>
      </c>
      <c r="M8">
        <v>30</v>
      </c>
      <c r="N8">
        <v>0</v>
      </c>
      <c r="O8" s="6" t="s">
        <v>74</v>
      </c>
      <c r="P8" s="7">
        <v>21774</v>
      </c>
      <c r="Q8" s="7">
        <v>10887</v>
      </c>
      <c r="R8" s="7">
        <v>1548</v>
      </c>
      <c r="S8" s="7">
        <v>6549</v>
      </c>
      <c r="T8" s="7">
        <v>40759</v>
      </c>
      <c r="U8" s="7">
        <v>1800</v>
      </c>
      <c r="V8" s="7">
        <v>200</v>
      </c>
      <c r="W8" s="7">
        <v>0</v>
      </c>
      <c r="X8" s="7">
        <v>2000</v>
      </c>
      <c r="Y8" s="7">
        <v>38759</v>
      </c>
      <c r="Z8" t="str">
        <f t="shared" si="0"/>
        <v>Thirty Eight Thousand Seven Hundred and Fifty Nine</v>
      </c>
    </row>
    <row r="9" spans="1:26" x14ac:dyDescent="0.35">
      <c r="A9" s="1" t="s">
        <v>40</v>
      </c>
      <c r="B9" s="1" t="s">
        <v>41</v>
      </c>
      <c r="C9" s="8" t="s">
        <v>77</v>
      </c>
      <c r="D9" s="2" t="s">
        <v>66</v>
      </c>
      <c r="E9" t="s">
        <v>72</v>
      </c>
      <c r="F9" t="s">
        <v>73</v>
      </c>
      <c r="G9" s="5">
        <f>VLOOKUP(A9,[1]Payment!$A$2:$G$28,5,0)</f>
        <v>62297418711</v>
      </c>
      <c r="H9" t="str">
        <f>VLOOKUP(A9,[1]Payment!$A$2:$G$28,6,0)</f>
        <v>SBIN0003801</v>
      </c>
      <c r="K9" s="6" t="s">
        <v>74</v>
      </c>
      <c r="L9" s="8" t="s">
        <v>78</v>
      </c>
      <c r="M9">
        <v>30</v>
      </c>
      <c r="N9">
        <v>0</v>
      </c>
      <c r="O9" s="6" t="s">
        <v>74</v>
      </c>
      <c r="P9" s="7">
        <v>21774</v>
      </c>
      <c r="Q9" s="7">
        <v>10887</v>
      </c>
      <c r="R9" s="7">
        <v>1548</v>
      </c>
      <c r="S9" s="7">
        <v>6549</v>
      </c>
      <c r="T9" s="7">
        <v>40759</v>
      </c>
      <c r="U9" s="7">
        <v>1800</v>
      </c>
      <c r="V9" s="7">
        <v>200</v>
      </c>
      <c r="W9" s="7">
        <v>0</v>
      </c>
      <c r="X9" s="7">
        <v>2000</v>
      </c>
      <c r="Y9" s="7">
        <v>38759</v>
      </c>
      <c r="Z9" t="str">
        <f t="shared" si="0"/>
        <v>Thirty Eight Thousand Seven Hundred and Fifty Nine</v>
      </c>
    </row>
    <row r="10" spans="1:26" x14ac:dyDescent="0.35">
      <c r="A10" s="1" t="s">
        <v>42</v>
      </c>
      <c r="B10" s="1" t="s">
        <v>43</v>
      </c>
      <c r="C10" s="8" t="s">
        <v>77</v>
      </c>
      <c r="D10" s="2" t="s">
        <v>66</v>
      </c>
      <c r="E10" t="s">
        <v>72</v>
      </c>
      <c r="F10" t="s">
        <v>73</v>
      </c>
      <c r="G10" s="5">
        <f>VLOOKUP(A10,[1]Payment!$A$2:$G$28,5,0)</f>
        <v>1446178000009710</v>
      </c>
      <c r="H10" t="str">
        <f>VLOOKUP(A10,[1]Payment!$A$2:$G$28,6,0)</f>
        <v>KVBL0001446</v>
      </c>
      <c r="K10" s="6" t="s">
        <v>74</v>
      </c>
      <c r="L10" s="8" t="s">
        <v>78</v>
      </c>
      <c r="M10">
        <v>30</v>
      </c>
      <c r="N10">
        <v>0</v>
      </c>
      <c r="O10" s="6" t="s">
        <v>74</v>
      </c>
      <c r="P10" s="7">
        <v>21774</v>
      </c>
      <c r="Q10" s="7">
        <v>10887</v>
      </c>
      <c r="R10" s="7">
        <v>1548</v>
      </c>
      <c r="S10" s="7">
        <v>6549</v>
      </c>
      <c r="T10" s="7">
        <v>40759</v>
      </c>
      <c r="U10" s="7">
        <v>1800</v>
      </c>
      <c r="V10" s="7">
        <v>200</v>
      </c>
      <c r="W10" s="7">
        <v>0</v>
      </c>
      <c r="X10" s="7">
        <v>2000</v>
      </c>
      <c r="Y10" s="7">
        <v>38759</v>
      </c>
      <c r="Z10" t="str">
        <f t="shared" si="0"/>
        <v>Thirty Eight Thousand Seven Hundred and Fifty Nine</v>
      </c>
    </row>
    <row r="11" spans="1:26" x14ac:dyDescent="0.35">
      <c r="A11" s="1" t="s">
        <v>44</v>
      </c>
      <c r="B11" s="1" t="s">
        <v>45</v>
      </c>
      <c r="C11" s="8" t="s">
        <v>77</v>
      </c>
      <c r="D11" s="2" t="s">
        <v>66</v>
      </c>
      <c r="E11" t="s">
        <v>72</v>
      </c>
      <c r="F11" t="s">
        <v>73</v>
      </c>
      <c r="G11" s="5">
        <f>VLOOKUP(A11,[1]Payment!$A$2:$G$28,5,0)</f>
        <v>159502740717</v>
      </c>
      <c r="H11" t="str">
        <f>VLOOKUP(A11,[1]Payment!$A$2:$G$28,6,0)</f>
        <v>INDB0000329</v>
      </c>
      <c r="K11" s="6" t="s">
        <v>74</v>
      </c>
      <c r="L11" s="8" t="s">
        <v>78</v>
      </c>
      <c r="M11">
        <v>30</v>
      </c>
      <c r="N11">
        <v>0</v>
      </c>
      <c r="O11" s="6" t="s">
        <v>74</v>
      </c>
      <c r="P11" s="7">
        <v>21774</v>
      </c>
      <c r="Q11" s="7">
        <v>10887</v>
      </c>
      <c r="R11" s="7">
        <v>1548</v>
      </c>
      <c r="S11" s="7">
        <v>6549</v>
      </c>
      <c r="T11" s="7">
        <v>40759</v>
      </c>
      <c r="U11" s="7">
        <v>1800</v>
      </c>
      <c r="V11" s="7">
        <v>200</v>
      </c>
      <c r="W11" s="7">
        <v>0</v>
      </c>
      <c r="X11" s="7">
        <v>2000</v>
      </c>
      <c r="Y11" s="7">
        <v>38759</v>
      </c>
      <c r="Z11" t="str">
        <f t="shared" si="0"/>
        <v>Thirty Eight Thousand Seven Hundred and Fifty Nine</v>
      </c>
    </row>
    <row r="12" spans="1:26" x14ac:dyDescent="0.35">
      <c r="A12" s="1" t="s">
        <v>46</v>
      </c>
      <c r="B12" s="1" t="s">
        <v>47</v>
      </c>
      <c r="C12" s="8" t="s">
        <v>77</v>
      </c>
      <c r="D12" s="2" t="s">
        <v>68</v>
      </c>
      <c r="E12" t="s">
        <v>72</v>
      </c>
      <c r="F12" t="s">
        <v>73</v>
      </c>
      <c r="G12" s="5">
        <f>VLOOKUP(A12,[1]Payment!$A$2:$G$28,5,0)</f>
        <v>39569845546</v>
      </c>
      <c r="H12" t="str">
        <f>VLOOKUP(A12,[1]Payment!$A$2:$G$28,6,0)</f>
        <v>SBIN0008024</v>
      </c>
      <c r="K12" s="6" t="s">
        <v>74</v>
      </c>
      <c r="L12" s="8" t="s">
        <v>78</v>
      </c>
      <c r="M12">
        <v>30</v>
      </c>
      <c r="N12">
        <v>0</v>
      </c>
      <c r="O12" s="6" t="s">
        <v>74</v>
      </c>
      <c r="P12" s="7">
        <v>24194</v>
      </c>
      <c r="Q12" s="7">
        <v>12097</v>
      </c>
      <c r="R12" s="7">
        <v>1548</v>
      </c>
      <c r="S12" s="7">
        <v>7643</v>
      </c>
      <c r="T12" s="7">
        <v>45481</v>
      </c>
      <c r="U12" s="7">
        <v>1800</v>
      </c>
      <c r="V12" s="7">
        <v>200</v>
      </c>
      <c r="W12" s="7">
        <v>0</v>
      </c>
      <c r="X12" s="7">
        <v>2000</v>
      </c>
      <c r="Y12" s="7">
        <v>43481</v>
      </c>
      <c r="Z12" t="str">
        <f t="shared" si="0"/>
        <v>Forty Three Thousand Four Hundred and Eighty One</v>
      </c>
    </row>
    <row r="13" spans="1:26" x14ac:dyDescent="0.35">
      <c r="A13" s="1" t="s">
        <v>48</v>
      </c>
      <c r="B13" s="1" t="s">
        <v>49</v>
      </c>
      <c r="C13" s="8" t="s">
        <v>77</v>
      </c>
      <c r="D13" s="2" t="s">
        <v>68</v>
      </c>
      <c r="E13" t="s">
        <v>72</v>
      </c>
      <c r="F13" t="s">
        <v>73</v>
      </c>
      <c r="G13" s="5">
        <f>VLOOKUP(A13,[1]Payment!$A$2:$G$28,5,0)</f>
        <v>50100565431077</v>
      </c>
      <c r="H13" t="str">
        <f>VLOOKUP(A13,[1]Payment!$A$2:$G$28,6,0)</f>
        <v>HDFC0005175</v>
      </c>
      <c r="K13" s="6" t="s">
        <v>74</v>
      </c>
      <c r="L13" s="8" t="s">
        <v>78</v>
      </c>
      <c r="M13">
        <v>30</v>
      </c>
      <c r="N13">
        <v>0</v>
      </c>
      <c r="O13" s="6" t="s">
        <v>74</v>
      </c>
      <c r="P13" s="7">
        <v>24194</v>
      </c>
      <c r="Q13" s="7">
        <v>12097</v>
      </c>
      <c r="R13" s="7">
        <v>1548</v>
      </c>
      <c r="S13" s="7">
        <v>7643</v>
      </c>
      <c r="T13" s="7">
        <v>45481</v>
      </c>
      <c r="U13" s="7">
        <v>1800</v>
      </c>
      <c r="V13" s="7">
        <v>200</v>
      </c>
      <c r="W13" s="7">
        <v>0</v>
      </c>
      <c r="X13" s="7">
        <v>2000</v>
      </c>
      <c r="Y13" s="7">
        <v>43481</v>
      </c>
      <c r="Z13" t="str">
        <f t="shared" si="0"/>
        <v>Forty Three Thousand Four Hundred and Eighty One</v>
      </c>
    </row>
    <row r="14" spans="1:26" ht="29" x14ac:dyDescent="0.35">
      <c r="A14" s="1" t="s">
        <v>50</v>
      </c>
      <c r="B14" s="1" t="s">
        <v>51</v>
      </c>
      <c r="C14" s="8" t="s">
        <v>77</v>
      </c>
      <c r="D14" s="2" t="s">
        <v>67</v>
      </c>
      <c r="E14" t="s">
        <v>72</v>
      </c>
      <c r="F14" t="s">
        <v>73</v>
      </c>
      <c r="G14" s="5">
        <f>VLOOKUP(A14,[1]Payment!$A$2:$G$28,5,0)</f>
        <v>41202390653</v>
      </c>
      <c r="H14" t="str">
        <f>VLOOKUP(A14,[1]Payment!$A$2:$G$28,6,0)</f>
        <v>SBIN0000910</v>
      </c>
      <c r="K14" s="6" t="s">
        <v>74</v>
      </c>
      <c r="L14" s="8" t="s">
        <v>78</v>
      </c>
      <c r="M14">
        <v>30</v>
      </c>
      <c r="N14">
        <v>0</v>
      </c>
      <c r="O14" s="6" t="s">
        <v>74</v>
      </c>
      <c r="P14" s="7">
        <v>29032</v>
      </c>
      <c r="Q14" s="7">
        <v>14516</v>
      </c>
      <c r="R14" s="7">
        <v>1548</v>
      </c>
      <c r="S14" s="7">
        <v>9829</v>
      </c>
      <c r="T14" s="7">
        <v>54926</v>
      </c>
      <c r="U14" s="7">
        <v>1800</v>
      </c>
      <c r="V14" s="7">
        <v>200</v>
      </c>
      <c r="W14" s="7">
        <v>0</v>
      </c>
      <c r="X14" s="7">
        <v>2000</v>
      </c>
      <c r="Y14" s="7">
        <v>52926</v>
      </c>
      <c r="Z14" t="str">
        <f t="shared" si="0"/>
        <v>Fifty Two Thousand Nine Hundred and Twenty Six</v>
      </c>
    </row>
    <row r="15" spans="1:26" ht="29" x14ac:dyDescent="0.35">
      <c r="A15" s="1" t="s">
        <v>52</v>
      </c>
      <c r="B15" s="1" t="s">
        <v>53</v>
      </c>
      <c r="C15" s="8" t="s">
        <v>77</v>
      </c>
      <c r="D15" s="2" t="s">
        <v>67</v>
      </c>
      <c r="E15" t="s">
        <v>72</v>
      </c>
      <c r="F15" t="s">
        <v>73</v>
      </c>
      <c r="G15" s="5">
        <f>VLOOKUP(A15,[1]Payment!$A$2:$G$28,5,0)</f>
        <v>615728726</v>
      </c>
      <c r="H15" t="str">
        <f>VLOOKUP(A15,[1]Payment!$A$2:$G$28,6,0)</f>
        <v>IDIB000P121</v>
      </c>
      <c r="K15" s="6" t="s">
        <v>74</v>
      </c>
      <c r="L15" s="8" t="s">
        <v>78</v>
      </c>
      <c r="M15">
        <v>30</v>
      </c>
      <c r="N15">
        <v>0</v>
      </c>
      <c r="O15" s="6" t="s">
        <v>74</v>
      </c>
      <c r="P15" s="7">
        <v>29032</v>
      </c>
      <c r="Q15" s="7">
        <v>14516</v>
      </c>
      <c r="R15" s="7">
        <v>1548</v>
      </c>
      <c r="S15" s="7">
        <v>9829</v>
      </c>
      <c r="T15" s="7">
        <v>54926</v>
      </c>
      <c r="U15" s="7">
        <v>1800</v>
      </c>
      <c r="V15" s="7">
        <v>200</v>
      </c>
      <c r="W15" s="7">
        <v>0</v>
      </c>
      <c r="X15" s="7">
        <v>2000</v>
      </c>
      <c r="Y15" s="7">
        <v>52926</v>
      </c>
      <c r="Z15" t="str">
        <f t="shared" si="0"/>
        <v>Fifty Two Thousand Nine Hundred and Twenty Six</v>
      </c>
    </row>
    <row r="16" spans="1:26" x14ac:dyDescent="0.35">
      <c r="A16" s="1" t="s">
        <v>54</v>
      </c>
      <c r="B16" s="1" t="s">
        <v>55</v>
      </c>
      <c r="C16" s="8" t="s">
        <v>77</v>
      </c>
      <c r="D16" s="2" t="s">
        <v>69</v>
      </c>
      <c r="E16" t="s">
        <v>72</v>
      </c>
      <c r="F16" t="s">
        <v>73</v>
      </c>
      <c r="G16" s="5">
        <f>VLOOKUP(A16,[1]Payment!$A$2:$G$28,5,0)</f>
        <v>7445588605</v>
      </c>
      <c r="H16" t="str">
        <f>VLOOKUP(A16,[1]Payment!$A$2:$G$28,6,0)</f>
        <v>KKBK0007462</v>
      </c>
      <c r="K16" s="6" t="s">
        <v>74</v>
      </c>
      <c r="L16" s="8" t="s">
        <v>78</v>
      </c>
      <c r="M16">
        <v>30</v>
      </c>
      <c r="N16">
        <v>0</v>
      </c>
      <c r="O16" s="6" t="s">
        <v>74</v>
      </c>
      <c r="P16" s="7">
        <v>16935</v>
      </c>
      <c r="Q16" s="7">
        <v>8468</v>
      </c>
      <c r="R16" s="7">
        <v>1548</v>
      </c>
      <c r="S16" s="7">
        <v>4363</v>
      </c>
      <c r="T16" s="7">
        <v>31314</v>
      </c>
      <c r="U16" s="7">
        <v>1800</v>
      </c>
      <c r="V16" s="7">
        <v>200</v>
      </c>
      <c r="W16" s="7">
        <v>0</v>
      </c>
      <c r="X16" s="7">
        <v>2000</v>
      </c>
      <c r="Y16" s="7">
        <v>29314</v>
      </c>
      <c r="Z16" t="str">
        <f t="shared" si="0"/>
        <v>Twenty Nine Thousand Three Hundred and Fourteen</v>
      </c>
    </row>
    <row r="17" spans="1:26" x14ac:dyDescent="0.35">
      <c r="A17" s="1" t="s">
        <v>56</v>
      </c>
      <c r="B17" s="1" t="s">
        <v>57</v>
      </c>
      <c r="C17" s="8" t="s">
        <v>77</v>
      </c>
      <c r="D17" s="2" t="s">
        <v>69</v>
      </c>
      <c r="E17" t="s">
        <v>72</v>
      </c>
      <c r="F17" t="s">
        <v>73</v>
      </c>
      <c r="G17" s="5">
        <f>VLOOKUP(A17,[1]Payment!$A$2:$G$28,5,0)</f>
        <v>4495101004331</v>
      </c>
      <c r="H17" t="str">
        <f>VLOOKUP(A17,[1]Payment!$A$2:$G$28,6,0)</f>
        <v>CNRB0004495</v>
      </c>
      <c r="K17" s="6" t="s">
        <v>74</v>
      </c>
      <c r="L17" s="8" t="s">
        <v>78</v>
      </c>
      <c r="M17">
        <v>30</v>
      </c>
      <c r="N17">
        <v>0</v>
      </c>
      <c r="O17" s="6" t="s">
        <v>74</v>
      </c>
      <c r="P17" s="7">
        <v>16935</v>
      </c>
      <c r="Q17" s="7">
        <v>8468</v>
      </c>
      <c r="R17" s="7">
        <v>1548</v>
      </c>
      <c r="S17" s="7">
        <v>4363</v>
      </c>
      <c r="T17" s="7">
        <v>31314</v>
      </c>
      <c r="U17" s="7">
        <v>1800</v>
      </c>
      <c r="V17" s="7">
        <v>200</v>
      </c>
      <c r="W17" s="7">
        <v>0</v>
      </c>
      <c r="X17" s="7">
        <v>2000</v>
      </c>
      <c r="Y17" s="7">
        <v>29314</v>
      </c>
      <c r="Z17" t="str">
        <f t="shared" si="0"/>
        <v>Twenty Nine Thousand Three Hundred and Fourteen</v>
      </c>
    </row>
    <row r="18" spans="1:26" x14ac:dyDescent="0.35">
      <c r="A18" s="1" t="s">
        <v>58</v>
      </c>
      <c r="B18" s="1" t="s">
        <v>59</v>
      </c>
      <c r="C18" s="8" t="s">
        <v>77</v>
      </c>
      <c r="D18" s="2" t="s">
        <v>69</v>
      </c>
      <c r="E18" t="s">
        <v>72</v>
      </c>
      <c r="F18" t="s">
        <v>73</v>
      </c>
      <c r="G18" s="5">
        <f>VLOOKUP(A18,[1]Payment!$A$2:$G$28,5,0)</f>
        <v>39971511897</v>
      </c>
      <c r="H18" t="str">
        <f>VLOOKUP(A18,[1]Payment!$A$2:$G$28,6,0)</f>
        <v>SBIN0021227</v>
      </c>
      <c r="K18" s="6" t="s">
        <v>74</v>
      </c>
      <c r="L18" s="8" t="s">
        <v>78</v>
      </c>
      <c r="M18">
        <v>30</v>
      </c>
      <c r="N18">
        <v>0</v>
      </c>
      <c r="O18" s="6" t="s">
        <v>74</v>
      </c>
      <c r="P18" s="7">
        <v>16935</v>
      </c>
      <c r="Q18" s="7">
        <v>8468</v>
      </c>
      <c r="R18" s="7">
        <v>1548</v>
      </c>
      <c r="S18" s="7">
        <v>4363</v>
      </c>
      <c r="T18" s="7">
        <v>31314</v>
      </c>
      <c r="U18" s="7">
        <v>1800</v>
      </c>
      <c r="V18" s="7">
        <v>200</v>
      </c>
      <c r="W18" s="7">
        <v>0</v>
      </c>
      <c r="X18" s="7">
        <v>2000</v>
      </c>
      <c r="Y18" s="7">
        <v>29314</v>
      </c>
      <c r="Z18" t="str">
        <f t="shared" si="0"/>
        <v>Twenty Nine Thousand Three Hundred and Fourteen</v>
      </c>
    </row>
    <row r="19" spans="1:26" ht="29" x14ac:dyDescent="0.35">
      <c r="A19" s="1" t="s">
        <v>60</v>
      </c>
      <c r="B19" s="1" t="s">
        <v>61</v>
      </c>
      <c r="C19" s="8" t="s">
        <v>77</v>
      </c>
      <c r="D19" s="2" t="s">
        <v>67</v>
      </c>
      <c r="E19" t="s">
        <v>72</v>
      </c>
      <c r="F19" t="s">
        <v>73</v>
      </c>
      <c r="G19" s="5">
        <f>VLOOKUP(A19,[1]Payment!$A$2:$G$28,5,0)</f>
        <v>41536691505</v>
      </c>
      <c r="H19" t="str">
        <f>VLOOKUP(A19,[1]Payment!$A$2:$G$28,6,0)</f>
        <v>SBIN0008807</v>
      </c>
      <c r="K19" s="6" t="s">
        <v>74</v>
      </c>
      <c r="L19" s="8" t="s">
        <v>78</v>
      </c>
      <c r="M19">
        <v>30</v>
      </c>
      <c r="N19">
        <v>0</v>
      </c>
      <c r="O19" s="6" t="s">
        <v>74</v>
      </c>
      <c r="P19" s="7">
        <v>29032</v>
      </c>
      <c r="Q19" s="7">
        <v>14516</v>
      </c>
      <c r="R19" s="7">
        <v>1548</v>
      </c>
      <c r="S19" s="7">
        <v>9829</v>
      </c>
      <c r="T19" s="7">
        <v>54926</v>
      </c>
      <c r="U19" s="7">
        <v>1800</v>
      </c>
      <c r="V19" s="7">
        <v>200</v>
      </c>
      <c r="W19" s="7">
        <v>0</v>
      </c>
      <c r="X19" s="7">
        <v>2000</v>
      </c>
      <c r="Y19" s="7">
        <v>52926</v>
      </c>
      <c r="Z19" t="str">
        <f t="shared" si="0"/>
        <v>Fifty Two Thousand Nine Hundred and Twenty Six</v>
      </c>
    </row>
    <row r="20" spans="1:26" ht="29" x14ac:dyDescent="0.35">
      <c r="A20" s="1" t="s">
        <v>62</v>
      </c>
      <c r="B20" s="1" t="s">
        <v>63</v>
      </c>
      <c r="C20" s="8" t="s">
        <v>77</v>
      </c>
      <c r="D20" s="2" t="s">
        <v>67</v>
      </c>
      <c r="E20" t="s">
        <v>72</v>
      </c>
      <c r="F20" t="s">
        <v>73</v>
      </c>
      <c r="G20" s="5">
        <f>VLOOKUP(A20,[1]Payment!$A$2:$G$28,5,0)</f>
        <v>50100141200194</v>
      </c>
      <c r="H20" t="str">
        <f>VLOOKUP(A20,[1]Payment!$A$2:$G$28,6,0)</f>
        <v>HDFC0004480</v>
      </c>
      <c r="K20" s="6" t="s">
        <v>74</v>
      </c>
      <c r="L20" s="8" t="s">
        <v>78</v>
      </c>
      <c r="M20">
        <v>30</v>
      </c>
      <c r="N20">
        <v>0</v>
      </c>
      <c r="O20" s="6" t="s">
        <v>74</v>
      </c>
      <c r="P20" s="7">
        <v>29032</v>
      </c>
      <c r="Q20" s="7">
        <v>14516</v>
      </c>
      <c r="R20" s="7">
        <v>1548</v>
      </c>
      <c r="S20" s="7">
        <v>9829</v>
      </c>
      <c r="T20" s="7">
        <v>54926</v>
      </c>
      <c r="U20" s="7">
        <v>1800</v>
      </c>
      <c r="V20" s="7">
        <v>200</v>
      </c>
      <c r="W20" s="7">
        <v>0</v>
      </c>
      <c r="X20" s="7">
        <v>2000</v>
      </c>
      <c r="Y20" s="7">
        <v>52926</v>
      </c>
      <c r="Z20" t="str">
        <f t="shared" si="0"/>
        <v>Fifty Two Thousand Nine Hundred and Twenty Six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2026-03-30T05:45:53Z</dcterms:modified>
</cp:coreProperties>
</file>