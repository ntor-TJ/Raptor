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B8CF320B-4B9A-41DC-8F30-64F28A25B8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1" l="1"/>
  <c r="AF2" i="1"/>
  <c r="AI8" i="1"/>
  <c r="AI3" i="1"/>
  <c r="AI17" i="1"/>
  <c r="AI5" i="1"/>
  <c r="AI6" i="1"/>
  <c r="AI7" i="1"/>
  <c r="AI11" i="1"/>
  <c r="AI12" i="1"/>
  <c r="AI13" i="1"/>
  <c r="AI14" i="1"/>
  <c r="AI15" i="1"/>
  <c r="AI18" i="1"/>
  <c r="AI19" i="1"/>
  <c r="AI20" i="1"/>
  <c r="AI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AI10" i="1"/>
  <c r="AI2" i="1" l="1"/>
  <c r="AI16" i="1"/>
  <c r="AI9" i="1"/>
</calcChain>
</file>

<file path=xl/sharedStrings.xml><?xml version="1.0" encoding="utf-8"?>
<sst xmlns="http://schemas.openxmlformats.org/spreadsheetml/2006/main" count="225" uniqueCount="89">
  <si>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</si>
  <si>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</si>
  <si>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</si>
  <si>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</si>
  <si>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</si>
  <si>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</si>
  <si>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</si>
  <si>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</si>
  <si>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</si>
  <si>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</si>
  <si>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</si>
  <si>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</si>
  <si>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</si>
  <si>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</si>
  <si>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</si>
  <si>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</si>
  <si>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</si>
  <si>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</si>
  <si>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</si>
  <si>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</si>
  <si>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</si>
  <si>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</si>
  <si>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</si>
  <si>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</si>
  <si>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</si>
  <si>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</si>
  <si>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</si>
  <si>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</si>
  <si>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</si>
  <si>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</si>
  <si>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</si>
  <si>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</si>
  <si>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</si>
  <si>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</si>
  <si>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</si>
  <si>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</si>
  <si>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</si>
  <si>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</si>
  <si>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</si>
  <si>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</si>
  <si>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</si>
  <si>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</si>
  <si>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</si>
  <si>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</si>
  <si>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</si>
  <si>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</si>
  <si>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</si>
  <si>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</si>
  <si>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</si>
  <si>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</si>
  <si>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</si>
  <si>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</si>
  <si>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</si>
  <si>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</si>
  <si>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</si>
  <si>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</si>
  <si>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</si>
  <si>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</si>
  <si>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AGS26033</t>
  </si>
  <si>
    <t>Kethavath Sai Raj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</si>
  <si>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</si>
  <si>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</si>
  <si>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</si>
  <si>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</si>
  <si>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</si>
  <si>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</si>
  <si>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</si>
  <si>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</si>
  <si>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</si>
  <si>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</si>
  <si>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</si>
  <si>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</si>
  <si>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</si>
  <si>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</si>
  <si>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March 2026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</si>
  <si>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</si>
  <si>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</si>
  <si>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</si>
  <si>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</si>
  <si>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</si>
  <si>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</si>
  <si>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</si>
  <si>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</si>
  <si>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</si>
  <si>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</si>
  <si>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</si>
  <si>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</si>
  <si>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0</t>
  </si>
  <si>
    <t>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</si>
</sst>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09]dd\ mmm\ yy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1" fontId="0" fillId="0" borderId="0" xfId="0" applyNumberFormat="1"/>
    <xf numFmtId="164" fontId="2" fillId="0" borderId="0" xfId="0" quotePrefix="1" applyNumberFormat="1" applyFont="1"/>
    <xf numFmtId="0" fontId="6" fillId="2" borderId="0" xfId="0" applyFont="1" applyFill="1" applyAlignment="1">
      <alignment horizontal="left" vertical="top"/>
    </xf>
    <xf numFmtId="49" fontId="0" fillId="0" borderId="0" xfId="0" quotePrefix="1" applyNumberFormat="1"/>
    <xf numFmtId="165" fontId="2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5" fontId="2" fillId="0" borderId="0" xfId="1" applyNumberFormat="1" applyFont="1" applyBorder="1" applyAlignment="1">
      <alignment horizontal="left"/>
    </xf>
    <xf numFmtId="165" fontId="7" fillId="0" borderId="0" xfId="1" applyNumberFormat="1" applyFont="1" applyAlignment="1">
      <alignment horizontal="left"/>
    </xf>
    <xf numFmtId="165" fontId="2" fillId="0" borderId="0" xfId="1" quotePrefix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March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  <sheetName val="Rental Amount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79800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38759.113112693551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52926.129311548393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18791.643419959688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 t="str">
            <v>1446178000009714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12203.245708669359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18791.643419959688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workbookViewId="0">
      <selection activeCell="G10" sqref="G10"/>
    </sheetView>
  </sheetViews>
  <sheetFormatPr defaultRowHeight="14.5" x14ac:dyDescent="0.35"/>
  <cols>
    <col min="1" max="1" width="9.1796875" bestFit="1" customWidth="1"/>
    <col min="2" max="2" width="26.08984375" bestFit="1" customWidth="1"/>
    <col min="3" max="3" width="11.1796875" bestFit="1" customWidth="1"/>
    <col min="4" max="4" width="22" bestFit="1" customWidth="1"/>
    <col min="5" max="5" width="14.6328125" bestFit="1" customWidth="1"/>
    <col min="6" max="6" width="10" bestFit="1" customWidth="1"/>
    <col min="7" max="7" width="17" bestFit="1" customWidth="1"/>
    <col min="8" max="8" width="13.08984375" bestFit="1" customWidth="1"/>
    <col min="9" max="9" width="12.90625" bestFit="1" customWidth="1"/>
    <col min="10" max="10" width="5.6328125" bestFit="1" customWidth="1"/>
    <col min="11" max="11" width="10.6328125" bestFit="1" customWidth="1"/>
    <col min="12" max="12" width="10.7265625" bestFit="1" customWidth="1"/>
    <col min="13" max="13" width="8.90625" bestFit="1" customWidth="1"/>
    <col min="14" max="14" width="8.54296875" bestFit="1" customWidth="1"/>
    <col min="15" max="15" width="10.6328125" bestFit="1" customWidth="1"/>
    <col min="16" max="16" width="7.7265625" bestFit="1" customWidth="1"/>
    <col min="17" max="17" width="7.1796875" bestFit="1" customWidth="1"/>
    <col min="18" max="18" width="7.7265625" bestFit="1" customWidth="1"/>
    <col min="19" max="19" width="7.1796875" bestFit="1" customWidth="1"/>
    <col min="20" max="20" width="6.1796875" bestFit="1" customWidth="1"/>
    <col min="21" max="21" width="8.6328125" bestFit="1" customWidth="1"/>
    <col min="22" max="22" width="8.26953125" bestFit="1" customWidth="1"/>
    <col min="23" max="23" width="7.81640625" bestFit="1" customWidth="1"/>
    <col min="24" max="24" width="7.7265625" bestFit="1" customWidth="1"/>
    <col min="25" max="25" width="8" bestFit="1" customWidth="1"/>
    <col min="26" max="26" width="6.1796875" bestFit="1" customWidth="1"/>
    <col min="27" max="27" width="4.7265625" bestFit="1" customWidth="1"/>
    <col min="28" max="28" width="4.36328125" bestFit="1" customWidth="1"/>
    <col min="29" max="32" width="6.1796875" bestFit="1" customWidth="1"/>
    <col min="33" max="33" width="7.1796875" bestFit="1" customWidth="1"/>
    <col min="34" max="34" width="7.81640625" bestFit="1" customWidth="1"/>
    <col min="35" max="35" width="45.36328125" bestFit="1" customWidth="1"/>
    <col min="36" max="36" width="8.453125" bestFit="1" customWidth="1"/>
  </cols>
  <sheetData>
    <row r="1" spans="1:35" x14ac:dyDescent="0.35">
      <c r="A1" s="3" t="s">
        <v>9</v>
      </c>
      <c r="B1" s="3" t="s">
        <v>10</v>
      </c>
      <c r="C1" s="3" t="s">
        <v>11</v>
      </c>
      <c r="D1" s="4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7" t="s">
        <v>79</v>
      </c>
      <c r="Q1" s="3" t="s">
        <v>5</v>
      </c>
      <c r="R1" s="7" t="s">
        <v>80</v>
      </c>
      <c r="S1" s="3" t="s">
        <v>19</v>
      </c>
      <c r="T1" s="7" t="s">
        <v>81</v>
      </c>
      <c r="U1" s="3" t="s">
        <v>20</v>
      </c>
      <c r="V1" s="7" t="s">
        <v>82</v>
      </c>
      <c r="W1" s="3" t="s">
        <v>21</v>
      </c>
      <c r="X1" s="3" t="s">
        <v>83</v>
      </c>
      <c r="Y1" s="3" t="s">
        <v>22</v>
      </c>
      <c r="Z1" s="3" t="s">
        <v>25</v>
      </c>
      <c r="AA1" s="3" t="s">
        <v>23</v>
      </c>
      <c r="AB1" s="3" t="s">
        <v>6</v>
      </c>
      <c r="AC1" s="3" t="s">
        <v>24</v>
      </c>
      <c r="AD1" s="3" t="s">
        <v>84</v>
      </c>
      <c r="AE1" s="3" t="s">
        <v>85</v>
      </c>
      <c r="AF1" s="3" t="s">
        <v>86</v>
      </c>
      <c r="AG1" s="3" t="s">
        <v>88</v>
      </c>
      <c r="AH1" s="3" t="s">
        <v>7</v>
      </c>
      <c r="AI1" s="3" t="s">
        <v>8</v>
      </c>
    </row>
    <row r="2" spans="1:35" ht="29" x14ac:dyDescent="0.35">
      <c r="A2" s="1" t="s">
        <v>26</v>
      </c>
      <c r="B2" s="1" t="s">
        <v>27</v>
      </c>
      <c r="C2" s="6" t="s">
        <v>75</v>
      </c>
      <c r="D2" s="2" t="s">
        <v>64</v>
      </c>
      <c r="E2" t="s">
        <v>70</v>
      </c>
      <c r="F2" t="s">
        <v>73</v>
      </c>
      <c r="G2" s="5">
        <f>VLOOKUP(A2,[1]Payment!$A$2:$G$28,5,0)</f>
        <v>41280100007853</v>
      </c>
      <c r="H2" t="str">
        <f>VLOOKUP(A2,[1]Payment!$A$2:$G$28,6,0)</f>
        <v>BARB0WALUJX</v>
      </c>
      <c r="I2" s="5">
        <v>101645856594</v>
      </c>
      <c r="K2" s="8" t="s">
        <v>74</v>
      </c>
      <c r="L2" s="6" t="s">
        <v>78</v>
      </c>
      <c r="M2">
        <v>30</v>
      </c>
      <c r="N2">
        <v>0</v>
      </c>
      <c r="O2" s="8" t="s">
        <v>74</v>
      </c>
      <c r="P2" s="9">
        <v>35417</v>
      </c>
      <c r="Q2" s="9">
        <v>35417</v>
      </c>
      <c r="R2" s="9">
        <v>17708</v>
      </c>
      <c r="S2" s="9">
        <v>17708</v>
      </c>
      <c r="T2" s="9">
        <v>1600</v>
      </c>
      <c r="U2" s="9">
        <v>1600</v>
      </c>
      <c r="V2" s="9">
        <v>12605</v>
      </c>
      <c r="W2" s="9">
        <v>12605</v>
      </c>
      <c r="X2" s="9">
        <v>67330</v>
      </c>
      <c r="Y2" s="9">
        <v>67330</v>
      </c>
      <c r="Z2" s="9">
        <v>1800</v>
      </c>
      <c r="AA2" s="9">
        <v>200</v>
      </c>
      <c r="AB2" s="13" t="s">
        <v>87</v>
      </c>
      <c r="AC2" s="9">
        <v>2000</v>
      </c>
      <c r="AD2" s="9">
        <v>1800</v>
      </c>
      <c r="AE2" s="10">
        <v>1704</v>
      </c>
      <c r="AF2" s="9">
        <f>AD2+AE2</f>
        <v>3504</v>
      </c>
      <c r="AG2" s="9">
        <v>70834</v>
      </c>
      <c r="AH2" s="11">
        <v>65330</v>
      </c>
      <c r="AI2" t="str">
        <f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 xml:space="preserve">Sixty Five Thousand Three Hundred and Thirty </v>
      </c>
    </row>
    <row r="3" spans="1:35" ht="15.5" x14ac:dyDescent="0.35">
      <c r="A3" s="1" t="s">
        <v>28</v>
      </c>
      <c r="B3" s="1" t="s">
        <v>29</v>
      </c>
      <c r="C3" s="6" t="s">
        <v>76</v>
      </c>
      <c r="D3" s="2" t="s">
        <v>65</v>
      </c>
      <c r="E3" t="s">
        <v>71</v>
      </c>
      <c r="F3" t="s">
        <v>73</v>
      </c>
      <c r="G3" s="5">
        <f>VLOOKUP(A3,[1]Payment!$A$2:$G$28,5,0)</f>
        <v>919010033458832</v>
      </c>
      <c r="H3" t="str">
        <f>VLOOKUP(A3,[1]Payment!$A$2:$G$28,6,0)</f>
        <v>UTIB0000553</v>
      </c>
      <c r="I3" s="5"/>
      <c r="K3" s="8" t="s">
        <v>74</v>
      </c>
      <c r="L3" s="6" t="s">
        <v>78</v>
      </c>
      <c r="M3">
        <v>30</v>
      </c>
      <c r="N3">
        <v>0</v>
      </c>
      <c r="O3" s="8" t="s">
        <v>74</v>
      </c>
      <c r="P3" s="12">
        <v>50000</v>
      </c>
      <c r="Q3" s="9">
        <v>43548</v>
      </c>
      <c r="R3" s="12">
        <v>25000</v>
      </c>
      <c r="S3" s="9">
        <v>21774</v>
      </c>
      <c r="T3" s="9">
        <v>1600</v>
      </c>
      <c r="U3" s="9">
        <v>1394</v>
      </c>
      <c r="V3" s="12">
        <v>19195</v>
      </c>
      <c r="W3" s="9">
        <v>16718</v>
      </c>
      <c r="X3" s="12">
        <v>95795</v>
      </c>
      <c r="Y3" s="9">
        <v>83434</v>
      </c>
      <c r="Z3" s="9">
        <v>1800</v>
      </c>
      <c r="AA3" s="9">
        <v>200</v>
      </c>
      <c r="AB3" s="13" t="s">
        <v>87</v>
      </c>
      <c r="AC3" s="9">
        <v>2000</v>
      </c>
      <c r="AD3" s="9">
        <v>1800</v>
      </c>
      <c r="AE3" s="10">
        <v>2095</v>
      </c>
      <c r="AF3" s="9">
        <f>AD3+AE3</f>
        <v>3895</v>
      </c>
      <c r="AG3" s="9">
        <v>99690</v>
      </c>
      <c r="AH3" s="11">
        <v>81434</v>
      </c>
      <c r="AI3" t="str">
        <f t="shared" ref="AI3:AI20" si="0">CHOOSE(--LEFT(TEXT(AH3,"000000.00"))+1,,"One","Two","Three","Four","Five","Six","Seven","Eight","Nine")&amp;IF(--LEFT(TEXT(AH3,"000000.00"))=0,""," Lakh ")&amp;IF(--MID(TEXT(AH3,"000000.00"),2,1)&lt;&gt;1,CHOOSE(--MID(TEXT(AH3,"000000.00"),2,1)+1,,"","Twenty ","Thirty ","Forty ","Fifty ","Sixty ","Seventy ","Eighty ","Ninety "),"")&amp;IF(--MID(TEXT(AH3,"000000.00"),2,1)&lt;&gt;1,CHOOSE(--MID(TEXT(AH3,"000000.00"),3,1)+1,,"One","Two","Three","Four","Five","Six","Seven","Eight","Nine"),CHOOSE(--MID(TEXT(AH3,"000000.00"),3,1)+1,"Ten","Eleven","Twelve","Thirteen","Fourteen","Fifteen","Sixteen","Seventeen","Eighteen","Nineteen"))&amp;IF((--MID(TEXT(AH3,"000000.00"),2,1)+--MID(TEXT(AH3,"000000.00"),3,1))=0,""," Thousand ")&amp;CHOOSE(--MID(TEXT(AH3,"000000.00"),4,1)+1,,"One","Two","Three","Four","Five","Six","Seven","Eight","Nine")&amp;IF(--MID(TEXT(AH3,"000000.00"),4,1)=0,"",IF(AND(--MID(TEXT(AH3,"000000.00"),5,1)=0,--MID(TEXT(AH3,"000000.00"),6,1)=0)," Hundred"," Hundred and "))&amp;IF(--MID(TEXT(AH3,"000000.00"),5,1)&lt;&gt;1,CHOOSE(--MID(TEXT(AH3,"000000.00"),5,1)+1,,"","Twenty ","Thirty ","Forty ","Fifty ","Sixty ","Seventy ","Eighty ","Ninety "),"")&amp;IF(--MID(TEXT(AH3,"000000.00"),5,1)&lt;&gt;1,CHOOSE(--MID(TEXT(AH3,"000000.00"),6,1)+1,,"One","Two","Three","Four","Five","Six","Seven","Eight","Nine"),CHOOSE(--MID(TEXT(AH3,"000000.00"),6,1)+1,"Ten","Eleven","Twelve","Thirteen","Fourteen","Fifteen","Sixteen","Seventeen","Eighteen","Nineteen"))</f>
        <v>Eighty One Thousand Four Hundred and Thirty Four</v>
      </c>
    </row>
    <row r="4" spans="1:35" x14ac:dyDescent="0.35">
      <c r="A4" s="1" t="s">
        <v>30</v>
      </c>
      <c r="B4" s="1" t="s">
        <v>31</v>
      </c>
      <c r="C4" s="6" t="s">
        <v>77</v>
      </c>
      <c r="D4" s="2" t="s">
        <v>66</v>
      </c>
      <c r="E4" t="s">
        <v>72</v>
      </c>
      <c r="F4" t="s">
        <v>73</v>
      </c>
      <c r="G4" s="5">
        <f>VLOOKUP(A4,[1]Payment!$A$2:$G$28,5,0)</f>
        <v>3327101004003</v>
      </c>
      <c r="H4" t="str">
        <f>VLOOKUP(A4,[1]Payment!$A$2:$G$28,6,0)</f>
        <v>CNRB0003327</v>
      </c>
      <c r="I4" s="5">
        <v>101825984981</v>
      </c>
      <c r="K4" s="8" t="s">
        <v>74</v>
      </c>
      <c r="L4" s="6" t="s">
        <v>78</v>
      </c>
      <c r="M4">
        <v>30</v>
      </c>
      <c r="N4">
        <v>0</v>
      </c>
      <c r="O4" s="8" t="s">
        <v>74</v>
      </c>
      <c r="P4" s="9">
        <v>22500</v>
      </c>
      <c r="Q4" s="9">
        <v>21774</v>
      </c>
      <c r="R4" s="9">
        <v>11250</v>
      </c>
      <c r="S4" s="9">
        <v>10887</v>
      </c>
      <c r="T4" s="9">
        <v>1600</v>
      </c>
      <c r="U4" s="9">
        <v>1548</v>
      </c>
      <c r="V4" s="9">
        <v>6803</v>
      </c>
      <c r="W4" s="9">
        <v>6549</v>
      </c>
      <c r="X4" s="9">
        <v>42153</v>
      </c>
      <c r="Y4" s="9">
        <v>40759</v>
      </c>
      <c r="Z4" s="9">
        <v>1800</v>
      </c>
      <c r="AA4" s="9">
        <v>200</v>
      </c>
      <c r="AB4" s="13" t="s">
        <v>87</v>
      </c>
      <c r="AC4" s="9">
        <v>2000</v>
      </c>
      <c r="AD4" s="9">
        <v>1800</v>
      </c>
      <c r="AE4" s="9">
        <v>1047</v>
      </c>
      <c r="AF4" s="9">
        <v>2847</v>
      </c>
      <c r="AG4" s="9">
        <v>45000</v>
      </c>
      <c r="AH4" s="11">
        <v>38759</v>
      </c>
      <c r="AI4" t="str">
        <f t="shared" si="0"/>
        <v>Thirty Eight Thousand Seven Hundred and Fifty Nine</v>
      </c>
    </row>
    <row r="5" spans="1:35" x14ac:dyDescent="0.35">
      <c r="A5" s="1" t="s">
        <v>32</v>
      </c>
      <c r="B5" s="1" t="s">
        <v>33</v>
      </c>
      <c r="C5" s="6" t="s">
        <v>77</v>
      </c>
      <c r="D5" s="2" t="s">
        <v>66</v>
      </c>
      <c r="E5" t="s">
        <v>72</v>
      </c>
      <c r="F5" t="s">
        <v>73</v>
      </c>
      <c r="G5" s="5">
        <f>VLOOKUP(A5,[1]Payment!$A$2:$G$28,5,0)</f>
        <v>50100595290241</v>
      </c>
      <c r="H5" t="str">
        <f>VLOOKUP(A5,[1]Payment!$A$2:$G$28,6,0)</f>
        <v>HDFC0000075</v>
      </c>
      <c r="I5" s="5">
        <v>101736013234</v>
      </c>
      <c r="K5" s="8" t="s">
        <v>74</v>
      </c>
      <c r="L5" s="6" t="s">
        <v>78</v>
      </c>
      <c r="M5">
        <v>30</v>
      </c>
      <c r="N5">
        <v>0</v>
      </c>
      <c r="O5" s="8" t="s">
        <v>74</v>
      </c>
      <c r="P5" s="9">
        <v>22500</v>
      </c>
      <c r="Q5" s="9">
        <v>21774</v>
      </c>
      <c r="R5" s="9">
        <v>11250</v>
      </c>
      <c r="S5" s="9">
        <v>10887</v>
      </c>
      <c r="T5" s="9">
        <v>1600</v>
      </c>
      <c r="U5" s="9">
        <v>1548</v>
      </c>
      <c r="V5" s="9">
        <v>6803</v>
      </c>
      <c r="W5" s="9">
        <v>6549</v>
      </c>
      <c r="X5" s="9">
        <v>42153</v>
      </c>
      <c r="Y5" s="9">
        <v>40759</v>
      </c>
      <c r="Z5" s="9">
        <v>1800</v>
      </c>
      <c r="AA5" s="9">
        <v>200</v>
      </c>
      <c r="AB5" s="13" t="s">
        <v>87</v>
      </c>
      <c r="AC5" s="9">
        <v>2000</v>
      </c>
      <c r="AD5" s="9">
        <v>1800</v>
      </c>
      <c r="AE5" s="9">
        <v>1047</v>
      </c>
      <c r="AF5" s="9">
        <v>2847</v>
      </c>
      <c r="AG5" s="9">
        <v>45000</v>
      </c>
      <c r="AH5" s="11">
        <v>38759</v>
      </c>
      <c r="AI5" t="str">
        <f t="shared" si="0"/>
        <v>Thirty Eight Thousand Seven Hundred and Fifty Nine</v>
      </c>
    </row>
    <row r="6" spans="1:35" ht="29" x14ac:dyDescent="0.35">
      <c r="A6" s="1" t="s">
        <v>34</v>
      </c>
      <c r="B6" s="1" t="s">
        <v>35</v>
      </c>
      <c r="C6" s="6" t="s">
        <v>77</v>
      </c>
      <c r="D6" s="2" t="s">
        <v>67</v>
      </c>
      <c r="E6" t="s">
        <v>72</v>
      </c>
      <c r="F6" t="s">
        <v>73</v>
      </c>
      <c r="G6" s="5">
        <f>VLOOKUP(A6,[1]Payment!$A$2:$G$28,5,0)</f>
        <v>62428832885</v>
      </c>
      <c r="H6" t="str">
        <f>VLOOKUP(A6,[1]Payment!$A$2:$G$28,6,0)</f>
        <v>SBIN0020959</v>
      </c>
      <c r="I6" s="5">
        <v>102317713984</v>
      </c>
      <c r="K6" s="8" t="s">
        <v>74</v>
      </c>
      <c r="L6" s="6" t="s">
        <v>78</v>
      </c>
      <c r="M6">
        <v>30</v>
      </c>
      <c r="N6">
        <v>0</v>
      </c>
      <c r="O6" s="8" t="s">
        <v>74</v>
      </c>
      <c r="P6" s="9">
        <v>30000</v>
      </c>
      <c r="Q6" s="9">
        <v>29032</v>
      </c>
      <c r="R6" s="9">
        <v>15000</v>
      </c>
      <c r="S6" s="9">
        <v>14516</v>
      </c>
      <c r="T6" s="9">
        <v>1600</v>
      </c>
      <c r="U6" s="9">
        <v>1548</v>
      </c>
      <c r="V6" s="9">
        <v>10204</v>
      </c>
      <c r="W6" s="9">
        <v>9829</v>
      </c>
      <c r="X6" s="9">
        <v>56804</v>
      </c>
      <c r="Y6" s="9">
        <v>54926</v>
      </c>
      <c r="Z6" s="9">
        <v>1800</v>
      </c>
      <c r="AA6" s="9">
        <v>200</v>
      </c>
      <c r="AB6" s="13" t="s">
        <v>87</v>
      </c>
      <c r="AC6" s="9">
        <v>2000</v>
      </c>
      <c r="AD6" s="9">
        <v>1800</v>
      </c>
      <c r="AE6" s="9">
        <v>1396</v>
      </c>
      <c r="AF6" s="9">
        <v>3196</v>
      </c>
      <c r="AG6" s="9">
        <v>60000</v>
      </c>
      <c r="AH6" s="11">
        <v>52926</v>
      </c>
      <c r="AI6" t="str">
        <f t="shared" si="0"/>
        <v>Fifty Two Thousand Nine Hundred and Twenty Six</v>
      </c>
    </row>
    <row r="7" spans="1:35" x14ac:dyDescent="0.35">
      <c r="A7" s="1" t="s">
        <v>36</v>
      </c>
      <c r="B7" s="1" t="s">
        <v>37</v>
      </c>
      <c r="C7" s="6" t="s">
        <v>77</v>
      </c>
      <c r="D7" s="2" t="s">
        <v>68</v>
      </c>
      <c r="E7" t="s">
        <v>72</v>
      </c>
      <c r="F7" t="s">
        <v>73</v>
      </c>
      <c r="G7" s="5">
        <f>VLOOKUP(A7,[1]Payment!$A$2:$G$28,5,0)</f>
        <v>77770116800885</v>
      </c>
      <c r="H7" t="str">
        <f>VLOOKUP(A7,[1]Payment!$A$2:$G$28,6,0)</f>
        <v>FDRL0007777</v>
      </c>
      <c r="I7" s="5">
        <v>102317510879</v>
      </c>
      <c r="K7" s="8" t="s">
        <v>74</v>
      </c>
      <c r="L7" s="6" t="s">
        <v>78</v>
      </c>
      <c r="M7">
        <v>30</v>
      </c>
      <c r="N7">
        <v>0</v>
      </c>
      <c r="O7" s="8" t="s">
        <v>74</v>
      </c>
      <c r="P7" s="9">
        <v>25000</v>
      </c>
      <c r="Q7" s="9">
        <v>24194</v>
      </c>
      <c r="R7" s="9">
        <v>12500</v>
      </c>
      <c r="S7" s="9">
        <v>12097</v>
      </c>
      <c r="T7" s="9">
        <v>1600</v>
      </c>
      <c r="U7" s="9">
        <v>1548</v>
      </c>
      <c r="V7" s="9">
        <v>7936</v>
      </c>
      <c r="W7" s="9">
        <v>7643</v>
      </c>
      <c r="X7" s="9">
        <v>47036</v>
      </c>
      <c r="Y7" s="9">
        <v>45481</v>
      </c>
      <c r="Z7" s="9">
        <v>1800</v>
      </c>
      <c r="AA7" s="9">
        <v>200</v>
      </c>
      <c r="AB7" s="13" t="s">
        <v>87</v>
      </c>
      <c r="AC7" s="9">
        <v>2000</v>
      </c>
      <c r="AD7" s="9">
        <v>1800</v>
      </c>
      <c r="AE7" s="9">
        <v>1164</v>
      </c>
      <c r="AF7" s="9">
        <v>2964</v>
      </c>
      <c r="AG7" s="9">
        <v>50000</v>
      </c>
      <c r="AH7" s="11">
        <v>43481</v>
      </c>
      <c r="AI7" t="str">
        <f t="shared" si="0"/>
        <v>Forty Three Thousand Four Hundred and Eighty One</v>
      </c>
    </row>
    <row r="8" spans="1:35" x14ac:dyDescent="0.35">
      <c r="A8" s="1" t="s">
        <v>38</v>
      </c>
      <c r="B8" s="1" t="s">
        <v>39</v>
      </c>
      <c r="C8" s="6" t="s">
        <v>77</v>
      </c>
      <c r="D8" s="2" t="s">
        <v>66</v>
      </c>
      <c r="E8" t="s">
        <v>72</v>
      </c>
      <c r="F8" t="s">
        <v>73</v>
      </c>
      <c r="G8" s="5">
        <f>VLOOKUP(A8,[1]Payment!$A$2:$G$28,5,0)</f>
        <v>41085488775</v>
      </c>
      <c r="H8" t="str">
        <f>VLOOKUP(A8,[1]Payment!$A$2:$G$28,6,0)</f>
        <v>SBIN0016293</v>
      </c>
      <c r="I8" s="5">
        <v>101994170916</v>
      </c>
      <c r="K8" s="8" t="s">
        <v>74</v>
      </c>
      <c r="L8" s="6" t="s">
        <v>78</v>
      </c>
      <c r="M8">
        <v>30</v>
      </c>
      <c r="N8">
        <v>0</v>
      </c>
      <c r="O8" s="8" t="s">
        <v>74</v>
      </c>
      <c r="P8" s="9">
        <v>22500</v>
      </c>
      <c r="Q8" s="9">
        <v>21774</v>
      </c>
      <c r="R8" s="9">
        <v>11250</v>
      </c>
      <c r="S8" s="9">
        <v>10887</v>
      </c>
      <c r="T8" s="9">
        <v>1600</v>
      </c>
      <c r="U8" s="9">
        <v>1548</v>
      </c>
      <c r="V8" s="9">
        <v>6803</v>
      </c>
      <c r="W8" s="9">
        <v>6549</v>
      </c>
      <c r="X8" s="9">
        <v>42153</v>
      </c>
      <c r="Y8" s="9">
        <v>40759</v>
      </c>
      <c r="Z8" s="9">
        <v>1800</v>
      </c>
      <c r="AA8" s="9">
        <v>200</v>
      </c>
      <c r="AB8" s="13" t="s">
        <v>87</v>
      </c>
      <c r="AC8" s="9">
        <v>2000</v>
      </c>
      <c r="AD8" s="9">
        <v>1800</v>
      </c>
      <c r="AE8" s="9">
        <v>1047</v>
      </c>
      <c r="AF8" s="9">
        <v>2847</v>
      </c>
      <c r="AG8" s="9">
        <v>45000</v>
      </c>
      <c r="AH8" s="11">
        <v>38759</v>
      </c>
      <c r="AI8" t="str">
        <f t="shared" si="0"/>
        <v>Thirty Eight Thousand Seven Hundred and Fifty Nine</v>
      </c>
    </row>
    <row r="9" spans="1:35" x14ac:dyDescent="0.35">
      <c r="A9" s="1" t="s">
        <v>40</v>
      </c>
      <c r="B9" s="1" t="s">
        <v>41</v>
      </c>
      <c r="C9" s="6" t="s">
        <v>77</v>
      </c>
      <c r="D9" s="2" t="s">
        <v>66</v>
      </c>
      <c r="E9" t="s">
        <v>72</v>
      </c>
      <c r="F9" t="s">
        <v>73</v>
      </c>
      <c r="G9" s="5">
        <f>VLOOKUP(A9,[1]Payment!$A$2:$G$28,5,0)</f>
        <v>62297418711</v>
      </c>
      <c r="H9" t="str">
        <f>VLOOKUP(A9,[1]Payment!$A$2:$G$28,6,0)</f>
        <v>SBIN0003801</v>
      </c>
      <c r="I9" s="5">
        <v>102317526464</v>
      </c>
      <c r="K9" s="8" t="s">
        <v>74</v>
      </c>
      <c r="L9" s="6" t="s">
        <v>78</v>
      </c>
      <c r="M9">
        <v>30</v>
      </c>
      <c r="N9">
        <v>0</v>
      </c>
      <c r="O9" s="8" t="s">
        <v>74</v>
      </c>
      <c r="P9" s="9">
        <v>22500</v>
      </c>
      <c r="Q9" s="9">
        <v>21774</v>
      </c>
      <c r="R9" s="9">
        <v>11250</v>
      </c>
      <c r="S9" s="9">
        <v>10887</v>
      </c>
      <c r="T9" s="9">
        <v>1600</v>
      </c>
      <c r="U9" s="9">
        <v>1548</v>
      </c>
      <c r="V9" s="9">
        <v>6803</v>
      </c>
      <c r="W9" s="9">
        <v>6549</v>
      </c>
      <c r="X9" s="9">
        <v>42153</v>
      </c>
      <c r="Y9" s="9">
        <v>40759</v>
      </c>
      <c r="Z9" s="9">
        <v>1800</v>
      </c>
      <c r="AA9" s="9">
        <v>200</v>
      </c>
      <c r="AB9" s="13" t="s">
        <v>87</v>
      </c>
      <c r="AC9" s="9">
        <v>2000</v>
      </c>
      <c r="AD9" s="9">
        <v>1800</v>
      </c>
      <c r="AE9" s="9">
        <v>1047</v>
      </c>
      <c r="AF9" s="9">
        <v>2847</v>
      </c>
      <c r="AG9" s="9">
        <v>45000</v>
      </c>
      <c r="AH9" s="11">
        <v>38759</v>
      </c>
      <c r="AI9" t="str">
        <f t="shared" si="0"/>
        <v>Thirty Eight Thousand Seven Hundred and Fifty Nine</v>
      </c>
    </row>
    <row r="10" spans="1:35" x14ac:dyDescent="0.35">
      <c r="A10" s="1" t="s">
        <v>42</v>
      </c>
      <c r="B10" s="1" t="s">
        <v>43</v>
      </c>
      <c r="C10" s="6" t="s">
        <v>77</v>
      </c>
      <c r="D10" s="2" t="s">
        <v>66</v>
      </c>
      <c r="E10" t="s">
        <v>72</v>
      </c>
      <c r="F10" t="s">
        <v>73</v>
      </c>
      <c r="G10" s="5" t="str">
        <f>VLOOKUP(A10,[1]Payment!$A$2:$G$28,5,0)</f>
        <v>1446178000009714</v>
      </c>
      <c r="H10" t="str">
        <f>VLOOKUP(A10,[1]Payment!$A$2:$G$28,6,0)</f>
        <v>KVBL0001446</v>
      </c>
      <c r="I10" s="5">
        <v>101366210512</v>
      </c>
      <c r="K10" s="8" t="s">
        <v>74</v>
      </c>
      <c r="L10" s="6" t="s">
        <v>78</v>
      </c>
      <c r="M10">
        <v>30</v>
      </c>
      <c r="N10">
        <v>0</v>
      </c>
      <c r="O10" s="8" t="s">
        <v>74</v>
      </c>
      <c r="P10" s="9">
        <v>22500</v>
      </c>
      <c r="Q10" s="9">
        <v>21774</v>
      </c>
      <c r="R10" s="9">
        <v>11250</v>
      </c>
      <c r="S10" s="9">
        <v>10887</v>
      </c>
      <c r="T10" s="9">
        <v>1600</v>
      </c>
      <c r="U10" s="9">
        <v>1548</v>
      </c>
      <c r="V10" s="9">
        <v>6803</v>
      </c>
      <c r="W10" s="9">
        <v>6549</v>
      </c>
      <c r="X10" s="9">
        <v>42153</v>
      </c>
      <c r="Y10" s="9">
        <v>40759</v>
      </c>
      <c r="Z10" s="9">
        <v>1800</v>
      </c>
      <c r="AA10" s="9">
        <v>200</v>
      </c>
      <c r="AB10" s="13" t="s">
        <v>87</v>
      </c>
      <c r="AC10" s="9">
        <v>2000</v>
      </c>
      <c r="AD10" s="9">
        <v>1800</v>
      </c>
      <c r="AE10" s="9">
        <v>1047</v>
      </c>
      <c r="AF10" s="9">
        <v>2847</v>
      </c>
      <c r="AG10" s="9">
        <v>45000</v>
      </c>
      <c r="AH10" s="11">
        <v>38759</v>
      </c>
      <c r="AI10" t="str">
        <f t="shared" si="0"/>
        <v>Thirty Eight Thousand Seven Hundred and Fifty Nine</v>
      </c>
    </row>
    <row r="11" spans="1:35" x14ac:dyDescent="0.35">
      <c r="A11" s="1" t="s">
        <v>44</v>
      </c>
      <c r="B11" s="1" t="s">
        <v>45</v>
      </c>
      <c r="C11" s="6" t="s">
        <v>77</v>
      </c>
      <c r="D11" s="2" t="s">
        <v>66</v>
      </c>
      <c r="E11" t="s">
        <v>72</v>
      </c>
      <c r="F11" t="s">
        <v>73</v>
      </c>
      <c r="G11" s="5">
        <f>VLOOKUP(A11,[1]Payment!$A$2:$G$28,5,0)</f>
        <v>159502740717</v>
      </c>
      <c r="H11" t="str">
        <f>VLOOKUP(A11,[1]Payment!$A$2:$G$28,6,0)</f>
        <v>INDB0000329</v>
      </c>
      <c r="I11" s="5">
        <v>100650918969</v>
      </c>
      <c r="K11" s="8" t="s">
        <v>74</v>
      </c>
      <c r="L11" s="6" t="s">
        <v>78</v>
      </c>
      <c r="M11">
        <v>30</v>
      </c>
      <c r="N11">
        <v>0</v>
      </c>
      <c r="O11" s="8" t="s">
        <v>74</v>
      </c>
      <c r="P11" s="9">
        <v>22500</v>
      </c>
      <c r="Q11" s="9">
        <v>21774</v>
      </c>
      <c r="R11" s="9">
        <v>11250</v>
      </c>
      <c r="S11" s="9">
        <v>10887</v>
      </c>
      <c r="T11" s="9">
        <v>1600</v>
      </c>
      <c r="U11" s="9">
        <v>1548</v>
      </c>
      <c r="V11" s="9">
        <v>6803</v>
      </c>
      <c r="W11" s="9">
        <v>6549</v>
      </c>
      <c r="X11" s="9">
        <v>42153</v>
      </c>
      <c r="Y11" s="9">
        <v>40759</v>
      </c>
      <c r="Z11" s="9">
        <v>1800</v>
      </c>
      <c r="AA11" s="9">
        <v>200</v>
      </c>
      <c r="AB11" s="13" t="s">
        <v>87</v>
      </c>
      <c r="AC11" s="9">
        <v>2000</v>
      </c>
      <c r="AD11" s="9">
        <v>1800</v>
      </c>
      <c r="AE11" s="9">
        <v>1047</v>
      </c>
      <c r="AF11" s="9">
        <v>2847</v>
      </c>
      <c r="AG11" s="9">
        <v>45000</v>
      </c>
      <c r="AH11" s="11">
        <v>38759</v>
      </c>
      <c r="AI11" t="str">
        <f t="shared" si="0"/>
        <v>Thirty Eight Thousand Seven Hundred and Fifty Nine</v>
      </c>
    </row>
    <row r="12" spans="1:35" x14ac:dyDescent="0.35">
      <c r="A12" s="1" t="s">
        <v>46</v>
      </c>
      <c r="B12" s="1" t="s">
        <v>47</v>
      </c>
      <c r="C12" s="6" t="s">
        <v>77</v>
      </c>
      <c r="D12" s="2" t="s">
        <v>68</v>
      </c>
      <c r="E12" t="s">
        <v>72</v>
      </c>
      <c r="F12" t="s">
        <v>73</v>
      </c>
      <c r="G12" s="5">
        <f>VLOOKUP(A12,[1]Payment!$A$2:$G$28,5,0)</f>
        <v>39569845546</v>
      </c>
      <c r="H12" t="str">
        <f>VLOOKUP(A12,[1]Payment!$A$2:$G$28,6,0)</f>
        <v>SBIN0008024</v>
      </c>
      <c r="I12" s="5">
        <v>102317547528</v>
      </c>
      <c r="K12" s="8" t="s">
        <v>74</v>
      </c>
      <c r="L12" s="6" t="s">
        <v>78</v>
      </c>
      <c r="M12">
        <v>30</v>
      </c>
      <c r="N12">
        <v>0</v>
      </c>
      <c r="O12" s="8" t="s">
        <v>74</v>
      </c>
      <c r="P12" s="9">
        <v>25000</v>
      </c>
      <c r="Q12" s="9">
        <v>24194</v>
      </c>
      <c r="R12" s="9">
        <v>12500</v>
      </c>
      <c r="S12" s="9">
        <v>12097</v>
      </c>
      <c r="T12" s="9">
        <v>1600</v>
      </c>
      <c r="U12" s="9">
        <v>1548</v>
      </c>
      <c r="V12" s="9">
        <v>7936</v>
      </c>
      <c r="W12" s="9">
        <v>7643</v>
      </c>
      <c r="X12" s="9">
        <v>47036</v>
      </c>
      <c r="Y12" s="9">
        <v>45481</v>
      </c>
      <c r="Z12" s="9">
        <v>1800</v>
      </c>
      <c r="AA12" s="9">
        <v>200</v>
      </c>
      <c r="AB12" s="13" t="s">
        <v>87</v>
      </c>
      <c r="AC12" s="9">
        <v>2000</v>
      </c>
      <c r="AD12" s="9">
        <v>1800</v>
      </c>
      <c r="AE12" s="9">
        <v>1164</v>
      </c>
      <c r="AF12" s="9">
        <v>2964</v>
      </c>
      <c r="AG12" s="9">
        <v>50000</v>
      </c>
      <c r="AH12" s="11">
        <v>43481</v>
      </c>
      <c r="AI12" t="str">
        <f t="shared" si="0"/>
        <v>Forty Three Thousand Four Hundred and Eighty One</v>
      </c>
    </row>
    <row r="13" spans="1:35" x14ac:dyDescent="0.35">
      <c r="A13" s="1" t="s">
        <v>48</v>
      </c>
      <c r="B13" s="1" t="s">
        <v>49</v>
      </c>
      <c r="C13" s="6" t="s">
        <v>77</v>
      </c>
      <c r="D13" s="2" t="s">
        <v>68</v>
      </c>
      <c r="E13" t="s">
        <v>72</v>
      </c>
      <c r="F13" t="s">
        <v>73</v>
      </c>
      <c r="G13" s="5">
        <f>VLOOKUP(A13,[1]Payment!$A$2:$G$28,5,0)</f>
        <v>50100565431077</v>
      </c>
      <c r="H13" t="str">
        <f>VLOOKUP(A13,[1]Payment!$A$2:$G$28,6,0)</f>
        <v>HDFC0005175</v>
      </c>
      <c r="I13" s="5">
        <v>101619945850</v>
      </c>
      <c r="K13" s="8" t="s">
        <v>74</v>
      </c>
      <c r="L13" s="6" t="s">
        <v>78</v>
      </c>
      <c r="M13">
        <v>30</v>
      </c>
      <c r="N13">
        <v>0</v>
      </c>
      <c r="O13" s="8" t="s">
        <v>74</v>
      </c>
      <c r="P13" s="9">
        <v>25000</v>
      </c>
      <c r="Q13" s="9">
        <v>24194</v>
      </c>
      <c r="R13" s="9">
        <v>12500</v>
      </c>
      <c r="S13" s="9">
        <v>12097</v>
      </c>
      <c r="T13" s="9">
        <v>1600</v>
      </c>
      <c r="U13" s="9">
        <v>1548</v>
      </c>
      <c r="V13" s="9">
        <v>7936</v>
      </c>
      <c r="W13" s="9">
        <v>7643</v>
      </c>
      <c r="X13" s="9">
        <v>47036</v>
      </c>
      <c r="Y13" s="9">
        <v>45481</v>
      </c>
      <c r="Z13" s="9">
        <v>1800</v>
      </c>
      <c r="AA13" s="9">
        <v>200</v>
      </c>
      <c r="AB13" s="13" t="s">
        <v>87</v>
      </c>
      <c r="AC13" s="9">
        <v>2000</v>
      </c>
      <c r="AD13" s="9">
        <v>1800</v>
      </c>
      <c r="AE13" s="9">
        <v>1164</v>
      </c>
      <c r="AF13" s="9">
        <v>2964</v>
      </c>
      <c r="AG13" s="9">
        <v>50000</v>
      </c>
      <c r="AH13" s="11">
        <v>43481</v>
      </c>
      <c r="AI13" t="str">
        <f t="shared" si="0"/>
        <v>Forty Three Thousand Four Hundred and Eighty One</v>
      </c>
    </row>
    <row r="14" spans="1:35" ht="29" x14ac:dyDescent="0.35">
      <c r="A14" s="1" t="s">
        <v>50</v>
      </c>
      <c r="B14" s="1" t="s">
        <v>51</v>
      </c>
      <c r="C14" s="6" t="s">
        <v>77</v>
      </c>
      <c r="D14" s="2" t="s">
        <v>67</v>
      </c>
      <c r="E14" t="s">
        <v>72</v>
      </c>
      <c r="F14" t="s">
        <v>73</v>
      </c>
      <c r="G14" s="5">
        <f>VLOOKUP(A14,[1]Payment!$A$2:$G$28,5,0)</f>
        <v>41202390653</v>
      </c>
      <c r="H14" t="str">
        <f>VLOOKUP(A14,[1]Payment!$A$2:$G$28,6,0)</f>
        <v>SBIN0000910</v>
      </c>
      <c r="I14" s="5">
        <v>102317765401</v>
      </c>
      <c r="K14" s="8" t="s">
        <v>74</v>
      </c>
      <c r="L14" s="6" t="s">
        <v>78</v>
      </c>
      <c r="M14">
        <v>30</v>
      </c>
      <c r="N14">
        <v>0</v>
      </c>
      <c r="O14" s="8" t="s">
        <v>74</v>
      </c>
      <c r="P14" s="9">
        <v>30000</v>
      </c>
      <c r="Q14" s="9">
        <v>29032</v>
      </c>
      <c r="R14" s="9">
        <v>15000</v>
      </c>
      <c r="S14" s="9">
        <v>14516</v>
      </c>
      <c r="T14" s="9">
        <v>1600</v>
      </c>
      <c r="U14" s="9">
        <v>1548</v>
      </c>
      <c r="V14" s="9">
        <v>10204</v>
      </c>
      <c r="W14" s="9">
        <v>9829</v>
      </c>
      <c r="X14" s="9">
        <v>56804</v>
      </c>
      <c r="Y14" s="9">
        <v>54926</v>
      </c>
      <c r="Z14" s="9">
        <v>1800</v>
      </c>
      <c r="AA14" s="9">
        <v>200</v>
      </c>
      <c r="AB14" s="13" t="s">
        <v>87</v>
      </c>
      <c r="AC14" s="9">
        <v>2000</v>
      </c>
      <c r="AD14" s="9">
        <v>1800</v>
      </c>
      <c r="AE14" s="9">
        <v>1396</v>
      </c>
      <c r="AF14" s="9">
        <v>3196</v>
      </c>
      <c r="AG14" s="9">
        <v>60000</v>
      </c>
      <c r="AH14" s="11">
        <v>52926</v>
      </c>
      <c r="AI14" t="str">
        <f t="shared" si="0"/>
        <v>Fifty Two Thousand Nine Hundred and Twenty Six</v>
      </c>
    </row>
    <row r="15" spans="1:35" ht="29" x14ac:dyDescent="0.35">
      <c r="A15" s="1" t="s">
        <v>52</v>
      </c>
      <c r="B15" s="1" t="s">
        <v>53</v>
      </c>
      <c r="C15" s="6" t="s">
        <v>77</v>
      </c>
      <c r="D15" s="2" t="s">
        <v>67</v>
      </c>
      <c r="E15" t="s">
        <v>72</v>
      </c>
      <c r="F15" t="s">
        <v>73</v>
      </c>
      <c r="G15" s="5">
        <f>VLOOKUP(A15,[1]Payment!$A$2:$G$28,5,0)</f>
        <v>615728726</v>
      </c>
      <c r="H15" t="str">
        <f>VLOOKUP(A15,[1]Payment!$A$2:$G$28,6,0)</f>
        <v>IDIB000P121</v>
      </c>
      <c r="I15" s="5">
        <v>102270657335</v>
      </c>
      <c r="K15" s="8" t="s">
        <v>74</v>
      </c>
      <c r="L15" s="6" t="s">
        <v>78</v>
      </c>
      <c r="M15">
        <v>30</v>
      </c>
      <c r="N15">
        <v>0</v>
      </c>
      <c r="O15" s="8" t="s">
        <v>74</v>
      </c>
      <c r="P15" s="9">
        <v>30000</v>
      </c>
      <c r="Q15" s="9">
        <v>29032</v>
      </c>
      <c r="R15" s="9">
        <v>15000</v>
      </c>
      <c r="S15" s="9">
        <v>14516</v>
      </c>
      <c r="T15" s="9">
        <v>1600</v>
      </c>
      <c r="U15" s="9">
        <v>1548</v>
      </c>
      <c r="V15" s="9">
        <v>10204</v>
      </c>
      <c r="W15" s="9">
        <v>9829</v>
      </c>
      <c r="X15" s="9">
        <v>56804</v>
      </c>
      <c r="Y15" s="9">
        <v>54926</v>
      </c>
      <c r="Z15" s="9">
        <v>1800</v>
      </c>
      <c r="AA15" s="9">
        <v>200</v>
      </c>
      <c r="AB15" s="13" t="s">
        <v>87</v>
      </c>
      <c r="AC15" s="9">
        <v>2000</v>
      </c>
      <c r="AD15" s="9">
        <v>1800</v>
      </c>
      <c r="AE15" s="9">
        <v>1396</v>
      </c>
      <c r="AF15" s="9">
        <v>3196</v>
      </c>
      <c r="AG15" s="9">
        <v>60000</v>
      </c>
      <c r="AH15" s="11">
        <v>52926</v>
      </c>
      <c r="AI15" t="str">
        <f t="shared" si="0"/>
        <v>Fifty Two Thousand Nine Hundred and Twenty Six</v>
      </c>
    </row>
    <row r="16" spans="1:35" x14ac:dyDescent="0.35">
      <c r="A16" s="1" t="s">
        <v>54</v>
      </c>
      <c r="B16" s="1" t="s">
        <v>55</v>
      </c>
      <c r="C16" s="6" t="s">
        <v>77</v>
      </c>
      <c r="D16" s="2" t="s">
        <v>69</v>
      </c>
      <c r="E16" t="s">
        <v>72</v>
      </c>
      <c r="F16" t="s">
        <v>73</v>
      </c>
      <c r="G16" s="5">
        <f>VLOOKUP(A16,[1]Payment!$A$2:$G$28,5,0)</f>
        <v>7445588605</v>
      </c>
      <c r="H16" t="str">
        <f>VLOOKUP(A16,[1]Payment!$A$2:$G$28,6,0)</f>
        <v>KKBK0007462</v>
      </c>
      <c r="I16" s="5">
        <v>102317543305</v>
      </c>
      <c r="K16" s="8" t="s">
        <v>74</v>
      </c>
      <c r="L16" s="6" t="s">
        <v>78</v>
      </c>
      <c r="M16">
        <v>30</v>
      </c>
      <c r="N16">
        <v>0</v>
      </c>
      <c r="O16" s="8" t="s">
        <v>74</v>
      </c>
      <c r="P16" s="9">
        <v>17500</v>
      </c>
      <c r="Q16" s="9">
        <v>16935</v>
      </c>
      <c r="R16" s="9">
        <v>8750</v>
      </c>
      <c r="S16" s="9">
        <v>8468</v>
      </c>
      <c r="T16" s="9">
        <v>1600</v>
      </c>
      <c r="U16" s="9">
        <v>1548</v>
      </c>
      <c r="V16" s="9">
        <v>4535</v>
      </c>
      <c r="W16" s="9">
        <v>4363</v>
      </c>
      <c r="X16" s="9">
        <v>32385</v>
      </c>
      <c r="Y16" s="9">
        <v>31314</v>
      </c>
      <c r="Z16" s="9">
        <v>1800</v>
      </c>
      <c r="AA16" s="9">
        <v>200</v>
      </c>
      <c r="AB16" s="13" t="s">
        <v>87</v>
      </c>
      <c r="AC16" s="9">
        <v>2000</v>
      </c>
      <c r="AD16" s="9">
        <v>1800</v>
      </c>
      <c r="AE16" s="9">
        <v>815</v>
      </c>
      <c r="AF16" s="9">
        <v>2615</v>
      </c>
      <c r="AG16" s="9">
        <v>35000</v>
      </c>
      <c r="AH16" s="11">
        <v>29314</v>
      </c>
      <c r="AI16" t="str">
        <f t="shared" si="0"/>
        <v>Twenty Nine Thousand Three Hundred and Fourteen</v>
      </c>
    </row>
    <row r="17" spans="1:35" x14ac:dyDescent="0.35">
      <c r="A17" s="1" t="s">
        <v>56</v>
      </c>
      <c r="B17" s="1" t="s">
        <v>57</v>
      </c>
      <c r="C17" s="6" t="s">
        <v>77</v>
      </c>
      <c r="D17" s="2" t="s">
        <v>69</v>
      </c>
      <c r="E17" t="s">
        <v>72</v>
      </c>
      <c r="F17" t="s">
        <v>73</v>
      </c>
      <c r="G17" s="5">
        <f>VLOOKUP(A17,[1]Payment!$A$2:$G$28,5,0)</f>
        <v>4495101004331</v>
      </c>
      <c r="H17" t="str">
        <f>VLOOKUP(A17,[1]Payment!$A$2:$G$28,6,0)</f>
        <v>CNRB0004495</v>
      </c>
      <c r="I17" s="5">
        <v>102317508713</v>
      </c>
      <c r="K17" s="8" t="s">
        <v>74</v>
      </c>
      <c r="L17" s="6" t="s">
        <v>78</v>
      </c>
      <c r="M17">
        <v>30</v>
      </c>
      <c r="N17">
        <v>0</v>
      </c>
      <c r="O17" s="8" t="s">
        <v>74</v>
      </c>
      <c r="P17" s="9">
        <v>17500</v>
      </c>
      <c r="Q17" s="9">
        <v>16935</v>
      </c>
      <c r="R17" s="9">
        <v>8750</v>
      </c>
      <c r="S17" s="9">
        <v>8468</v>
      </c>
      <c r="T17" s="9">
        <v>1600</v>
      </c>
      <c r="U17" s="9">
        <v>1548</v>
      </c>
      <c r="V17" s="9">
        <v>4535</v>
      </c>
      <c r="W17" s="9">
        <v>4363</v>
      </c>
      <c r="X17" s="9">
        <v>32385</v>
      </c>
      <c r="Y17" s="9">
        <v>31314</v>
      </c>
      <c r="Z17" s="9">
        <v>1800</v>
      </c>
      <c r="AA17" s="9">
        <v>200</v>
      </c>
      <c r="AB17" s="13" t="s">
        <v>87</v>
      </c>
      <c r="AC17" s="9">
        <v>2000</v>
      </c>
      <c r="AD17" s="9">
        <v>1800</v>
      </c>
      <c r="AE17" s="9">
        <v>815</v>
      </c>
      <c r="AF17" s="9">
        <v>2615</v>
      </c>
      <c r="AG17" s="9">
        <v>35000</v>
      </c>
      <c r="AH17" s="11">
        <v>29314</v>
      </c>
      <c r="AI17" t="str">
        <f t="shared" si="0"/>
        <v>Twenty Nine Thousand Three Hundred and Fourteen</v>
      </c>
    </row>
    <row r="18" spans="1:35" x14ac:dyDescent="0.35">
      <c r="A18" s="1" t="s">
        <v>58</v>
      </c>
      <c r="B18" s="1" t="s">
        <v>59</v>
      </c>
      <c r="C18" s="6" t="s">
        <v>77</v>
      </c>
      <c r="D18" s="2" t="s">
        <v>69</v>
      </c>
      <c r="E18" t="s">
        <v>72</v>
      </c>
      <c r="F18" t="s">
        <v>73</v>
      </c>
      <c r="G18" s="5">
        <f>VLOOKUP(A18,[1]Payment!$A$2:$G$28,5,0)</f>
        <v>39971511897</v>
      </c>
      <c r="H18" t="str">
        <f>VLOOKUP(A18,[1]Payment!$A$2:$G$28,6,0)</f>
        <v>SBIN0021227</v>
      </c>
      <c r="I18" s="5">
        <v>102317683544</v>
      </c>
      <c r="K18" s="8" t="s">
        <v>74</v>
      </c>
      <c r="L18" s="6" t="s">
        <v>78</v>
      </c>
      <c r="M18">
        <v>30</v>
      </c>
      <c r="N18">
        <v>0</v>
      </c>
      <c r="O18" s="8" t="s">
        <v>74</v>
      </c>
      <c r="P18" s="9">
        <v>17500</v>
      </c>
      <c r="Q18" s="9">
        <v>16935</v>
      </c>
      <c r="R18" s="9">
        <v>8750</v>
      </c>
      <c r="S18" s="9">
        <v>8468</v>
      </c>
      <c r="T18" s="9">
        <v>1600</v>
      </c>
      <c r="U18" s="9">
        <v>1548</v>
      </c>
      <c r="V18" s="9">
        <v>4535</v>
      </c>
      <c r="W18" s="9">
        <v>4363</v>
      </c>
      <c r="X18" s="9">
        <v>32385</v>
      </c>
      <c r="Y18" s="9">
        <v>31314</v>
      </c>
      <c r="Z18" s="9">
        <v>1800</v>
      </c>
      <c r="AA18" s="9">
        <v>200</v>
      </c>
      <c r="AB18" s="13" t="s">
        <v>87</v>
      </c>
      <c r="AC18" s="9">
        <v>2000</v>
      </c>
      <c r="AD18" s="9">
        <v>1800</v>
      </c>
      <c r="AE18" s="9">
        <v>815</v>
      </c>
      <c r="AF18" s="9">
        <v>2615</v>
      </c>
      <c r="AG18" s="9">
        <v>35000</v>
      </c>
      <c r="AH18" s="11">
        <v>29314</v>
      </c>
      <c r="AI18" t="str">
        <f t="shared" si="0"/>
        <v>Twenty Nine Thousand Three Hundred and Fourteen</v>
      </c>
    </row>
    <row r="19" spans="1:35" ht="29" x14ac:dyDescent="0.35">
      <c r="A19" s="1" t="s">
        <v>60</v>
      </c>
      <c r="B19" s="1" t="s">
        <v>61</v>
      </c>
      <c r="C19" s="6" t="s">
        <v>77</v>
      </c>
      <c r="D19" s="2" t="s">
        <v>67</v>
      </c>
      <c r="E19" t="s">
        <v>72</v>
      </c>
      <c r="F19" t="s">
        <v>73</v>
      </c>
      <c r="G19" s="5">
        <f>VLOOKUP(A19,[1]Payment!$A$2:$G$28,5,0)</f>
        <v>41536691505</v>
      </c>
      <c r="H19" t="str">
        <f>VLOOKUP(A19,[1]Payment!$A$2:$G$28,6,0)</f>
        <v>SBIN0008807</v>
      </c>
      <c r="I19" s="5">
        <v>102000268989</v>
      </c>
      <c r="K19" s="8" t="s">
        <v>74</v>
      </c>
      <c r="L19" s="6" t="s">
        <v>78</v>
      </c>
      <c r="M19">
        <v>30</v>
      </c>
      <c r="N19">
        <v>0</v>
      </c>
      <c r="O19" s="8" t="s">
        <v>74</v>
      </c>
      <c r="P19" s="9">
        <v>30000</v>
      </c>
      <c r="Q19" s="9">
        <v>29032</v>
      </c>
      <c r="R19" s="9">
        <v>15000</v>
      </c>
      <c r="S19" s="9">
        <v>14516</v>
      </c>
      <c r="T19" s="9">
        <v>1600</v>
      </c>
      <c r="U19" s="9">
        <v>1548</v>
      </c>
      <c r="V19" s="9">
        <v>10204</v>
      </c>
      <c r="W19" s="9">
        <v>9829</v>
      </c>
      <c r="X19" s="9">
        <v>56804</v>
      </c>
      <c r="Y19" s="9">
        <v>54926</v>
      </c>
      <c r="Z19" s="9">
        <v>1800</v>
      </c>
      <c r="AA19" s="9">
        <v>200</v>
      </c>
      <c r="AB19" s="13" t="s">
        <v>87</v>
      </c>
      <c r="AC19" s="9">
        <v>2000</v>
      </c>
      <c r="AD19" s="9">
        <v>1800</v>
      </c>
      <c r="AE19" s="9">
        <v>1396</v>
      </c>
      <c r="AF19" s="9">
        <v>3196</v>
      </c>
      <c r="AG19" s="9">
        <v>60000</v>
      </c>
      <c r="AH19" s="11">
        <v>52926</v>
      </c>
      <c r="AI19" t="str">
        <f t="shared" si="0"/>
        <v>Fifty Two Thousand Nine Hundred and Twenty Six</v>
      </c>
    </row>
    <row r="20" spans="1:35" ht="29" x14ac:dyDescent="0.35">
      <c r="A20" s="1" t="s">
        <v>62</v>
      </c>
      <c r="B20" s="1" t="s">
        <v>63</v>
      </c>
      <c r="C20" s="6" t="s">
        <v>77</v>
      </c>
      <c r="D20" s="2" t="s">
        <v>67</v>
      </c>
      <c r="E20" t="s">
        <v>72</v>
      </c>
      <c r="F20" t="s">
        <v>73</v>
      </c>
      <c r="G20" s="5">
        <f>VLOOKUP(A20,[1]Payment!$A$2:$G$28,5,0)</f>
        <v>50100141200194</v>
      </c>
      <c r="H20" t="str">
        <f>VLOOKUP(A20,[1]Payment!$A$2:$G$28,6,0)</f>
        <v>HDFC0004480</v>
      </c>
      <c r="I20" s="5">
        <v>100640473426</v>
      </c>
      <c r="K20" s="8" t="s">
        <v>74</v>
      </c>
      <c r="L20" s="6" t="s">
        <v>78</v>
      </c>
      <c r="M20">
        <v>30</v>
      </c>
      <c r="N20">
        <v>0</v>
      </c>
      <c r="O20" s="8" t="s">
        <v>74</v>
      </c>
      <c r="P20" s="9">
        <v>30000</v>
      </c>
      <c r="Q20" s="9">
        <v>29032</v>
      </c>
      <c r="R20" s="9">
        <v>15000</v>
      </c>
      <c r="S20" s="9">
        <v>14516</v>
      </c>
      <c r="T20" s="9">
        <v>1600</v>
      </c>
      <c r="U20" s="9">
        <v>1548</v>
      </c>
      <c r="V20" s="9">
        <v>10204</v>
      </c>
      <c r="W20" s="9">
        <v>9829</v>
      </c>
      <c r="X20" s="9">
        <v>56804</v>
      </c>
      <c r="Y20" s="9">
        <v>54926</v>
      </c>
      <c r="Z20" s="9">
        <v>1800</v>
      </c>
      <c r="AA20" s="9">
        <v>200</v>
      </c>
      <c r="AB20" s="13" t="s">
        <v>87</v>
      </c>
      <c r="AC20" s="9">
        <v>2000</v>
      </c>
      <c r="AD20" s="9">
        <v>1800</v>
      </c>
      <c r="AE20" s="9">
        <v>1396</v>
      </c>
      <c r="AF20" s="9">
        <v>3196</v>
      </c>
      <c r="AG20" s="9">
        <v>60000</v>
      </c>
      <c r="AH20" s="11">
        <v>52926</v>
      </c>
      <c r="AI20" t="str">
        <f t="shared" si="0"/>
        <v>Fifty Two Thousand Nine Hundred and Twenty Six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2026-04-01T12:19:39Z</dcterms:modified>
</cp:coreProperties>
</file>