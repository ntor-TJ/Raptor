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March\"/>
    </mc:Choice>
  </mc:AlternateContent>
  <xr:revisionPtr revIDLastSave="0" documentId="13_ncr:1_{AA5240F0-E9B9-4099-8FCD-ACED03F8F13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Employees" sheetId="1" r:id="rId1"/>
    <sheet name="Consultant" sheetId="3" r:id="rId2"/>
    <sheet name="Tech Employees" sheetId="5" r:id="rId3"/>
    <sheet name="Payment" sheetId="2" r:id="rId4"/>
    <sheet name="Trainers" sheetId="6" r:id="rId5"/>
    <sheet name="Rental Amount" sheetId="7" r:id="rId6"/>
  </sheets>
  <definedNames>
    <definedName name="_xlnm._FilterDatabase" localSheetId="2" hidden="1">'Tech Employees'!$A$1:$AF$22</definedName>
  </definedNames>
  <calcPr calcId="191029"/>
</workbook>
</file>

<file path=xl/calcChain.xml><?xml version="1.0" encoding="utf-8"?>
<calcChain xmlns="http://schemas.openxmlformats.org/spreadsheetml/2006/main">
  <c r="M22" i="5" l="1"/>
  <c r="I3" i="5"/>
  <c r="K3" i="5" s="1"/>
  <c r="I4" i="5"/>
  <c r="K4" i="5" s="1"/>
  <c r="I5" i="5"/>
  <c r="K5" i="5" s="1"/>
  <c r="I6" i="5"/>
  <c r="K6" i="5" s="1"/>
  <c r="I7" i="5"/>
  <c r="K7" i="5" s="1"/>
  <c r="I8" i="5"/>
  <c r="K8" i="5" s="1"/>
  <c r="I9" i="5"/>
  <c r="K9" i="5" s="1"/>
  <c r="I10" i="5"/>
  <c r="K10" i="5" s="1"/>
  <c r="I11" i="5"/>
  <c r="K11" i="5" s="1"/>
  <c r="I12" i="5"/>
  <c r="K12" i="5" s="1"/>
  <c r="I13" i="5"/>
  <c r="K13" i="5" s="1"/>
  <c r="I14" i="5"/>
  <c r="K14" i="5" s="1"/>
  <c r="I15" i="5"/>
  <c r="K15" i="5" s="1"/>
  <c r="I16" i="5"/>
  <c r="K16" i="5" s="1"/>
  <c r="I17" i="5"/>
  <c r="K17" i="5" s="1"/>
  <c r="I18" i="5"/>
  <c r="K18" i="5" s="1"/>
  <c r="I19" i="5"/>
  <c r="K19" i="5" s="1"/>
  <c r="I20" i="5"/>
  <c r="K20" i="5" s="1"/>
  <c r="I21" i="5"/>
  <c r="K21" i="5" s="1"/>
  <c r="I2" i="5"/>
  <c r="K2" i="5" s="1"/>
  <c r="K22" i="5" l="1"/>
  <c r="I22" i="5"/>
  <c r="E6" i="3" l="1"/>
  <c r="H6" i="3"/>
  <c r="D8" i="2" s="1"/>
  <c r="U22" i="5"/>
  <c r="V22" i="5"/>
  <c r="W22" i="5"/>
  <c r="E2" i="3"/>
  <c r="E4" i="3"/>
  <c r="H4" i="3" s="1"/>
  <c r="D6" i="2" s="1"/>
  <c r="E3" i="3"/>
  <c r="H3" i="3" s="1"/>
  <c r="D5" i="2" s="1"/>
  <c r="H5" i="3"/>
  <c r="D7" i="2" s="1"/>
  <c r="E9" i="6"/>
  <c r="E4" i="6"/>
  <c r="E10" i="6"/>
  <c r="E5" i="6"/>
  <c r="E6" i="6"/>
  <c r="E7" i="6"/>
  <c r="E8" i="6"/>
  <c r="E3" i="6"/>
  <c r="D4" i="2"/>
  <c r="AB2" i="5"/>
  <c r="N2" i="1"/>
  <c r="I2" i="1"/>
  <c r="T22" i="5"/>
  <c r="D22" i="5"/>
  <c r="H2" i="3"/>
  <c r="Z3" i="1"/>
  <c r="K3" i="1"/>
  <c r="I3" i="1"/>
  <c r="N3" i="1" s="1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J2" i="5"/>
  <c r="AD2" i="5" s="1"/>
  <c r="J3" i="5"/>
  <c r="AD3" i="5" s="1"/>
  <c r="J4" i="5"/>
  <c r="AD4" i="5" s="1"/>
  <c r="J5" i="5"/>
  <c r="AD5" i="5" s="1"/>
  <c r="J6" i="5"/>
  <c r="L6" i="5" s="1"/>
  <c r="J7" i="5"/>
  <c r="AD7" i="5" s="1"/>
  <c r="J8" i="5"/>
  <c r="AD8" i="5" s="1"/>
  <c r="J9" i="5"/>
  <c r="AD9" i="5" s="1"/>
  <c r="J10" i="5"/>
  <c r="AD10" i="5" s="1"/>
  <c r="J11" i="5"/>
  <c r="AD11" i="5" s="1"/>
  <c r="J12" i="5"/>
  <c r="AB12" i="5" s="1"/>
  <c r="J13" i="5"/>
  <c r="AB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AD20" i="5" s="1"/>
  <c r="J21" i="5"/>
  <c r="AD21" i="5" s="1"/>
  <c r="V7" i="1"/>
  <c r="W7" i="1"/>
  <c r="Q7" i="1"/>
  <c r="R7" i="1"/>
  <c r="S7" i="1"/>
  <c r="U7" i="1"/>
  <c r="P7" i="1"/>
  <c r="D7" i="1"/>
  <c r="K2" i="1"/>
  <c r="E12" i="6" l="1"/>
  <c r="Q2" i="5"/>
  <c r="S2" i="5" s="1"/>
  <c r="O2" i="5"/>
  <c r="AB4" i="5"/>
  <c r="O4" i="5" s="1"/>
  <c r="AB3" i="5"/>
  <c r="O3" i="5" s="1"/>
  <c r="R2" i="5"/>
  <c r="R3" i="5"/>
  <c r="R5" i="5"/>
  <c r="R4" i="5"/>
  <c r="L20" i="5"/>
  <c r="AD19" i="5"/>
  <c r="R13" i="5"/>
  <c r="L21" i="5"/>
  <c r="R21" i="5"/>
  <c r="R18" i="5"/>
  <c r="AB18" i="5"/>
  <c r="R14" i="5"/>
  <c r="AB10" i="5"/>
  <c r="R10" i="5"/>
  <c r="AD6" i="5"/>
  <c r="AB6" i="5"/>
  <c r="O6" i="5" s="1"/>
  <c r="R6" i="5"/>
  <c r="R15" i="5"/>
  <c r="R7" i="5"/>
  <c r="AB19" i="5"/>
  <c r="AB11" i="5"/>
  <c r="AB9" i="5"/>
  <c r="L13" i="5"/>
  <c r="AD18" i="5"/>
  <c r="R20" i="5"/>
  <c r="R12" i="5"/>
  <c r="AB16" i="5"/>
  <c r="AB8" i="5"/>
  <c r="L12" i="5"/>
  <c r="AD14" i="5"/>
  <c r="R19" i="5"/>
  <c r="R11" i="5"/>
  <c r="AB15" i="5"/>
  <c r="O15" i="5" s="1"/>
  <c r="AB7" i="5"/>
  <c r="O7" i="5" s="1"/>
  <c r="AB17" i="5"/>
  <c r="L5" i="5"/>
  <c r="AD13" i="5"/>
  <c r="Q13" i="5" s="1"/>
  <c r="AB14" i="5"/>
  <c r="AD12" i="5"/>
  <c r="Q12" i="5" s="1"/>
  <c r="S12" i="5" s="1"/>
  <c r="R17" i="5"/>
  <c r="R9" i="5"/>
  <c r="AB21" i="5"/>
  <c r="AB5" i="5"/>
  <c r="R16" i="5"/>
  <c r="R8" i="5"/>
  <c r="AB20" i="5"/>
  <c r="L4" i="5"/>
  <c r="J22" i="5"/>
  <c r="N22" i="5"/>
  <c r="J3" i="1"/>
  <c r="X3" i="1"/>
  <c r="H7" i="3"/>
  <c r="M3" i="1"/>
  <c r="T3" i="1"/>
  <c r="L11" i="5"/>
  <c r="L3" i="5"/>
  <c r="L10" i="5"/>
  <c r="L2" i="5"/>
  <c r="AD17" i="5"/>
  <c r="L9" i="5"/>
  <c r="AD16" i="5"/>
  <c r="L8" i="5"/>
  <c r="AD15" i="5"/>
  <c r="L7" i="5"/>
  <c r="Q4" i="5"/>
  <c r="Q3" i="5"/>
  <c r="Z2" i="1"/>
  <c r="J2" i="1"/>
  <c r="X2" i="1"/>
  <c r="M2" i="1" s="1"/>
  <c r="K7" i="1"/>
  <c r="Q21" i="5" l="1"/>
  <c r="P21" i="5" s="1"/>
  <c r="O21" i="5"/>
  <c r="Q9" i="5"/>
  <c r="S9" i="5" s="1"/>
  <c r="O9" i="5"/>
  <c r="O12" i="5"/>
  <c r="Q11" i="5"/>
  <c r="P11" i="5" s="1"/>
  <c r="O11" i="5"/>
  <c r="Q10" i="5"/>
  <c r="P10" i="5" s="1"/>
  <c r="O10" i="5"/>
  <c r="O13" i="5"/>
  <c r="Q20" i="5"/>
  <c r="S20" i="5" s="1"/>
  <c r="AE20" i="5" s="1"/>
  <c r="O20" i="5"/>
  <c r="Q8" i="5"/>
  <c r="S8" i="5" s="1"/>
  <c r="O8" i="5"/>
  <c r="O22" i="5" s="1"/>
  <c r="O19" i="5"/>
  <c r="Q14" i="5"/>
  <c r="S14" i="5" s="1"/>
  <c r="O14" i="5"/>
  <c r="AE2" i="5"/>
  <c r="Q5" i="5"/>
  <c r="O5" i="5"/>
  <c r="O17" i="5"/>
  <c r="O16" i="5"/>
  <c r="Q18" i="5"/>
  <c r="S18" i="5" s="1"/>
  <c r="AE18" i="5" s="1"/>
  <c r="O18" i="5"/>
  <c r="Q6" i="5"/>
  <c r="Q19" i="5"/>
  <c r="P19" i="5" s="1"/>
  <c r="AE12" i="5"/>
  <c r="AF12" i="5" s="1"/>
  <c r="D19" i="2" s="1"/>
  <c r="AE8" i="5"/>
  <c r="AF8" i="5" s="1"/>
  <c r="D15" i="2" s="1"/>
  <c r="AB22" i="5"/>
  <c r="AE9" i="5"/>
  <c r="AF9" i="5" s="1"/>
  <c r="D16" i="2" s="1"/>
  <c r="S13" i="5"/>
  <c r="AE13" i="5" s="1"/>
  <c r="AF13" i="5" s="1"/>
  <c r="D20" i="2" s="1"/>
  <c r="P13" i="5"/>
  <c r="X6" i="5"/>
  <c r="S6" i="5"/>
  <c r="AE6" i="5" s="1"/>
  <c r="AF6" i="5" s="1"/>
  <c r="D13" i="2" s="1"/>
  <c r="S11" i="5"/>
  <c r="AE11" i="5" s="1"/>
  <c r="AF11" i="5" s="1"/>
  <c r="D18" i="2" s="1"/>
  <c r="AE14" i="5"/>
  <c r="AF14" i="5" s="1"/>
  <c r="D21" i="2" s="1"/>
  <c r="Q7" i="5"/>
  <c r="R22" i="5"/>
  <c r="AD22" i="5"/>
  <c r="Q15" i="5"/>
  <c r="S15" i="5" s="1"/>
  <c r="AE15" i="5" s="1"/>
  <c r="AF15" i="5" s="1"/>
  <c r="D22" i="2" s="1"/>
  <c r="X5" i="5"/>
  <c r="S5" i="5"/>
  <c r="AE5" i="5" s="1"/>
  <c r="AF5" i="5" s="1"/>
  <c r="D12" i="2" s="1"/>
  <c r="L22" i="5"/>
  <c r="S4" i="5"/>
  <c r="AE4" i="5" s="1"/>
  <c r="AF4" i="5" s="1"/>
  <c r="D11" i="2" s="1"/>
  <c r="S3" i="5"/>
  <c r="O3" i="1"/>
  <c r="AF2" i="5"/>
  <c r="D9" i="2" s="1"/>
  <c r="Y3" i="1"/>
  <c r="AA3" i="1" s="1"/>
  <c r="AC3" i="1" s="1"/>
  <c r="D3" i="2" s="1"/>
  <c r="L3" i="1"/>
  <c r="T2" i="1"/>
  <c r="Q16" i="5"/>
  <c r="P9" i="5"/>
  <c r="X9" i="5"/>
  <c r="P6" i="5"/>
  <c r="P5" i="5"/>
  <c r="Q17" i="5"/>
  <c r="S17" i="5" s="1"/>
  <c r="AE17" i="5" s="1"/>
  <c r="X21" i="5"/>
  <c r="X8" i="5"/>
  <c r="X13" i="5"/>
  <c r="X12" i="5"/>
  <c r="P12" i="5"/>
  <c r="X20" i="5"/>
  <c r="P20" i="5"/>
  <c r="P2" i="5"/>
  <c r="X2" i="5"/>
  <c r="X4" i="5"/>
  <c r="P4" i="5"/>
  <c r="P3" i="5"/>
  <c r="X3" i="5"/>
  <c r="J7" i="1"/>
  <c r="I7" i="1"/>
  <c r="X7" i="1"/>
  <c r="N7" i="1"/>
  <c r="S21" i="5" l="1"/>
  <c r="AE21" i="5" s="1"/>
  <c r="AF21" i="5" s="1"/>
  <c r="D28" i="2" s="1"/>
  <c r="X11" i="5"/>
  <c r="P14" i="5"/>
  <c r="X14" i="5"/>
  <c r="AF20" i="5"/>
  <c r="D27" i="2" s="1"/>
  <c r="X10" i="5"/>
  <c r="AF18" i="5"/>
  <c r="D25" i="2" s="1"/>
  <c r="S10" i="5"/>
  <c r="AE10" i="5" s="1"/>
  <c r="AF10" i="5" s="1"/>
  <c r="D17" i="2" s="1"/>
  <c r="X18" i="5"/>
  <c r="P18" i="5"/>
  <c r="P8" i="5"/>
  <c r="P15" i="5"/>
  <c r="S19" i="5"/>
  <c r="AE19" i="5" s="1"/>
  <c r="AF19" i="5" s="1"/>
  <c r="D26" i="2" s="1"/>
  <c r="X19" i="5"/>
  <c r="X15" i="5"/>
  <c r="S7" i="5"/>
  <c r="AE7" i="5" s="1"/>
  <c r="AF7" i="5" s="1"/>
  <c r="D14" i="2" s="1"/>
  <c r="P7" i="5"/>
  <c r="X7" i="5"/>
  <c r="Q22" i="5"/>
  <c r="S16" i="5"/>
  <c r="AE16" i="5" s="1"/>
  <c r="AF16" i="5" s="1"/>
  <c r="D23" i="2" s="1"/>
  <c r="AE3" i="5"/>
  <c r="AF3" i="5" s="1"/>
  <c r="D10" i="2" s="1"/>
  <c r="AF17" i="5"/>
  <c r="D24" i="2" s="1"/>
  <c r="O2" i="1"/>
  <c r="L2" i="1"/>
  <c r="Y2" i="1"/>
  <c r="P16" i="5"/>
  <c r="X16" i="5"/>
  <c r="P17" i="5"/>
  <c r="X17" i="5"/>
  <c r="S22" i="5" l="1"/>
  <c r="X22" i="5"/>
  <c r="P22" i="5"/>
  <c r="AE22" i="5"/>
  <c r="AF22" i="5"/>
  <c r="AA2" i="1"/>
  <c r="AC2" i="1" s="1"/>
  <c r="Z7" i="1"/>
  <c r="L7" i="1"/>
  <c r="Y7" i="1"/>
  <c r="O7" i="1"/>
  <c r="D2" i="2" l="1"/>
  <c r="D30" i="2" s="1"/>
  <c r="T7" i="1"/>
  <c r="M7" i="1"/>
  <c r="AA7" i="1" l="1"/>
  <c r="AC7" i="1" l="1"/>
</calcChain>
</file>

<file path=xl/sharedStrings.xml><?xml version="1.0" encoding="utf-8"?>
<sst xmlns="http://schemas.openxmlformats.org/spreadsheetml/2006/main" count="307" uniqueCount="187">
  <si>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</si>
  <si>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</si>
  <si>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</si>
  <si>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</si>
  <si>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</si>
  <si>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</si>
  <si>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</si>
  <si>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</si>
  <si>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</si>
  <si>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</si>
  <si>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</si>
  <si>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</si>
  <si>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</si>
  <si>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</si>
  <si>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</si>
  <si>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</si>
  <si>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</si>
  <si>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</si>
  <si>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</si>
  <si>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</si>
  <si>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</si>
  <si>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</si>
  <si>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</si>
  <si>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</si>
  <si>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</si>
  <si>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</si>
  <si>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</si>
  <si>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</si>
  <si>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</si>
  <si>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</si>
  <si>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</si>
  <si>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</si>
  <si>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</si>
  <si>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</si>
  <si>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</si>
  <si>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</si>
  <si>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</si>
  <si>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</si>
  <si>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</si>
  <si>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</si>
  <si>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</si>
  <si>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</si>
  <si>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</si>
  <si>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</si>
  <si>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</si>
  <si>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</si>
  <si>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</si>
  <si>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</si>
  <si>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</si>
  <si>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</si>
  <si>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</si>
  <si>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</si>
  <si>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</si>
  <si>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</si>
  <si>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</si>
  <si>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</si>
  <si>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</si>
  <si>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</si>
  <si>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</si>
  <si>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</si>
  <si>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</si>
  <si>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</si>
  <si>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</si>
  <si>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</si>
  <si>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</si>
  <si>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</si>
  <si>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</si>
  <si>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</si>
  <si>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</si>
  <si>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</si>
  <si>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</si>
  <si>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</si>
  <si>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</si>
  <si>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</si>
  <si>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</si>
  <si>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</si>
  <si>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</si>
  <si>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</si>
  <si>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</si>
  <si>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</si>
  <si>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</si>
  <si>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</si>
  <si>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</si>
  <si>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</si>
  <si>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</si>
  <si>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</si>
  <si>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</si>
  <si>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</si>
  <si>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</si>
  <si>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</si>
  <si>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</si>
  <si>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</si>
  <si>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</si>
  <si>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</si>
  <si>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</si>
  <si>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</si>
  <si>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</si>
  <si>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</si>
  <si>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</si>
  <si>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</si>
  <si>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</si>
  <si>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</si>
  <si>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</si>
  <si>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</si>
  <si>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</si>
  <si>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</si>
  <si>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</si>
  <si>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</si>
  <si>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</si>
  <si>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</si>
  <si>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</si>
  <si>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</si>
  <si>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</si>
  <si>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</si>
  <si>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</si>
  <si>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</si>
  <si>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</si>
  <si>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</si>
  <si>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</si>
  <si>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</si>
  <si>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</si>
  <si>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</si>
  <si>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</si>
  <si>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</si>
  <si>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</si>
  <si>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</si>
  <si>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</si>
  <si>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</si>
  <si>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</si>
  <si>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</si>
  <si>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Haritha</t>
  </si>
  <si>
    <t>No of Hours</t>
  </si>
  <si>
    <t>Cost per Hour</t>
  </si>
  <si>
    <t>Total Cost</t>
  </si>
  <si>
    <t>Pusarla Dilip</t>
  </si>
  <si>
    <t>Sreekanth (Arjun)</t>
  </si>
  <si>
    <t>Ramana Surada</t>
  </si>
  <si>
    <t>Ravi</t>
  </si>
  <si>
    <t>Venkatesh Salla</t>
  </si>
  <si>
    <t>Rama Krishna Sagi</t>
  </si>
  <si>
    <t>Madhuri</t>
  </si>
  <si>
    <t>UTIB0000553</t>
  </si>
  <si>
    <t>SBIN0008054</t>
  </si>
  <si>
    <t>SBIN0020959</t>
  </si>
  <si>
    <t>SBIN0020176</t>
  </si>
  <si>
    <t>AHRA</t>
  </si>
  <si>
    <t>Abasic</t>
  </si>
  <si>
    <t>ASA</t>
  </si>
  <si>
    <t>Spec Allo</t>
  </si>
  <si>
    <t>AOA</t>
  </si>
  <si>
    <t>1446178000009714</t>
  </si>
  <si>
    <t>SBIN0001437</t>
  </si>
  <si>
    <t>Rama Krishna Raju Sagi</t>
  </si>
  <si>
    <t>IDIB000C026</t>
  </si>
  <si>
    <t>K GOPINADH</t>
  </si>
  <si>
    <t>Banking Name</t>
  </si>
  <si>
    <t>INDIAN BANK</t>
  </si>
  <si>
    <t>Bank</t>
  </si>
  <si>
    <t>SBI</t>
  </si>
  <si>
    <t>004001579702</t>
  </si>
  <si>
    <t>ICIC0001806</t>
  </si>
  <si>
    <t>Sreekanth Koraboina</t>
  </si>
  <si>
    <t>ICIC0000053</t>
  </si>
  <si>
    <t>G Ravi Teja</t>
  </si>
  <si>
    <t>HDFC0004106</t>
  </si>
  <si>
    <t>Haritha Priya Mugidi</t>
  </si>
  <si>
    <t>HDFC</t>
  </si>
  <si>
    <t>Skill</t>
  </si>
  <si>
    <t>CTO</t>
  </si>
  <si>
    <t>QA</t>
  </si>
  <si>
    <t>DevOps</t>
  </si>
  <si>
    <t>AI</t>
  </si>
  <si>
    <t>PowerBI</t>
  </si>
  <si>
    <t>SCBL0036090</t>
  </si>
  <si>
    <t>Salla Venkatesh</t>
  </si>
  <si>
    <t>Standard Chartered Bank</t>
  </si>
  <si>
    <t>No response</t>
  </si>
  <si>
    <t>Month</t>
  </si>
  <si>
    <t>April</t>
  </si>
  <si>
    <t>Receiver</t>
  </si>
  <si>
    <t>ODCET Consultancy Services Pvt Ltd</t>
  </si>
  <si>
    <t>Account Number</t>
  </si>
  <si>
    <t>IFSC Code</t>
  </si>
  <si>
    <t>Amount</t>
  </si>
  <si>
    <t>HDFC0000364</t>
  </si>
  <si>
    <t>SBIN0011121</t>
  </si>
  <si>
    <t>ERGAMREDDY SARADHA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</si>
</sst>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\ mmm\ 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" fontId="4" fillId="0" borderId="2" xfId="0" applyNumberFormat="1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" fontId="0" fillId="0" borderId="2" xfId="0" applyNumberForma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1" xfId="0" quotePrefix="1" applyNumberForma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15" sqref="I15"/>
    </sheetView>
  </sheetViews>
  <sheetFormatPr defaultRowHeight="14.5" x14ac:dyDescent="0.35"/>
  <cols>
    <col min="1" max="1" width="11.26953125" bestFit="1" customWidth="1"/>
    <col min="2" max="2" width="24.36328125" bestFit="1" customWidth="1"/>
    <col min="3" max="3" width="9.54296875" bestFit="1" customWidth="1"/>
    <col min="4" max="4" width="8.36328125" bestFit="1" customWidth="1"/>
    <col min="5" max="5" width="12.90625" bestFit="1" customWidth="1"/>
    <col min="6" max="6" width="9.08984375" bestFit="1" customWidth="1"/>
    <col min="7" max="7" width="8.81640625" bestFit="1" customWidth="1"/>
    <col min="8" max="8" width="5.36328125" customWidth="1"/>
    <col min="9" max="10" width="8.36328125" bestFit="1" customWidth="1"/>
    <col min="11" max="11" width="15.81640625" bestFit="1" customWidth="1"/>
    <col min="12" max="12" width="15" bestFit="1" customWidth="1"/>
    <col min="13" max="13" width="13.36328125" bestFit="1" customWidth="1"/>
    <col min="14" max="14" width="16.90625" bestFit="1" customWidth="1"/>
    <col min="15" max="15" width="19" bestFit="1" customWidth="1"/>
    <col min="16" max="16" width="14.7265625" bestFit="1" customWidth="1"/>
    <col min="17" max="17" width="7.1796875" bestFit="1" customWidth="1"/>
    <col min="18" max="18" width="15.26953125" bestFit="1" customWidth="1"/>
    <col min="19" max="19" width="14.54296875" customWidth="1"/>
    <col min="20" max="20" width="13.1796875" bestFit="1" customWidth="1"/>
    <col min="21" max="21" width="5" bestFit="1" customWidth="1"/>
    <col min="22" max="22" width="13.453125" bestFit="1" customWidth="1"/>
    <col min="23" max="23" width="15.90625" bestFit="1" customWidth="1"/>
    <col min="24" max="24" width="16.6328125" bestFit="1" customWidth="1"/>
    <col min="25" max="25" width="18.7265625" bestFit="1" customWidth="1"/>
    <col min="26" max="26" width="14.7265625" bestFit="1" customWidth="1"/>
    <col min="27" max="27" width="15.26953125" bestFit="1" customWidth="1"/>
    <col min="28" max="28" width="15.26953125" customWidth="1"/>
    <col min="29" max="29" width="16.54296875" bestFit="1" customWidth="1"/>
  </cols>
  <sheetData>
    <row r="1" spans="1:29" x14ac:dyDescent="0.35">
      <c r="A1" s="32" t="s">
        <v>1</v>
      </c>
      <c r="B1" s="32" t="s">
        <v>0</v>
      </c>
      <c r="C1" s="32" t="s">
        <v>21</v>
      </c>
      <c r="D1" s="32" t="s">
        <v>25</v>
      </c>
      <c r="E1" s="1" t="s">
        <v>22</v>
      </c>
      <c r="F1" s="32" t="s">
        <v>23</v>
      </c>
      <c r="G1" s="32" t="s">
        <v>24</v>
      </c>
      <c r="H1" s="32"/>
      <c r="I1" s="32" t="s">
        <v>2</v>
      </c>
      <c r="J1" s="32" t="s">
        <v>3</v>
      </c>
      <c r="K1" s="32" t="s">
        <v>4</v>
      </c>
      <c r="L1" s="32" t="s">
        <v>5</v>
      </c>
      <c r="M1" s="32" t="s">
        <v>54</v>
      </c>
      <c r="N1" s="32" t="s">
        <v>10</v>
      </c>
      <c r="O1" s="32" t="s">
        <v>11</v>
      </c>
      <c r="P1" s="32" t="s">
        <v>12</v>
      </c>
      <c r="Q1" s="1" t="s">
        <v>6</v>
      </c>
      <c r="R1" s="1" t="s">
        <v>7</v>
      </c>
      <c r="S1" s="1" t="s">
        <v>8</v>
      </c>
      <c r="T1" s="1" t="s">
        <v>9</v>
      </c>
      <c r="U1" s="32" t="s">
        <v>13</v>
      </c>
      <c r="V1" s="32" t="s">
        <v>14</v>
      </c>
      <c r="W1" s="32" t="s">
        <v>15</v>
      </c>
      <c r="X1" s="32" t="s">
        <v>18</v>
      </c>
      <c r="Y1" s="32" t="s">
        <v>19</v>
      </c>
      <c r="Z1" s="32" t="s">
        <v>20</v>
      </c>
      <c r="AA1" s="32" t="s">
        <v>16</v>
      </c>
      <c r="AB1" s="32" t="s">
        <v>100</v>
      </c>
      <c r="AC1" s="32" t="s">
        <v>17</v>
      </c>
    </row>
    <row r="2" spans="1:29" s="33" customFormat="1" x14ac:dyDescent="0.35">
      <c r="A2" s="33" t="s">
        <v>27</v>
      </c>
      <c r="B2" s="33" t="s">
        <v>26</v>
      </c>
      <c r="C2" s="2">
        <v>46062</v>
      </c>
      <c r="D2" s="3">
        <v>70833</v>
      </c>
      <c r="E2" s="4">
        <v>31</v>
      </c>
      <c r="F2" s="4">
        <v>31</v>
      </c>
      <c r="G2" s="4">
        <v>0</v>
      </c>
      <c r="I2" s="4">
        <f>(+D2*50%)/E2*F2</f>
        <v>35416.5</v>
      </c>
      <c r="J2" s="4">
        <f>(I2*50%)</f>
        <v>17708.25</v>
      </c>
      <c r="K2" s="4">
        <f>(1600/E2)*F2</f>
        <v>1600</v>
      </c>
      <c r="L2" s="4">
        <f>(M2-I2-J2-K2)</f>
        <v>12604.716350000002</v>
      </c>
      <c r="M2" s="4">
        <f>((D2-X2)/E2*F2)-Z2</f>
        <v>67329.466350000002</v>
      </c>
      <c r="N2" s="4">
        <f>IF($I2*0.12&gt;1800,1800,$I2*0.12)</f>
        <v>1800</v>
      </c>
      <c r="O2" s="4">
        <f>IF(M2&lt;=21000,M2*0.75%,0)</f>
        <v>0</v>
      </c>
      <c r="P2" s="4">
        <v>200</v>
      </c>
      <c r="Q2" s="4">
        <v>0</v>
      </c>
      <c r="R2" s="4">
        <v>0</v>
      </c>
      <c r="S2" s="4">
        <v>0</v>
      </c>
      <c r="T2" s="4">
        <f>M2+Q2+R2+S2</f>
        <v>67329.466350000002</v>
      </c>
      <c r="U2" s="4">
        <v>0</v>
      </c>
      <c r="V2" s="4">
        <v>0</v>
      </c>
      <c r="W2" s="4">
        <v>0</v>
      </c>
      <c r="X2" s="4">
        <f>IF($I2*0.12&gt;1800,1800,$I2*0.12)</f>
        <v>1800</v>
      </c>
      <c r="Y2" s="4">
        <f>IF(M2&lt;=21000,M2*3.25%,0)</f>
        <v>0</v>
      </c>
      <c r="Z2" s="4">
        <f>I2*4.81%</f>
        <v>1703.5336499999999</v>
      </c>
      <c r="AA2" s="4">
        <f>N2+O2+P2+V2+W2+U2+X2+Y2+Z2</f>
        <v>5503.5336499999994</v>
      </c>
      <c r="AB2" s="4">
        <v>1</v>
      </c>
      <c r="AC2" s="4">
        <f>M2-AA2+AB2+N2+Z2</f>
        <v>65330.466350000002</v>
      </c>
    </row>
    <row r="3" spans="1:29" x14ac:dyDescent="0.35">
      <c r="A3" s="33" t="s">
        <v>96</v>
      </c>
      <c r="B3" s="33" t="s">
        <v>97</v>
      </c>
      <c r="C3" s="2">
        <v>46086</v>
      </c>
      <c r="D3">
        <v>100000</v>
      </c>
      <c r="E3">
        <v>31</v>
      </c>
      <c r="F3">
        <v>27</v>
      </c>
      <c r="G3">
        <v>0</v>
      </c>
      <c r="I3" s="4">
        <f t="shared" ref="I3" si="0">(+D3*49.99999%)/E3*F3</f>
        <v>43548.378387096767</v>
      </c>
      <c r="J3" s="4">
        <f>(I3*50%)</f>
        <v>21774.189193548384</v>
      </c>
      <c r="K3" s="4">
        <f>(1600/E3)*F3</f>
        <v>1393.5483870967741</v>
      </c>
      <c r="L3" s="4">
        <f>(M3-I3-J3-K3)</f>
        <v>16718.239289903238</v>
      </c>
      <c r="M3" s="4">
        <f>(D3-X3)/E3*F3-Z3</f>
        <v>83434.355257645162</v>
      </c>
      <c r="N3" s="4">
        <f>IF($I3*0.12&gt;1800,1800,$I3*0.12)</f>
        <v>1800</v>
      </c>
      <c r="O3" s="4">
        <f>IF(M3&lt;=21000,M3*0.75%,0)</f>
        <v>0</v>
      </c>
      <c r="P3" s="4">
        <v>200</v>
      </c>
      <c r="Q3" s="4">
        <v>0</v>
      </c>
      <c r="R3" s="4">
        <v>0</v>
      </c>
      <c r="S3" s="4">
        <v>0</v>
      </c>
      <c r="T3" s="4">
        <f>M3+Q3+R3+S3</f>
        <v>83434.355257645162</v>
      </c>
      <c r="U3" s="4">
        <v>0</v>
      </c>
      <c r="V3" s="4">
        <v>0</v>
      </c>
      <c r="W3" s="4">
        <v>0</v>
      </c>
      <c r="X3" s="4">
        <f>IF($I3*0.12&gt;1800,1800,$I3*0.12)</f>
        <v>1800</v>
      </c>
      <c r="Y3" s="4">
        <f>IF(M3&lt;=21000,M3*3.25%,0)</f>
        <v>0</v>
      </c>
      <c r="Z3" s="4">
        <f>I3*4.81%</f>
        <v>2094.6770004193545</v>
      </c>
      <c r="AA3" s="4">
        <f>N3+O3+P3+V3+W3+U3+X3+Y3+Z3</f>
        <v>5894.677000419355</v>
      </c>
      <c r="AB3" s="4"/>
      <c r="AC3" s="4">
        <f>M3-AA3+AB3+N3+Z3</f>
        <v>81434.355257645162</v>
      </c>
    </row>
    <row r="4" spans="1:29" x14ac:dyDescent="0.35">
      <c r="I4" s="4"/>
    </row>
    <row r="7" spans="1:29" x14ac:dyDescent="0.35">
      <c r="C7" t="s">
        <v>28</v>
      </c>
      <c r="D7" s="4">
        <f>SUM(D2:D6)</f>
        <v>170833</v>
      </c>
      <c r="I7" s="4">
        <f t="shared" ref="I7:AC7" si="1">SUM(I2:I6)</f>
        <v>78964.878387096775</v>
      </c>
      <c r="J7" s="4">
        <f t="shared" si="1"/>
        <v>39482.439193548387</v>
      </c>
      <c r="K7" s="4">
        <f t="shared" si="1"/>
        <v>2993.5483870967741</v>
      </c>
      <c r="L7" s="4">
        <f t="shared" si="1"/>
        <v>29322.955639903241</v>
      </c>
      <c r="M7" s="4">
        <f t="shared" si="1"/>
        <v>150763.82160764516</v>
      </c>
      <c r="N7" s="4">
        <f t="shared" si="1"/>
        <v>3600</v>
      </c>
      <c r="O7" s="4">
        <f t="shared" si="1"/>
        <v>0</v>
      </c>
      <c r="P7" s="4">
        <f t="shared" si="1"/>
        <v>400</v>
      </c>
      <c r="Q7" s="4">
        <f t="shared" si="1"/>
        <v>0</v>
      </c>
      <c r="R7" s="4">
        <f t="shared" si="1"/>
        <v>0</v>
      </c>
      <c r="S7" s="4">
        <f t="shared" si="1"/>
        <v>0</v>
      </c>
      <c r="T7" s="4">
        <f t="shared" si="1"/>
        <v>150763.82160764516</v>
      </c>
      <c r="U7" s="4">
        <f t="shared" si="1"/>
        <v>0</v>
      </c>
      <c r="V7" s="4">
        <f t="shared" si="1"/>
        <v>0</v>
      </c>
      <c r="W7" s="4">
        <f t="shared" si="1"/>
        <v>0</v>
      </c>
      <c r="X7" s="4">
        <f t="shared" si="1"/>
        <v>3600</v>
      </c>
      <c r="Y7" s="4">
        <f t="shared" si="1"/>
        <v>0</v>
      </c>
      <c r="Z7" s="4">
        <f t="shared" si="1"/>
        <v>3798.2106504193544</v>
      </c>
      <c r="AA7" s="4">
        <f t="shared" si="1"/>
        <v>11398.210650419354</v>
      </c>
      <c r="AB7" s="4"/>
      <c r="AC7" s="5">
        <f t="shared" si="1"/>
        <v>146764.82160764516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7"/>
  <sheetViews>
    <sheetView workbookViewId="0">
      <selection activeCell="C19" sqref="C19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1796875" bestFit="1" customWidth="1"/>
    <col min="4" max="4" width="6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  <col min="9" max="9" width="16" bestFit="1" customWidth="1"/>
  </cols>
  <sheetData>
    <row r="1" spans="1:9" x14ac:dyDescent="0.35">
      <c r="A1" s="24" t="s">
        <v>1</v>
      </c>
      <c r="B1" s="24" t="s">
        <v>0</v>
      </c>
      <c r="C1" s="24" t="s">
        <v>21</v>
      </c>
      <c r="D1" s="25" t="s">
        <v>25</v>
      </c>
      <c r="E1" s="25" t="s">
        <v>53</v>
      </c>
      <c r="F1" s="25" t="s">
        <v>13</v>
      </c>
      <c r="G1" s="25" t="s">
        <v>40</v>
      </c>
      <c r="H1" s="25" t="s">
        <v>41</v>
      </c>
      <c r="I1" s="25" t="s">
        <v>123</v>
      </c>
    </row>
    <row r="2" spans="1:9" x14ac:dyDescent="0.35">
      <c r="A2" s="26" t="s">
        <v>36</v>
      </c>
      <c r="B2" s="27" t="s">
        <v>52</v>
      </c>
      <c r="C2" s="28">
        <v>46055</v>
      </c>
      <c r="D2" s="27">
        <v>80000</v>
      </c>
      <c r="E2" s="29">
        <f>D2/31*31</f>
        <v>80000</v>
      </c>
      <c r="F2" s="27">
        <v>0</v>
      </c>
      <c r="G2" s="27">
        <v>200</v>
      </c>
      <c r="H2" s="29">
        <f>E2-G2</f>
        <v>79800</v>
      </c>
      <c r="I2" s="29"/>
    </row>
    <row r="3" spans="1:9" x14ac:dyDescent="0.35">
      <c r="A3" s="26" t="s">
        <v>35</v>
      </c>
      <c r="B3" s="26" t="s">
        <v>38</v>
      </c>
      <c r="C3" s="28">
        <v>46055</v>
      </c>
      <c r="D3" s="27">
        <v>70000</v>
      </c>
      <c r="E3" s="29">
        <f>D3/31*31</f>
        <v>70000</v>
      </c>
      <c r="F3" s="27">
        <v>0</v>
      </c>
      <c r="G3" s="27">
        <v>200</v>
      </c>
      <c r="H3" s="29">
        <f>E3-G3</f>
        <v>69800</v>
      </c>
      <c r="I3" s="29"/>
    </row>
    <row r="4" spans="1:9" x14ac:dyDescent="0.35">
      <c r="A4" s="26" t="s">
        <v>46</v>
      </c>
      <c r="B4" s="26" t="s">
        <v>47</v>
      </c>
      <c r="C4" s="28">
        <v>46066</v>
      </c>
      <c r="D4" s="27">
        <v>60000</v>
      </c>
      <c r="E4" s="29">
        <f>D4/31*31</f>
        <v>60000</v>
      </c>
      <c r="F4" s="27">
        <v>0</v>
      </c>
      <c r="G4" s="27">
        <v>200</v>
      </c>
      <c r="H4" s="29">
        <f>E4-G4</f>
        <v>59800</v>
      </c>
      <c r="I4" s="29"/>
    </row>
    <row r="5" spans="1:9" x14ac:dyDescent="0.35">
      <c r="A5" s="26" t="s">
        <v>37</v>
      </c>
      <c r="B5" s="26" t="s">
        <v>39</v>
      </c>
      <c r="C5" s="28">
        <v>46072</v>
      </c>
      <c r="D5" s="27">
        <v>80000</v>
      </c>
      <c r="E5" s="29">
        <v>80000</v>
      </c>
      <c r="F5" s="27">
        <v>0</v>
      </c>
      <c r="G5" s="27">
        <v>200</v>
      </c>
      <c r="H5" s="29">
        <f>E5-G5</f>
        <v>79800</v>
      </c>
      <c r="I5" s="29"/>
    </row>
    <row r="6" spans="1:9" x14ac:dyDescent="0.35">
      <c r="A6" s="22" t="s">
        <v>98</v>
      </c>
      <c r="B6" s="23" t="s">
        <v>99</v>
      </c>
      <c r="C6" s="28">
        <v>46092</v>
      </c>
      <c r="D6" s="27">
        <v>20000</v>
      </c>
      <c r="E6" s="29">
        <f>D6/31*21</f>
        <v>13548.387096774193</v>
      </c>
      <c r="F6" s="27">
        <v>0</v>
      </c>
      <c r="G6" s="27">
        <v>200</v>
      </c>
      <c r="H6" s="29">
        <f>E6-G6</f>
        <v>13348.387096774193</v>
      </c>
      <c r="I6" s="29"/>
    </row>
    <row r="7" spans="1:9" x14ac:dyDescent="0.35">
      <c r="G7" s="1" t="s">
        <v>28</v>
      </c>
      <c r="H7" s="5">
        <f>SUM(H2:H6)</f>
        <v>302548.38709677418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F23"/>
  <sheetViews>
    <sheetView tabSelected="1" workbookViewId="0">
      <pane xSplit="3" ySplit="1" topLeftCell="AA2" activePane="bottomRight" state="frozen"/>
      <selection pane="topRight" activeCell="D1" sqref="D1"/>
      <selection pane="bottomLeft" activeCell="A2" sqref="A2"/>
      <selection pane="bottomRight" activeCell="AB2" sqref="AB2"/>
    </sheetView>
  </sheetViews>
  <sheetFormatPr defaultRowHeight="14.5" x14ac:dyDescent="0.35"/>
  <cols>
    <col min="1" max="1" width="11.26953125" style="9" bestFit="1" customWidth="1"/>
    <col min="2" max="2" width="26.90625" style="9" customWidth="1"/>
    <col min="3" max="3" width="9.54296875" style="9" bestFit="1" customWidth="1"/>
    <col min="4" max="4" width="8.36328125" style="9" bestFit="1" customWidth="1"/>
    <col min="5" max="5" width="12.90625" style="9" bestFit="1" customWidth="1"/>
    <col min="6" max="6" width="9.08984375" style="9" bestFit="1" customWidth="1"/>
    <col min="7" max="7" width="8.81640625" style="9" bestFit="1" customWidth="1"/>
    <col min="8" max="8" width="5.36328125" style="9" customWidth="1"/>
    <col min="9" max="12" width="8.36328125" style="9" bestFit="1" customWidth="1"/>
    <col min="13" max="13" width="5.81640625" style="9" bestFit="1" customWidth="1"/>
    <col min="14" max="14" width="8.26953125" style="9" bestFit="1" customWidth="1"/>
    <col min="15" max="15" width="8.26953125" style="9" customWidth="1"/>
    <col min="16" max="16" width="15" style="9" bestFit="1" customWidth="1"/>
    <col min="17" max="17" width="13.36328125" style="9" bestFit="1" customWidth="1"/>
    <col min="18" max="18" width="16.90625" style="9" bestFit="1" customWidth="1"/>
    <col min="19" max="19" width="19" style="9" bestFit="1" customWidth="1"/>
    <col min="20" max="20" width="14.7265625" style="9" bestFit="1" customWidth="1"/>
    <col min="21" max="21" width="7.1796875" style="9" bestFit="1" customWidth="1"/>
    <col min="22" max="22" width="15.26953125" style="9" bestFit="1" customWidth="1"/>
    <col min="23" max="23" width="14.54296875" style="9" customWidth="1"/>
    <col min="24" max="24" width="12.1796875" style="9" bestFit="1" customWidth="1"/>
    <col min="25" max="25" width="5" style="9" bestFit="1" customWidth="1"/>
    <col min="26" max="26" width="13.453125" style="9" bestFit="1" customWidth="1"/>
    <col min="27" max="27" width="15.90625" style="9" bestFit="1" customWidth="1"/>
    <col min="28" max="28" width="16.6328125" style="9" bestFit="1" customWidth="1"/>
    <col min="29" max="29" width="18.7265625" style="9" bestFit="1" customWidth="1"/>
    <col min="30" max="30" width="14.7265625" style="9" bestFit="1" customWidth="1"/>
    <col min="31" max="31" width="15.26953125" style="9" bestFit="1" customWidth="1"/>
    <col min="32" max="32" width="16.54296875" style="9" bestFit="1" customWidth="1"/>
    <col min="33" max="16384" width="8.7265625" style="9"/>
  </cols>
  <sheetData>
    <row r="1" spans="1:32" x14ac:dyDescent="0.35">
      <c r="A1" s="7" t="s">
        <v>1</v>
      </c>
      <c r="B1" s="7" t="s">
        <v>0</v>
      </c>
      <c r="C1" s="7" t="s">
        <v>21</v>
      </c>
      <c r="D1" s="7" t="s">
        <v>25</v>
      </c>
      <c r="E1" s="8" t="s">
        <v>22</v>
      </c>
      <c r="F1" s="7" t="s">
        <v>23</v>
      </c>
      <c r="G1" s="7" t="s">
        <v>24</v>
      </c>
      <c r="H1" s="7"/>
      <c r="I1" s="7" t="s">
        <v>146</v>
      </c>
      <c r="J1" s="7" t="s">
        <v>2</v>
      </c>
      <c r="K1" s="7" t="s">
        <v>145</v>
      </c>
      <c r="L1" s="7" t="s">
        <v>3</v>
      </c>
      <c r="M1" s="7" t="s">
        <v>147</v>
      </c>
      <c r="N1" s="7" t="s">
        <v>148</v>
      </c>
      <c r="O1" s="7" t="s">
        <v>149</v>
      </c>
      <c r="P1" s="7" t="s">
        <v>5</v>
      </c>
      <c r="Q1" s="7" t="s">
        <v>54</v>
      </c>
      <c r="R1" s="7" t="s">
        <v>10</v>
      </c>
      <c r="S1" s="7" t="s">
        <v>11</v>
      </c>
      <c r="T1" s="7" t="s">
        <v>12</v>
      </c>
      <c r="U1" s="8" t="s">
        <v>6</v>
      </c>
      <c r="V1" s="8" t="s">
        <v>7</v>
      </c>
      <c r="W1" s="8" t="s">
        <v>8</v>
      </c>
      <c r="X1" s="8" t="s">
        <v>9</v>
      </c>
      <c r="Y1" s="7" t="s">
        <v>13</v>
      </c>
      <c r="Z1" s="7" t="s">
        <v>14</v>
      </c>
      <c r="AA1" s="7" t="s">
        <v>15</v>
      </c>
      <c r="AB1" s="7" t="s">
        <v>18</v>
      </c>
      <c r="AC1" s="7" t="s">
        <v>19</v>
      </c>
      <c r="AD1" s="7" t="s">
        <v>20</v>
      </c>
      <c r="AE1" s="7" t="s">
        <v>16</v>
      </c>
      <c r="AF1" s="7" t="s">
        <v>17</v>
      </c>
    </row>
    <row r="2" spans="1:32" x14ac:dyDescent="0.35">
      <c r="A2" s="10" t="s">
        <v>56</v>
      </c>
      <c r="B2" s="11" t="s">
        <v>57</v>
      </c>
      <c r="C2" s="12">
        <v>46083</v>
      </c>
      <c r="D2" s="13">
        <v>45000</v>
      </c>
      <c r="E2" s="14">
        <v>31</v>
      </c>
      <c r="F2" s="14">
        <v>30</v>
      </c>
      <c r="G2" s="14">
        <v>0</v>
      </c>
      <c r="H2" s="14"/>
      <c r="I2" s="15">
        <f>(+D2*49.99999%)/E2*E2</f>
        <v>22499.995499999997</v>
      </c>
      <c r="J2" s="15">
        <f t="shared" ref="J2:J21" si="0">(+D2*49.99999%)/E2*F2</f>
        <v>21774.189193548384</v>
      </c>
      <c r="K2" s="15">
        <f t="shared" ref="K2:L21" si="1">(I2*50%)</f>
        <v>11249.997749999999</v>
      </c>
      <c r="L2" s="15">
        <f t="shared" si="1"/>
        <v>10887.094596774192</v>
      </c>
      <c r="M2" s="15">
        <v>1600</v>
      </c>
      <c r="N2" s="15">
        <f t="shared" ref="N2:N21" si="2">(1600/E2)*F2</f>
        <v>1548.3870967741934</v>
      </c>
      <c r="O2" s="15">
        <f>D2-I2-K2-M2-AB2-AD2</f>
        <v>6802.6682497903266</v>
      </c>
      <c r="P2" s="15">
        <f t="shared" ref="P2:P21" si="3">(Q2-J2-L2-N2)</f>
        <v>6549.442225596782</v>
      </c>
      <c r="Q2" s="15">
        <f>(D2-AB2)/E2*F2-AD2</f>
        <v>40759.113112693551</v>
      </c>
      <c r="R2" s="15">
        <f>IF($J2*0.12&gt;1800,1800,$J2*0.12)</f>
        <v>1800</v>
      </c>
      <c r="S2" s="15">
        <f>IF(Q2&lt;=21000,Q2*0.75%,0)</f>
        <v>0</v>
      </c>
      <c r="T2" s="15">
        <v>200</v>
      </c>
      <c r="U2" s="15">
        <v>0</v>
      </c>
      <c r="V2" s="15">
        <v>0</v>
      </c>
      <c r="W2" s="15">
        <v>0</v>
      </c>
      <c r="X2" s="15">
        <f t="shared" ref="X2:X21" si="4">Q2+U2+V2+W2</f>
        <v>40759.113112693551</v>
      </c>
      <c r="Y2" s="15">
        <v>0</v>
      </c>
      <c r="Z2" s="15">
        <v>0</v>
      </c>
      <c r="AA2" s="15">
        <v>0</v>
      </c>
      <c r="AB2" s="15">
        <f>IF($J2*0.12&gt;1800,1800,$J2*0.12)</f>
        <v>1800</v>
      </c>
      <c r="AC2" s="15">
        <v>0</v>
      </c>
      <c r="AD2" s="15">
        <f t="shared" ref="AD2:AD21" si="5">J2*4.81%</f>
        <v>1047.3385002096772</v>
      </c>
      <c r="AE2" s="15">
        <f t="shared" ref="AE2:AE21" si="6">R2+S2+T2+Z2+AA2+Y2+AB2+AC2+AD2</f>
        <v>4847.3385002096775</v>
      </c>
      <c r="AF2" s="15">
        <f>Q2-AE2+AD2+AB2</f>
        <v>38759.113112693551</v>
      </c>
    </row>
    <row r="3" spans="1:32" x14ac:dyDescent="0.35">
      <c r="A3" s="10" t="s">
        <v>58</v>
      </c>
      <c r="B3" s="11" t="s">
        <v>59</v>
      </c>
      <c r="C3" s="12">
        <v>46083</v>
      </c>
      <c r="D3" s="13">
        <v>45000</v>
      </c>
      <c r="E3" s="14">
        <v>31</v>
      </c>
      <c r="F3" s="14">
        <v>30</v>
      </c>
      <c r="G3" s="14">
        <v>0</v>
      </c>
      <c r="H3" s="14"/>
      <c r="I3" s="15">
        <f t="shared" ref="I3:I21" si="7">(+D3*49.99999%)/E3*E3</f>
        <v>22499.995499999997</v>
      </c>
      <c r="J3" s="15">
        <f t="shared" si="0"/>
        <v>21774.189193548384</v>
      </c>
      <c r="K3" s="15">
        <f t="shared" si="1"/>
        <v>11249.997749999999</v>
      </c>
      <c r="L3" s="15">
        <f t="shared" si="1"/>
        <v>10887.094596774192</v>
      </c>
      <c r="M3" s="15">
        <v>1600</v>
      </c>
      <c r="N3" s="15">
        <f t="shared" si="2"/>
        <v>1548.3870967741934</v>
      </c>
      <c r="O3" s="15">
        <f t="shared" ref="O3:O21" si="8">D3-I3-K3-M3-AB3-AD3</f>
        <v>6802.6682497903266</v>
      </c>
      <c r="P3" s="15">
        <f t="shared" si="3"/>
        <v>6549.442225596782</v>
      </c>
      <c r="Q3" s="15">
        <f t="shared" ref="Q3:Q21" si="9">(D3-AB3)/E3*F3-AD3</f>
        <v>40759.113112693551</v>
      </c>
      <c r="R3" s="15">
        <f t="shared" ref="R3:R21" si="10">IF($J3*0.12&gt;1800,1800,$J3*0.12)</f>
        <v>1800</v>
      </c>
      <c r="S3" s="15">
        <f t="shared" ref="S3:S21" si="11">IF(Q3&lt;=21000,Q3*0.75%,0)</f>
        <v>0</v>
      </c>
      <c r="T3" s="15">
        <v>200</v>
      </c>
      <c r="U3" s="15">
        <v>0</v>
      </c>
      <c r="V3" s="15">
        <v>0</v>
      </c>
      <c r="W3" s="15">
        <v>0</v>
      </c>
      <c r="X3" s="15">
        <f t="shared" si="4"/>
        <v>40759.113112693551</v>
      </c>
      <c r="Y3" s="15">
        <v>0</v>
      </c>
      <c r="Z3" s="15">
        <v>0</v>
      </c>
      <c r="AA3" s="15">
        <v>0</v>
      </c>
      <c r="AB3" s="15">
        <f t="shared" ref="AB3:AB21" si="12">IF($J3*0.12&gt;1800,1800,$J3*0.12)</f>
        <v>1800</v>
      </c>
      <c r="AC3" s="15">
        <v>0</v>
      </c>
      <c r="AD3" s="15">
        <f t="shared" si="5"/>
        <v>1047.3385002096772</v>
      </c>
      <c r="AE3" s="15">
        <f t="shared" si="6"/>
        <v>4847.3385002096775</v>
      </c>
      <c r="AF3" s="15">
        <f t="shared" ref="AF3:AF21" si="13">Q3-AE3+AD3+AB3</f>
        <v>38759.113112693551</v>
      </c>
    </row>
    <row r="4" spans="1:32" x14ac:dyDescent="0.35">
      <c r="A4" s="10" t="s">
        <v>60</v>
      </c>
      <c r="B4" s="11" t="s">
        <v>61</v>
      </c>
      <c r="C4" s="12">
        <v>46083</v>
      </c>
      <c r="D4" s="13">
        <v>60000</v>
      </c>
      <c r="E4" s="14">
        <v>31</v>
      </c>
      <c r="F4" s="14">
        <v>30</v>
      </c>
      <c r="G4" s="14">
        <v>0</v>
      </c>
      <c r="H4" s="14"/>
      <c r="I4" s="15">
        <f t="shared" si="7"/>
        <v>29999.993999999995</v>
      </c>
      <c r="J4" s="15">
        <f t="shared" si="0"/>
        <v>29032.252258064509</v>
      </c>
      <c r="K4" s="15">
        <f t="shared" si="1"/>
        <v>14999.996999999998</v>
      </c>
      <c r="L4" s="15">
        <f t="shared" si="1"/>
        <v>14516.126129032255</v>
      </c>
      <c r="M4" s="15">
        <v>1600</v>
      </c>
      <c r="N4" s="15">
        <f t="shared" si="2"/>
        <v>1548.3870967741934</v>
      </c>
      <c r="O4" s="15">
        <f t="shared" si="8"/>
        <v>10203.557666387105</v>
      </c>
      <c r="P4" s="15">
        <f t="shared" si="3"/>
        <v>9829.3638276774363</v>
      </c>
      <c r="Q4" s="15">
        <f t="shared" si="9"/>
        <v>54926.129311548393</v>
      </c>
      <c r="R4" s="15">
        <f t="shared" si="10"/>
        <v>1800</v>
      </c>
      <c r="S4" s="15">
        <f t="shared" si="11"/>
        <v>0</v>
      </c>
      <c r="T4" s="15">
        <v>200</v>
      </c>
      <c r="U4" s="15">
        <v>0</v>
      </c>
      <c r="V4" s="15">
        <v>0</v>
      </c>
      <c r="W4" s="15">
        <v>0</v>
      </c>
      <c r="X4" s="15">
        <f t="shared" si="4"/>
        <v>54926.129311548393</v>
      </c>
      <c r="Y4" s="15">
        <v>0</v>
      </c>
      <c r="Z4" s="15">
        <v>0</v>
      </c>
      <c r="AA4" s="15">
        <v>0</v>
      </c>
      <c r="AB4" s="15">
        <f t="shared" si="12"/>
        <v>1800</v>
      </c>
      <c r="AC4" s="15">
        <v>0</v>
      </c>
      <c r="AD4" s="15">
        <f t="shared" si="5"/>
        <v>1396.4513336129028</v>
      </c>
      <c r="AE4" s="15">
        <f t="shared" si="6"/>
        <v>5196.451333612903</v>
      </c>
      <c r="AF4" s="15">
        <f t="shared" si="13"/>
        <v>52926.129311548393</v>
      </c>
    </row>
    <row r="5" spans="1:32" x14ac:dyDescent="0.35">
      <c r="A5" s="10" t="s">
        <v>62</v>
      </c>
      <c r="B5" s="11" t="s">
        <v>63</v>
      </c>
      <c r="C5" s="12">
        <v>46083</v>
      </c>
      <c r="D5" s="13">
        <v>23000</v>
      </c>
      <c r="E5" s="14">
        <v>31</v>
      </c>
      <c r="F5" s="14">
        <v>30</v>
      </c>
      <c r="G5" s="14">
        <v>0</v>
      </c>
      <c r="H5" s="14"/>
      <c r="I5" s="15">
        <f t="shared" si="7"/>
        <v>11499.997699999998</v>
      </c>
      <c r="J5" s="15">
        <f t="shared" si="0"/>
        <v>11129.030032258062</v>
      </c>
      <c r="K5" s="15">
        <f t="shared" si="1"/>
        <v>5749.998849999999</v>
      </c>
      <c r="L5" s="15">
        <f t="shared" si="1"/>
        <v>5564.5150161290312</v>
      </c>
      <c r="M5" s="15">
        <v>1600</v>
      </c>
      <c r="N5" s="15">
        <f t="shared" si="2"/>
        <v>1548.3870967741934</v>
      </c>
      <c r="O5" s="15">
        <f t="shared" si="8"/>
        <v>2279.2135015774229</v>
      </c>
      <c r="P5" s="15">
        <f t="shared" si="3"/>
        <v>2188.4225387990682</v>
      </c>
      <c r="Q5" s="15">
        <f t="shared" si="9"/>
        <v>20430.354683960355</v>
      </c>
      <c r="R5" s="15">
        <f t="shared" si="10"/>
        <v>1335.4836038709675</v>
      </c>
      <c r="S5" s="15">
        <f t="shared" si="11"/>
        <v>153.22766012970266</v>
      </c>
      <c r="T5" s="15">
        <v>150</v>
      </c>
      <c r="U5" s="15">
        <v>0</v>
      </c>
      <c r="V5" s="15">
        <v>0</v>
      </c>
      <c r="W5" s="15">
        <v>0</v>
      </c>
      <c r="X5" s="15">
        <f t="shared" si="4"/>
        <v>20430.354683960355</v>
      </c>
      <c r="Y5" s="15">
        <v>0</v>
      </c>
      <c r="Z5" s="15">
        <v>0</v>
      </c>
      <c r="AA5" s="15">
        <v>0</v>
      </c>
      <c r="AB5" s="15">
        <f t="shared" si="12"/>
        <v>1335.4836038709675</v>
      </c>
      <c r="AC5" s="15">
        <v>0</v>
      </c>
      <c r="AD5" s="15">
        <f t="shared" si="5"/>
        <v>535.30634455161282</v>
      </c>
      <c r="AE5" s="15">
        <f t="shared" si="6"/>
        <v>3509.5012124232503</v>
      </c>
      <c r="AF5" s="15">
        <f t="shared" si="13"/>
        <v>18791.643419959688</v>
      </c>
    </row>
    <row r="6" spans="1:32" x14ac:dyDescent="0.35">
      <c r="A6" s="10" t="s">
        <v>64</v>
      </c>
      <c r="B6" s="11" t="s">
        <v>65</v>
      </c>
      <c r="C6" s="12">
        <v>46083</v>
      </c>
      <c r="D6" s="15">
        <v>50000</v>
      </c>
      <c r="E6" s="14">
        <v>31</v>
      </c>
      <c r="F6" s="14">
        <v>30</v>
      </c>
      <c r="G6" s="14">
        <v>0</v>
      </c>
      <c r="H6" s="14"/>
      <c r="I6" s="15">
        <f t="shared" si="7"/>
        <v>24999.994999999995</v>
      </c>
      <c r="J6" s="15">
        <f t="shared" si="0"/>
        <v>24193.54354838709</v>
      </c>
      <c r="K6" s="15">
        <f t="shared" si="1"/>
        <v>12499.997499999998</v>
      </c>
      <c r="L6" s="15">
        <f t="shared" si="1"/>
        <v>12096.771774193545</v>
      </c>
      <c r="M6" s="15">
        <v>1600</v>
      </c>
      <c r="N6" s="15">
        <f t="shared" si="2"/>
        <v>1548.3870967741934</v>
      </c>
      <c r="O6" s="15">
        <f t="shared" si="8"/>
        <v>7936.298055322588</v>
      </c>
      <c r="P6" s="15">
        <f t="shared" si="3"/>
        <v>7642.7494262903274</v>
      </c>
      <c r="Q6" s="15">
        <f t="shared" si="9"/>
        <v>45481.451845645155</v>
      </c>
      <c r="R6" s="15">
        <f t="shared" si="10"/>
        <v>1800</v>
      </c>
      <c r="S6" s="15">
        <f t="shared" si="11"/>
        <v>0</v>
      </c>
      <c r="T6" s="15">
        <v>200</v>
      </c>
      <c r="U6" s="15">
        <v>0</v>
      </c>
      <c r="V6" s="15">
        <v>0</v>
      </c>
      <c r="W6" s="15">
        <v>0</v>
      </c>
      <c r="X6" s="15">
        <f t="shared" si="4"/>
        <v>45481.451845645155</v>
      </c>
      <c r="Y6" s="15">
        <v>0</v>
      </c>
      <c r="Z6" s="15">
        <v>0</v>
      </c>
      <c r="AA6" s="15">
        <v>0</v>
      </c>
      <c r="AB6" s="15">
        <f t="shared" si="12"/>
        <v>1800</v>
      </c>
      <c r="AC6" s="15">
        <v>0</v>
      </c>
      <c r="AD6" s="15">
        <f t="shared" si="5"/>
        <v>1163.709444677419</v>
      </c>
      <c r="AE6" s="15">
        <f t="shared" si="6"/>
        <v>4963.709444677419</v>
      </c>
      <c r="AF6" s="15">
        <f t="shared" si="13"/>
        <v>43481.451845645155</v>
      </c>
    </row>
    <row r="7" spans="1:32" x14ac:dyDescent="0.35">
      <c r="A7" s="10" t="s">
        <v>66</v>
      </c>
      <c r="B7" s="11" t="s">
        <v>67</v>
      </c>
      <c r="C7" s="12">
        <v>46083</v>
      </c>
      <c r="D7" s="13">
        <v>45000</v>
      </c>
      <c r="E7" s="14">
        <v>31</v>
      </c>
      <c r="F7" s="14">
        <v>30</v>
      </c>
      <c r="G7" s="14">
        <v>0</v>
      </c>
      <c r="H7" s="14"/>
      <c r="I7" s="15">
        <f t="shared" si="7"/>
        <v>22499.995499999997</v>
      </c>
      <c r="J7" s="15">
        <f t="shared" si="0"/>
        <v>21774.189193548384</v>
      </c>
      <c r="K7" s="15">
        <f t="shared" si="1"/>
        <v>11249.997749999999</v>
      </c>
      <c r="L7" s="15">
        <f t="shared" si="1"/>
        <v>10887.094596774192</v>
      </c>
      <c r="M7" s="15">
        <v>1600</v>
      </c>
      <c r="N7" s="15">
        <f t="shared" si="2"/>
        <v>1548.3870967741934</v>
      </c>
      <c r="O7" s="15">
        <f t="shared" si="8"/>
        <v>6802.6682497903266</v>
      </c>
      <c r="P7" s="15">
        <f t="shared" si="3"/>
        <v>6549.442225596782</v>
      </c>
      <c r="Q7" s="15">
        <f t="shared" si="9"/>
        <v>40759.113112693551</v>
      </c>
      <c r="R7" s="15">
        <f t="shared" si="10"/>
        <v>1800</v>
      </c>
      <c r="S7" s="15">
        <f t="shared" si="11"/>
        <v>0</v>
      </c>
      <c r="T7" s="15">
        <v>200</v>
      </c>
      <c r="U7" s="15">
        <v>0</v>
      </c>
      <c r="V7" s="15">
        <v>0</v>
      </c>
      <c r="W7" s="15">
        <v>0</v>
      </c>
      <c r="X7" s="15">
        <f t="shared" si="4"/>
        <v>40759.113112693551</v>
      </c>
      <c r="Y7" s="15">
        <v>0</v>
      </c>
      <c r="Z7" s="15">
        <v>0</v>
      </c>
      <c r="AA7" s="15">
        <v>0</v>
      </c>
      <c r="AB7" s="15">
        <f t="shared" si="12"/>
        <v>1800</v>
      </c>
      <c r="AC7" s="15">
        <v>0</v>
      </c>
      <c r="AD7" s="15">
        <f t="shared" si="5"/>
        <v>1047.3385002096772</v>
      </c>
      <c r="AE7" s="15">
        <f t="shared" si="6"/>
        <v>4847.3385002096775</v>
      </c>
      <c r="AF7" s="15">
        <f t="shared" si="13"/>
        <v>38759.113112693551</v>
      </c>
    </row>
    <row r="8" spans="1:32" x14ac:dyDescent="0.35">
      <c r="A8" s="10" t="s">
        <v>68</v>
      </c>
      <c r="B8" s="11" t="s">
        <v>69</v>
      </c>
      <c r="C8" s="12">
        <v>46083</v>
      </c>
      <c r="D8" s="13">
        <v>45000</v>
      </c>
      <c r="E8" s="14">
        <v>31</v>
      </c>
      <c r="F8" s="14">
        <v>30</v>
      </c>
      <c r="G8" s="14">
        <v>0</v>
      </c>
      <c r="H8" s="14"/>
      <c r="I8" s="15">
        <f t="shared" si="7"/>
        <v>22499.995499999997</v>
      </c>
      <c r="J8" s="15">
        <f t="shared" si="0"/>
        <v>21774.189193548384</v>
      </c>
      <c r="K8" s="15">
        <f t="shared" si="1"/>
        <v>11249.997749999999</v>
      </c>
      <c r="L8" s="15">
        <f t="shared" si="1"/>
        <v>10887.094596774192</v>
      </c>
      <c r="M8" s="15">
        <v>1600</v>
      </c>
      <c r="N8" s="15">
        <f t="shared" si="2"/>
        <v>1548.3870967741934</v>
      </c>
      <c r="O8" s="15">
        <f t="shared" si="8"/>
        <v>6802.6682497903266</v>
      </c>
      <c r="P8" s="15">
        <f t="shared" si="3"/>
        <v>6549.442225596782</v>
      </c>
      <c r="Q8" s="15">
        <f t="shared" si="9"/>
        <v>40759.113112693551</v>
      </c>
      <c r="R8" s="15">
        <f t="shared" si="10"/>
        <v>1800</v>
      </c>
      <c r="S8" s="15">
        <f t="shared" si="11"/>
        <v>0</v>
      </c>
      <c r="T8" s="15">
        <v>200</v>
      </c>
      <c r="U8" s="15">
        <v>0</v>
      </c>
      <c r="V8" s="15">
        <v>0</v>
      </c>
      <c r="W8" s="15">
        <v>0</v>
      </c>
      <c r="X8" s="15">
        <f t="shared" si="4"/>
        <v>40759.113112693551</v>
      </c>
      <c r="Y8" s="15">
        <v>0</v>
      </c>
      <c r="Z8" s="15">
        <v>0</v>
      </c>
      <c r="AA8" s="15">
        <v>0</v>
      </c>
      <c r="AB8" s="15">
        <f t="shared" si="12"/>
        <v>1800</v>
      </c>
      <c r="AC8" s="15">
        <v>0</v>
      </c>
      <c r="AD8" s="15">
        <f t="shared" si="5"/>
        <v>1047.3385002096772</v>
      </c>
      <c r="AE8" s="15">
        <f t="shared" si="6"/>
        <v>4847.3385002096775</v>
      </c>
      <c r="AF8" s="15">
        <f t="shared" si="13"/>
        <v>38759.113112693551</v>
      </c>
    </row>
    <row r="9" spans="1:32" x14ac:dyDescent="0.35">
      <c r="A9" s="10" t="s">
        <v>70</v>
      </c>
      <c r="B9" s="11" t="s">
        <v>71</v>
      </c>
      <c r="C9" s="12">
        <v>46083</v>
      </c>
      <c r="D9" s="13">
        <v>45000</v>
      </c>
      <c r="E9" s="14">
        <v>31</v>
      </c>
      <c r="F9" s="14">
        <v>30</v>
      </c>
      <c r="G9" s="14">
        <v>0</v>
      </c>
      <c r="H9" s="14"/>
      <c r="I9" s="15">
        <f t="shared" si="7"/>
        <v>22499.995499999997</v>
      </c>
      <c r="J9" s="15">
        <f t="shared" si="0"/>
        <v>21774.189193548384</v>
      </c>
      <c r="K9" s="15">
        <f t="shared" si="1"/>
        <v>11249.997749999999</v>
      </c>
      <c r="L9" s="15">
        <f t="shared" si="1"/>
        <v>10887.094596774192</v>
      </c>
      <c r="M9" s="15">
        <v>1600</v>
      </c>
      <c r="N9" s="15">
        <f t="shared" si="2"/>
        <v>1548.3870967741934</v>
      </c>
      <c r="O9" s="15">
        <f t="shared" si="8"/>
        <v>6802.6682497903266</v>
      </c>
      <c r="P9" s="15">
        <f t="shared" si="3"/>
        <v>6549.442225596782</v>
      </c>
      <c r="Q9" s="15">
        <f t="shared" si="9"/>
        <v>40759.113112693551</v>
      </c>
      <c r="R9" s="15">
        <f t="shared" si="10"/>
        <v>1800</v>
      </c>
      <c r="S9" s="15">
        <f t="shared" si="11"/>
        <v>0</v>
      </c>
      <c r="T9" s="15">
        <v>200</v>
      </c>
      <c r="U9" s="15">
        <v>0</v>
      </c>
      <c r="V9" s="15">
        <v>0</v>
      </c>
      <c r="W9" s="15">
        <v>0</v>
      </c>
      <c r="X9" s="15">
        <f t="shared" si="4"/>
        <v>40759.113112693551</v>
      </c>
      <c r="Y9" s="15">
        <v>0</v>
      </c>
      <c r="Z9" s="15">
        <v>0</v>
      </c>
      <c r="AA9" s="15">
        <v>0</v>
      </c>
      <c r="AB9" s="15">
        <f t="shared" si="12"/>
        <v>1800</v>
      </c>
      <c r="AC9" s="15">
        <v>0</v>
      </c>
      <c r="AD9" s="15">
        <f t="shared" si="5"/>
        <v>1047.3385002096772</v>
      </c>
      <c r="AE9" s="15">
        <f t="shared" si="6"/>
        <v>4847.3385002096775</v>
      </c>
      <c r="AF9" s="15">
        <f t="shared" si="13"/>
        <v>38759.113112693551</v>
      </c>
    </row>
    <row r="10" spans="1:32" x14ac:dyDescent="0.35">
      <c r="A10" s="10" t="s">
        <v>72</v>
      </c>
      <c r="B10" s="11" t="s">
        <v>73</v>
      </c>
      <c r="C10" s="12">
        <v>46083</v>
      </c>
      <c r="D10" s="13">
        <v>45000</v>
      </c>
      <c r="E10" s="14">
        <v>31</v>
      </c>
      <c r="F10" s="14">
        <v>30</v>
      </c>
      <c r="G10" s="14">
        <v>0</v>
      </c>
      <c r="H10" s="14"/>
      <c r="I10" s="15">
        <f t="shared" si="7"/>
        <v>22499.995499999997</v>
      </c>
      <c r="J10" s="15">
        <f t="shared" si="0"/>
        <v>21774.189193548384</v>
      </c>
      <c r="K10" s="15">
        <f t="shared" si="1"/>
        <v>11249.997749999999</v>
      </c>
      <c r="L10" s="15">
        <f t="shared" si="1"/>
        <v>10887.094596774192</v>
      </c>
      <c r="M10" s="15">
        <v>1600</v>
      </c>
      <c r="N10" s="15">
        <f t="shared" si="2"/>
        <v>1548.3870967741934</v>
      </c>
      <c r="O10" s="15">
        <f t="shared" si="8"/>
        <v>6802.6682497903266</v>
      </c>
      <c r="P10" s="15">
        <f t="shared" si="3"/>
        <v>6549.442225596782</v>
      </c>
      <c r="Q10" s="15">
        <f t="shared" si="9"/>
        <v>40759.113112693551</v>
      </c>
      <c r="R10" s="15">
        <f t="shared" si="10"/>
        <v>1800</v>
      </c>
      <c r="S10" s="15">
        <f t="shared" si="11"/>
        <v>0</v>
      </c>
      <c r="T10" s="15">
        <v>200</v>
      </c>
      <c r="U10" s="15">
        <v>0</v>
      </c>
      <c r="V10" s="15">
        <v>0</v>
      </c>
      <c r="W10" s="15">
        <v>0</v>
      </c>
      <c r="X10" s="15">
        <f t="shared" si="4"/>
        <v>40759.113112693551</v>
      </c>
      <c r="Y10" s="15">
        <v>0</v>
      </c>
      <c r="Z10" s="15">
        <v>0</v>
      </c>
      <c r="AA10" s="15">
        <v>0</v>
      </c>
      <c r="AB10" s="15">
        <f t="shared" si="12"/>
        <v>1800</v>
      </c>
      <c r="AC10" s="15">
        <v>0</v>
      </c>
      <c r="AD10" s="15">
        <f t="shared" si="5"/>
        <v>1047.3385002096772</v>
      </c>
      <c r="AE10" s="15">
        <f t="shared" si="6"/>
        <v>4847.3385002096775</v>
      </c>
      <c r="AF10" s="15">
        <f t="shared" si="13"/>
        <v>38759.113112693551</v>
      </c>
    </row>
    <row r="11" spans="1:32" x14ac:dyDescent="0.35">
      <c r="A11" s="10" t="s">
        <v>74</v>
      </c>
      <c r="B11" s="11" t="s">
        <v>75</v>
      </c>
      <c r="C11" s="12">
        <v>46083</v>
      </c>
      <c r="D11" s="13">
        <v>50000</v>
      </c>
      <c r="E11" s="14">
        <v>31</v>
      </c>
      <c r="F11" s="14">
        <v>30</v>
      </c>
      <c r="G11" s="14">
        <v>0</v>
      </c>
      <c r="H11" s="14"/>
      <c r="I11" s="15">
        <f t="shared" si="7"/>
        <v>24999.994999999995</v>
      </c>
      <c r="J11" s="15">
        <f t="shared" si="0"/>
        <v>24193.54354838709</v>
      </c>
      <c r="K11" s="15">
        <f t="shared" si="1"/>
        <v>12499.997499999998</v>
      </c>
      <c r="L11" s="15">
        <f t="shared" si="1"/>
        <v>12096.771774193545</v>
      </c>
      <c r="M11" s="15">
        <v>1600</v>
      </c>
      <c r="N11" s="15">
        <f t="shared" si="2"/>
        <v>1548.3870967741934</v>
      </c>
      <c r="O11" s="15">
        <f t="shared" si="8"/>
        <v>7936.298055322588</v>
      </c>
      <c r="P11" s="15">
        <f t="shared" si="3"/>
        <v>7642.7494262903274</v>
      </c>
      <c r="Q11" s="15">
        <f t="shared" si="9"/>
        <v>45481.451845645155</v>
      </c>
      <c r="R11" s="15">
        <f t="shared" si="10"/>
        <v>1800</v>
      </c>
      <c r="S11" s="15">
        <f t="shared" si="11"/>
        <v>0</v>
      </c>
      <c r="T11" s="15">
        <v>200</v>
      </c>
      <c r="U11" s="15">
        <v>0</v>
      </c>
      <c r="V11" s="15">
        <v>0</v>
      </c>
      <c r="W11" s="15">
        <v>0</v>
      </c>
      <c r="X11" s="15">
        <f t="shared" si="4"/>
        <v>45481.451845645155</v>
      </c>
      <c r="Y11" s="15">
        <v>0</v>
      </c>
      <c r="Z11" s="15">
        <v>0</v>
      </c>
      <c r="AA11" s="15">
        <v>0</v>
      </c>
      <c r="AB11" s="15">
        <f t="shared" si="12"/>
        <v>1800</v>
      </c>
      <c r="AC11" s="15">
        <v>0</v>
      </c>
      <c r="AD11" s="15">
        <f t="shared" si="5"/>
        <v>1163.709444677419</v>
      </c>
      <c r="AE11" s="15">
        <f t="shared" si="6"/>
        <v>4963.709444677419</v>
      </c>
      <c r="AF11" s="15">
        <f t="shared" si="13"/>
        <v>43481.451845645155</v>
      </c>
    </row>
    <row r="12" spans="1:32" x14ac:dyDescent="0.35">
      <c r="A12" s="10" t="s">
        <v>76</v>
      </c>
      <c r="B12" s="11" t="s">
        <v>77</v>
      </c>
      <c r="C12" s="12">
        <v>46083</v>
      </c>
      <c r="D12" s="13">
        <v>50000</v>
      </c>
      <c r="E12" s="14">
        <v>31</v>
      </c>
      <c r="F12" s="14">
        <v>30</v>
      </c>
      <c r="G12" s="14">
        <v>0</v>
      </c>
      <c r="H12" s="14"/>
      <c r="I12" s="15">
        <f t="shared" si="7"/>
        <v>24999.994999999995</v>
      </c>
      <c r="J12" s="15">
        <f t="shared" si="0"/>
        <v>24193.54354838709</v>
      </c>
      <c r="K12" s="15">
        <f t="shared" si="1"/>
        <v>12499.997499999998</v>
      </c>
      <c r="L12" s="15">
        <f t="shared" si="1"/>
        <v>12096.771774193545</v>
      </c>
      <c r="M12" s="15">
        <v>1600</v>
      </c>
      <c r="N12" s="15">
        <f t="shared" si="2"/>
        <v>1548.3870967741934</v>
      </c>
      <c r="O12" s="15">
        <f t="shared" si="8"/>
        <v>7936.298055322588</v>
      </c>
      <c r="P12" s="15">
        <f t="shared" si="3"/>
        <v>7642.7494262903274</v>
      </c>
      <c r="Q12" s="15">
        <f t="shared" si="9"/>
        <v>45481.451845645155</v>
      </c>
      <c r="R12" s="15">
        <f t="shared" si="10"/>
        <v>1800</v>
      </c>
      <c r="S12" s="15">
        <f t="shared" si="11"/>
        <v>0</v>
      </c>
      <c r="T12" s="15">
        <v>200</v>
      </c>
      <c r="U12" s="15">
        <v>0</v>
      </c>
      <c r="V12" s="15">
        <v>0</v>
      </c>
      <c r="W12" s="15">
        <v>0</v>
      </c>
      <c r="X12" s="15">
        <f t="shared" si="4"/>
        <v>45481.451845645155</v>
      </c>
      <c r="Y12" s="15">
        <v>0</v>
      </c>
      <c r="Z12" s="15">
        <v>0</v>
      </c>
      <c r="AA12" s="15">
        <v>0</v>
      </c>
      <c r="AB12" s="15">
        <f t="shared" si="12"/>
        <v>1800</v>
      </c>
      <c r="AC12" s="15">
        <v>0</v>
      </c>
      <c r="AD12" s="15">
        <f t="shared" si="5"/>
        <v>1163.709444677419</v>
      </c>
      <c r="AE12" s="15">
        <f t="shared" si="6"/>
        <v>4963.709444677419</v>
      </c>
      <c r="AF12" s="15">
        <f t="shared" si="13"/>
        <v>43481.451845645155</v>
      </c>
    </row>
    <row r="13" spans="1:32" x14ac:dyDescent="0.35">
      <c r="A13" s="10" t="s">
        <v>78</v>
      </c>
      <c r="B13" s="11" t="s">
        <v>79</v>
      </c>
      <c r="C13" s="12">
        <v>46083</v>
      </c>
      <c r="D13" s="13">
        <v>60000</v>
      </c>
      <c r="E13" s="14">
        <v>31</v>
      </c>
      <c r="F13" s="14">
        <v>30</v>
      </c>
      <c r="G13" s="14">
        <v>0</v>
      </c>
      <c r="H13" s="14"/>
      <c r="I13" s="15">
        <f t="shared" si="7"/>
        <v>29999.993999999995</v>
      </c>
      <c r="J13" s="15">
        <f t="shared" si="0"/>
        <v>29032.252258064509</v>
      </c>
      <c r="K13" s="15">
        <f t="shared" si="1"/>
        <v>14999.996999999998</v>
      </c>
      <c r="L13" s="15">
        <f t="shared" si="1"/>
        <v>14516.126129032255</v>
      </c>
      <c r="M13" s="15">
        <v>1600</v>
      </c>
      <c r="N13" s="15">
        <f t="shared" si="2"/>
        <v>1548.3870967741934</v>
      </c>
      <c r="O13" s="15">
        <f t="shared" si="8"/>
        <v>10203.557666387105</v>
      </c>
      <c r="P13" s="15">
        <f t="shared" si="3"/>
        <v>9829.3638276774363</v>
      </c>
      <c r="Q13" s="15">
        <f t="shared" si="9"/>
        <v>54926.129311548393</v>
      </c>
      <c r="R13" s="15">
        <f t="shared" si="10"/>
        <v>1800</v>
      </c>
      <c r="S13" s="15">
        <f t="shared" si="11"/>
        <v>0</v>
      </c>
      <c r="T13" s="15">
        <v>200</v>
      </c>
      <c r="U13" s="15">
        <v>0</v>
      </c>
      <c r="V13" s="15">
        <v>0</v>
      </c>
      <c r="W13" s="15">
        <v>0</v>
      </c>
      <c r="X13" s="15">
        <f t="shared" si="4"/>
        <v>54926.129311548393</v>
      </c>
      <c r="Y13" s="15">
        <v>0</v>
      </c>
      <c r="Z13" s="15">
        <v>0</v>
      </c>
      <c r="AA13" s="15">
        <v>0</v>
      </c>
      <c r="AB13" s="15">
        <f t="shared" si="12"/>
        <v>1800</v>
      </c>
      <c r="AC13" s="15">
        <v>0</v>
      </c>
      <c r="AD13" s="15">
        <f t="shared" si="5"/>
        <v>1396.4513336129028</v>
      </c>
      <c r="AE13" s="15">
        <f t="shared" si="6"/>
        <v>5196.451333612903</v>
      </c>
      <c r="AF13" s="15">
        <f t="shared" si="13"/>
        <v>52926.129311548393</v>
      </c>
    </row>
    <row r="14" spans="1:32" x14ac:dyDescent="0.35">
      <c r="A14" s="10" t="s">
        <v>80</v>
      </c>
      <c r="B14" s="11" t="s">
        <v>81</v>
      </c>
      <c r="C14" s="12">
        <v>46083</v>
      </c>
      <c r="D14" s="13">
        <v>60000</v>
      </c>
      <c r="E14" s="14">
        <v>31</v>
      </c>
      <c r="F14" s="14">
        <v>30</v>
      </c>
      <c r="G14" s="14">
        <v>0</v>
      </c>
      <c r="H14" s="14"/>
      <c r="I14" s="15">
        <f t="shared" si="7"/>
        <v>29999.993999999995</v>
      </c>
      <c r="J14" s="15">
        <f t="shared" si="0"/>
        <v>29032.252258064509</v>
      </c>
      <c r="K14" s="15">
        <f t="shared" si="1"/>
        <v>14999.996999999998</v>
      </c>
      <c r="L14" s="15">
        <f t="shared" si="1"/>
        <v>14516.126129032255</v>
      </c>
      <c r="M14" s="15">
        <v>1600</v>
      </c>
      <c r="N14" s="15">
        <f t="shared" si="2"/>
        <v>1548.3870967741934</v>
      </c>
      <c r="O14" s="15">
        <f t="shared" si="8"/>
        <v>10203.557666387105</v>
      </c>
      <c r="P14" s="15">
        <f t="shared" si="3"/>
        <v>9829.3638276774363</v>
      </c>
      <c r="Q14" s="15">
        <f t="shared" si="9"/>
        <v>54926.129311548393</v>
      </c>
      <c r="R14" s="15">
        <f t="shared" si="10"/>
        <v>1800</v>
      </c>
      <c r="S14" s="15">
        <f t="shared" si="11"/>
        <v>0</v>
      </c>
      <c r="T14" s="15">
        <v>200</v>
      </c>
      <c r="U14" s="15">
        <v>0</v>
      </c>
      <c r="V14" s="15">
        <v>0</v>
      </c>
      <c r="W14" s="15">
        <v>0</v>
      </c>
      <c r="X14" s="15">
        <f t="shared" si="4"/>
        <v>54926.129311548393</v>
      </c>
      <c r="Y14" s="15">
        <v>0</v>
      </c>
      <c r="Z14" s="15">
        <v>0</v>
      </c>
      <c r="AA14" s="15">
        <v>0</v>
      </c>
      <c r="AB14" s="15">
        <f t="shared" si="12"/>
        <v>1800</v>
      </c>
      <c r="AC14" s="15">
        <v>0</v>
      </c>
      <c r="AD14" s="15">
        <f t="shared" si="5"/>
        <v>1396.4513336129028</v>
      </c>
      <c r="AE14" s="15">
        <f t="shared" si="6"/>
        <v>5196.451333612903</v>
      </c>
      <c r="AF14" s="15">
        <f t="shared" si="13"/>
        <v>52926.129311548393</v>
      </c>
    </row>
    <row r="15" spans="1:32" x14ac:dyDescent="0.35">
      <c r="A15" s="10" t="s">
        <v>82</v>
      </c>
      <c r="B15" s="11" t="s">
        <v>83</v>
      </c>
      <c r="C15" s="12">
        <v>46083</v>
      </c>
      <c r="D15" s="13">
        <v>15000</v>
      </c>
      <c r="E15" s="14">
        <v>31</v>
      </c>
      <c r="F15" s="14">
        <v>30</v>
      </c>
      <c r="G15" s="14">
        <v>0</v>
      </c>
      <c r="H15" s="14"/>
      <c r="I15" s="15">
        <f t="shared" si="7"/>
        <v>7499.9984999999988</v>
      </c>
      <c r="J15" s="15">
        <f t="shared" si="0"/>
        <v>7258.0630645161273</v>
      </c>
      <c r="K15" s="15">
        <f t="shared" si="1"/>
        <v>3749.9992499999994</v>
      </c>
      <c r="L15" s="15">
        <f t="shared" si="1"/>
        <v>3629.0315322580636</v>
      </c>
      <c r="M15" s="15">
        <v>1600</v>
      </c>
      <c r="N15" s="15">
        <f t="shared" si="2"/>
        <v>1548.3870967741934</v>
      </c>
      <c r="O15" s="15">
        <f t="shared" si="8"/>
        <v>929.92184885484085</v>
      </c>
      <c r="P15" s="15">
        <f t="shared" si="3"/>
        <v>888.66266555619654</v>
      </c>
      <c r="Q15" s="15">
        <f t="shared" si="9"/>
        <v>13324.144359104581</v>
      </c>
      <c r="R15" s="15">
        <f t="shared" si="10"/>
        <v>870.96756774193523</v>
      </c>
      <c r="S15" s="15">
        <f t="shared" si="11"/>
        <v>99.931082693284353</v>
      </c>
      <c r="T15" s="15">
        <v>150</v>
      </c>
      <c r="U15" s="15">
        <v>0</v>
      </c>
      <c r="V15" s="15">
        <v>0</v>
      </c>
      <c r="W15" s="15">
        <v>0</v>
      </c>
      <c r="X15" s="15">
        <f t="shared" si="4"/>
        <v>13324.144359104581</v>
      </c>
      <c r="Y15" s="15">
        <v>0</v>
      </c>
      <c r="Z15" s="15">
        <v>0</v>
      </c>
      <c r="AA15" s="15">
        <v>0</v>
      </c>
      <c r="AB15" s="15">
        <f t="shared" si="12"/>
        <v>870.96756774193523</v>
      </c>
      <c r="AC15" s="15">
        <v>0</v>
      </c>
      <c r="AD15" s="15">
        <f t="shared" si="5"/>
        <v>349.11283340322569</v>
      </c>
      <c r="AE15" s="15">
        <f t="shared" si="6"/>
        <v>2340.9790515803807</v>
      </c>
      <c r="AF15" s="15">
        <f t="shared" si="13"/>
        <v>12203.245708669359</v>
      </c>
    </row>
    <row r="16" spans="1:32" x14ac:dyDescent="0.35">
      <c r="A16" s="10" t="s">
        <v>84</v>
      </c>
      <c r="B16" s="11" t="s">
        <v>85</v>
      </c>
      <c r="C16" s="12">
        <v>46083</v>
      </c>
      <c r="D16" s="13">
        <v>35000</v>
      </c>
      <c r="E16" s="14">
        <v>31</v>
      </c>
      <c r="F16" s="14">
        <v>30</v>
      </c>
      <c r="G16" s="14">
        <v>0</v>
      </c>
      <c r="H16" s="14"/>
      <c r="I16" s="15">
        <f t="shared" si="7"/>
        <v>17499.996499999997</v>
      </c>
      <c r="J16" s="15">
        <f t="shared" si="0"/>
        <v>16935.480483870968</v>
      </c>
      <c r="K16" s="15">
        <f t="shared" si="1"/>
        <v>8749.9982499999987</v>
      </c>
      <c r="L16" s="15">
        <f t="shared" si="1"/>
        <v>8467.7402419354839</v>
      </c>
      <c r="M16" s="15">
        <v>1600</v>
      </c>
      <c r="N16" s="15">
        <f t="shared" si="2"/>
        <v>1548.3870967741934</v>
      </c>
      <c r="O16" s="15">
        <f t="shared" si="8"/>
        <v>4535.4086387258103</v>
      </c>
      <c r="P16" s="15">
        <f t="shared" si="3"/>
        <v>4362.8278242096749</v>
      </c>
      <c r="Q16" s="15">
        <f t="shared" si="9"/>
        <v>31314.43564679032</v>
      </c>
      <c r="R16" s="15">
        <f t="shared" si="10"/>
        <v>1800</v>
      </c>
      <c r="S16" s="15">
        <f t="shared" si="11"/>
        <v>0</v>
      </c>
      <c r="T16" s="15">
        <v>200</v>
      </c>
      <c r="U16" s="15">
        <v>0</v>
      </c>
      <c r="V16" s="15">
        <v>0</v>
      </c>
      <c r="W16" s="15">
        <v>0</v>
      </c>
      <c r="X16" s="15">
        <f t="shared" si="4"/>
        <v>31314.43564679032</v>
      </c>
      <c r="Y16" s="15">
        <v>0</v>
      </c>
      <c r="Z16" s="15">
        <v>0</v>
      </c>
      <c r="AA16" s="15">
        <v>0</v>
      </c>
      <c r="AB16" s="15">
        <f t="shared" si="12"/>
        <v>1800</v>
      </c>
      <c r="AC16" s="15">
        <v>0</v>
      </c>
      <c r="AD16" s="15">
        <f t="shared" si="5"/>
        <v>814.59661127419349</v>
      </c>
      <c r="AE16" s="15">
        <f t="shared" si="6"/>
        <v>4614.5966112741935</v>
      </c>
      <c r="AF16" s="15">
        <f t="shared" si="13"/>
        <v>29314.43564679032</v>
      </c>
    </row>
    <row r="17" spans="1:32" x14ac:dyDescent="0.35">
      <c r="A17" s="10" t="s">
        <v>86</v>
      </c>
      <c r="B17" s="11" t="s">
        <v>87</v>
      </c>
      <c r="C17" s="12">
        <v>46083</v>
      </c>
      <c r="D17" s="13">
        <v>35000</v>
      </c>
      <c r="E17" s="14">
        <v>31</v>
      </c>
      <c r="F17" s="14">
        <v>30</v>
      </c>
      <c r="G17" s="14">
        <v>0</v>
      </c>
      <c r="H17" s="14"/>
      <c r="I17" s="15">
        <f t="shared" si="7"/>
        <v>17499.996499999997</v>
      </c>
      <c r="J17" s="15">
        <f t="shared" si="0"/>
        <v>16935.480483870968</v>
      </c>
      <c r="K17" s="15">
        <f t="shared" si="1"/>
        <v>8749.9982499999987</v>
      </c>
      <c r="L17" s="15">
        <f t="shared" si="1"/>
        <v>8467.7402419354839</v>
      </c>
      <c r="M17" s="15">
        <v>1600</v>
      </c>
      <c r="N17" s="15">
        <f t="shared" si="2"/>
        <v>1548.3870967741934</v>
      </c>
      <c r="O17" s="15">
        <f t="shared" si="8"/>
        <v>4535.4086387258103</v>
      </c>
      <c r="P17" s="15">
        <f t="shared" si="3"/>
        <v>4362.8278242096749</v>
      </c>
      <c r="Q17" s="15">
        <f t="shared" si="9"/>
        <v>31314.43564679032</v>
      </c>
      <c r="R17" s="15">
        <f t="shared" si="10"/>
        <v>1800</v>
      </c>
      <c r="S17" s="15">
        <f t="shared" si="11"/>
        <v>0</v>
      </c>
      <c r="T17" s="15">
        <v>200</v>
      </c>
      <c r="U17" s="15">
        <v>0</v>
      </c>
      <c r="V17" s="15">
        <v>0</v>
      </c>
      <c r="W17" s="15">
        <v>0</v>
      </c>
      <c r="X17" s="15">
        <f t="shared" si="4"/>
        <v>31314.43564679032</v>
      </c>
      <c r="Y17" s="15">
        <v>0</v>
      </c>
      <c r="Z17" s="15">
        <v>0</v>
      </c>
      <c r="AA17" s="15">
        <v>0</v>
      </c>
      <c r="AB17" s="15">
        <f t="shared" si="12"/>
        <v>1800</v>
      </c>
      <c r="AC17" s="15">
        <v>0</v>
      </c>
      <c r="AD17" s="15">
        <f t="shared" si="5"/>
        <v>814.59661127419349</v>
      </c>
      <c r="AE17" s="15">
        <f t="shared" si="6"/>
        <v>4614.5966112741935</v>
      </c>
      <c r="AF17" s="15">
        <f t="shared" si="13"/>
        <v>29314.43564679032</v>
      </c>
    </row>
    <row r="18" spans="1:32" x14ac:dyDescent="0.35">
      <c r="A18" s="10" t="s">
        <v>88</v>
      </c>
      <c r="B18" s="10" t="s">
        <v>89</v>
      </c>
      <c r="C18" s="12">
        <v>46083</v>
      </c>
      <c r="D18" s="13">
        <v>23000</v>
      </c>
      <c r="E18" s="14">
        <v>31</v>
      </c>
      <c r="F18" s="14">
        <v>30</v>
      </c>
      <c r="G18" s="14">
        <v>0</v>
      </c>
      <c r="H18" s="14"/>
      <c r="I18" s="15">
        <f t="shared" si="7"/>
        <v>11499.997699999998</v>
      </c>
      <c r="J18" s="15">
        <f t="shared" si="0"/>
        <v>11129.030032258062</v>
      </c>
      <c r="K18" s="15">
        <f t="shared" si="1"/>
        <v>5749.998849999999</v>
      </c>
      <c r="L18" s="15">
        <f t="shared" si="1"/>
        <v>5564.5150161290312</v>
      </c>
      <c r="M18" s="15">
        <v>1600</v>
      </c>
      <c r="N18" s="15">
        <f t="shared" si="2"/>
        <v>1548.3870967741934</v>
      </c>
      <c r="O18" s="15">
        <f t="shared" si="8"/>
        <v>2279.2135015774229</v>
      </c>
      <c r="P18" s="15">
        <f t="shared" si="3"/>
        <v>2188.4225387990682</v>
      </c>
      <c r="Q18" s="15">
        <f t="shared" si="9"/>
        <v>20430.354683960355</v>
      </c>
      <c r="R18" s="15">
        <f t="shared" si="10"/>
        <v>1335.4836038709675</v>
      </c>
      <c r="S18" s="15">
        <f t="shared" si="11"/>
        <v>153.22766012970266</v>
      </c>
      <c r="T18" s="15">
        <v>150</v>
      </c>
      <c r="U18" s="15">
        <v>0</v>
      </c>
      <c r="V18" s="15">
        <v>0</v>
      </c>
      <c r="W18" s="15">
        <v>0</v>
      </c>
      <c r="X18" s="15">
        <f t="shared" si="4"/>
        <v>20430.354683960355</v>
      </c>
      <c r="Y18" s="15">
        <v>0</v>
      </c>
      <c r="Z18" s="15">
        <v>0</v>
      </c>
      <c r="AA18" s="15">
        <v>0</v>
      </c>
      <c r="AB18" s="15">
        <f t="shared" si="12"/>
        <v>1335.4836038709675</v>
      </c>
      <c r="AC18" s="15">
        <v>0</v>
      </c>
      <c r="AD18" s="15">
        <f t="shared" si="5"/>
        <v>535.30634455161282</v>
      </c>
      <c r="AE18" s="15">
        <f t="shared" si="6"/>
        <v>3509.5012124232503</v>
      </c>
      <c r="AF18" s="15">
        <f t="shared" si="13"/>
        <v>18791.643419959688</v>
      </c>
    </row>
    <row r="19" spans="1:32" x14ac:dyDescent="0.35">
      <c r="A19" s="10" t="s">
        <v>90</v>
      </c>
      <c r="B19" s="10" t="s">
        <v>91</v>
      </c>
      <c r="C19" s="12">
        <v>46083</v>
      </c>
      <c r="D19" s="13">
        <v>35000</v>
      </c>
      <c r="E19" s="14">
        <v>31</v>
      </c>
      <c r="F19" s="14">
        <v>30</v>
      </c>
      <c r="G19" s="14">
        <v>0</v>
      </c>
      <c r="H19" s="14"/>
      <c r="I19" s="15">
        <f t="shared" si="7"/>
        <v>17499.996499999997</v>
      </c>
      <c r="J19" s="15">
        <f t="shared" si="0"/>
        <v>16935.480483870968</v>
      </c>
      <c r="K19" s="15">
        <f t="shared" si="1"/>
        <v>8749.9982499999987</v>
      </c>
      <c r="L19" s="15">
        <f t="shared" si="1"/>
        <v>8467.7402419354839</v>
      </c>
      <c r="M19" s="15">
        <v>1600</v>
      </c>
      <c r="N19" s="15">
        <f t="shared" si="2"/>
        <v>1548.3870967741934</v>
      </c>
      <c r="O19" s="15">
        <f t="shared" si="8"/>
        <v>4535.4086387258103</v>
      </c>
      <c r="P19" s="15">
        <f t="shared" si="3"/>
        <v>4362.8278242096749</v>
      </c>
      <c r="Q19" s="15">
        <f t="shared" si="9"/>
        <v>31314.43564679032</v>
      </c>
      <c r="R19" s="15">
        <f t="shared" si="10"/>
        <v>1800</v>
      </c>
      <c r="S19" s="15">
        <f t="shared" si="11"/>
        <v>0</v>
      </c>
      <c r="T19" s="15">
        <v>200</v>
      </c>
      <c r="U19" s="15">
        <v>0</v>
      </c>
      <c r="V19" s="15">
        <v>0</v>
      </c>
      <c r="W19" s="15">
        <v>0</v>
      </c>
      <c r="X19" s="15">
        <f t="shared" si="4"/>
        <v>31314.43564679032</v>
      </c>
      <c r="Y19" s="15">
        <v>0</v>
      </c>
      <c r="Z19" s="15">
        <v>0</v>
      </c>
      <c r="AA19" s="15">
        <v>0</v>
      </c>
      <c r="AB19" s="15">
        <f t="shared" si="12"/>
        <v>1800</v>
      </c>
      <c r="AC19" s="15">
        <v>0</v>
      </c>
      <c r="AD19" s="15">
        <f t="shared" si="5"/>
        <v>814.59661127419349</v>
      </c>
      <c r="AE19" s="15">
        <f t="shared" si="6"/>
        <v>4614.5966112741935</v>
      </c>
      <c r="AF19" s="15">
        <f t="shared" si="13"/>
        <v>29314.43564679032</v>
      </c>
    </row>
    <row r="20" spans="1:32" x14ac:dyDescent="0.35">
      <c r="A20" s="10" t="s">
        <v>92</v>
      </c>
      <c r="B20" s="10" t="s">
        <v>93</v>
      </c>
      <c r="C20" s="12">
        <v>46083</v>
      </c>
      <c r="D20" s="13">
        <v>60000</v>
      </c>
      <c r="E20" s="14">
        <v>31</v>
      </c>
      <c r="F20" s="14">
        <v>30</v>
      </c>
      <c r="G20" s="14">
        <v>0</v>
      </c>
      <c r="H20" s="14"/>
      <c r="I20" s="15">
        <f t="shared" si="7"/>
        <v>29999.993999999995</v>
      </c>
      <c r="J20" s="15">
        <f t="shared" si="0"/>
        <v>29032.252258064509</v>
      </c>
      <c r="K20" s="15">
        <f t="shared" si="1"/>
        <v>14999.996999999998</v>
      </c>
      <c r="L20" s="15">
        <f t="shared" si="1"/>
        <v>14516.126129032255</v>
      </c>
      <c r="M20" s="15">
        <v>1600</v>
      </c>
      <c r="N20" s="15">
        <f t="shared" si="2"/>
        <v>1548.3870967741934</v>
      </c>
      <c r="O20" s="15">
        <f t="shared" si="8"/>
        <v>10203.557666387105</v>
      </c>
      <c r="P20" s="15">
        <f t="shared" si="3"/>
        <v>9829.3638276774363</v>
      </c>
      <c r="Q20" s="15">
        <f t="shared" si="9"/>
        <v>54926.129311548393</v>
      </c>
      <c r="R20" s="15">
        <f t="shared" si="10"/>
        <v>1800</v>
      </c>
      <c r="S20" s="15">
        <f t="shared" si="11"/>
        <v>0</v>
      </c>
      <c r="T20" s="15">
        <v>200</v>
      </c>
      <c r="U20" s="15">
        <v>0</v>
      </c>
      <c r="V20" s="15">
        <v>0</v>
      </c>
      <c r="W20" s="15">
        <v>0</v>
      </c>
      <c r="X20" s="15">
        <f t="shared" si="4"/>
        <v>54926.129311548393</v>
      </c>
      <c r="Y20" s="15">
        <v>0</v>
      </c>
      <c r="Z20" s="15">
        <v>0</v>
      </c>
      <c r="AA20" s="15">
        <v>0</v>
      </c>
      <c r="AB20" s="15">
        <f t="shared" si="12"/>
        <v>1800</v>
      </c>
      <c r="AC20" s="15">
        <v>0</v>
      </c>
      <c r="AD20" s="15">
        <f t="shared" si="5"/>
        <v>1396.4513336129028</v>
      </c>
      <c r="AE20" s="15">
        <f t="shared" si="6"/>
        <v>5196.451333612903</v>
      </c>
      <c r="AF20" s="15">
        <f t="shared" si="13"/>
        <v>52926.129311548393</v>
      </c>
    </row>
    <row r="21" spans="1:32" ht="22" customHeight="1" x14ac:dyDescent="0.35">
      <c r="A21" s="10" t="s">
        <v>94</v>
      </c>
      <c r="B21" s="10" t="s">
        <v>95</v>
      </c>
      <c r="C21" s="12">
        <v>46083</v>
      </c>
      <c r="D21" s="16">
        <v>60000</v>
      </c>
      <c r="E21" s="14">
        <v>31</v>
      </c>
      <c r="F21" s="14">
        <v>30</v>
      </c>
      <c r="G21" s="17">
        <v>0</v>
      </c>
      <c r="H21" s="17"/>
      <c r="I21" s="15">
        <f t="shared" si="7"/>
        <v>29999.993999999995</v>
      </c>
      <c r="J21" s="18">
        <f t="shared" si="0"/>
        <v>29032.252258064509</v>
      </c>
      <c r="K21" s="18">
        <f t="shared" si="1"/>
        <v>14999.996999999998</v>
      </c>
      <c r="L21" s="18">
        <f t="shared" si="1"/>
        <v>14516.126129032255</v>
      </c>
      <c r="M21" s="15">
        <v>1600</v>
      </c>
      <c r="N21" s="18">
        <f t="shared" si="2"/>
        <v>1548.3870967741934</v>
      </c>
      <c r="O21" s="15">
        <f t="shared" si="8"/>
        <v>10203.557666387105</v>
      </c>
      <c r="P21" s="18">
        <f t="shared" si="3"/>
        <v>9829.3638276774363</v>
      </c>
      <c r="Q21" s="18">
        <f t="shared" si="9"/>
        <v>54926.129311548393</v>
      </c>
      <c r="R21" s="15">
        <f t="shared" si="10"/>
        <v>1800</v>
      </c>
      <c r="S21" s="15">
        <f t="shared" si="11"/>
        <v>0</v>
      </c>
      <c r="T21" s="18">
        <v>200</v>
      </c>
      <c r="U21" s="18">
        <v>0</v>
      </c>
      <c r="V21" s="18">
        <v>0</v>
      </c>
      <c r="W21" s="18">
        <v>0</v>
      </c>
      <c r="X21" s="18">
        <f t="shared" si="4"/>
        <v>54926.129311548393</v>
      </c>
      <c r="Y21" s="18">
        <v>0</v>
      </c>
      <c r="Z21" s="18">
        <v>0</v>
      </c>
      <c r="AA21" s="18">
        <v>0</v>
      </c>
      <c r="AB21" s="15">
        <f t="shared" si="12"/>
        <v>1800</v>
      </c>
      <c r="AC21" s="18">
        <v>0</v>
      </c>
      <c r="AD21" s="18">
        <f t="shared" si="5"/>
        <v>1396.4513336129028</v>
      </c>
      <c r="AE21" s="18">
        <f t="shared" si="6"/>
        <v>5196.451333612903</v>
      </c>
      <c r="AF21" s="15">
        <f t="shared" si="13"/>
        <v>52926.129311548393</v>
      </c>
    </row>
    <row r="22" spans="1:32" x14ac:dyDescent="0.35">
      <c r="C22" s="9" t="s">
        <v>28</v>
      </c>
      <c r="D22" s="19">
        <f>SUM(D2:D21)</f>
        <v>886000</v>
      </c>
      <c r="E22" s="20"/>
      <c r="F22" s="20"/>
      <c r="G22" s="20"/>
      <c r="H22" s="20"/>
      <c r="I22" s="19">
        <f t="shared" ref="I22" si="14">SUM(I2:I21)</f>
        <v>442999.91139999998</v>
      </c>
      <c r="J22" s="19">
        <f t="shared" ref="J22:W22" si="15">SUM(J2:J21)</f>
        <v>428709.59167741926</v>
      </c>
      <c r="K22" s="19">
        <f t="shared" ref="K22" si="16">SUM(K2:K21)</f>
        <v>221499.95569999999</v>
      </c>
      <c r="L22" s="19">
        <f t="shared" si="15"/>
        <v>214354.79583870963</v>
      </c>
      <c r="M22" s="19">
        <f t="shared" ref="M22" si="17">SUM(M2:M21)</f>
        <v>32000</v>
      </c>
      <c r="N22" s="19">
        <f t="shared" si="15"/>
        <v>30967.741935483868</v>
      </c>
      <c r="O22" s="19">
        <f>SUM(O2:O21)</f>
        <v>134737.26676483237</v>
      </c>
      <c r="P22" s="19">
        <f t="shared" si="15"/>
        <v>129725.71198662225</v>
      </c>
      <c r="Q22" s="19">
        <f t="shared" si="15"/>
        <v>803757.8414382349</v>
      </c>
      <c r="R22" s="19">
        <f t="shared" si="15"/>
        <v>34141.934775483875</v>
      </c>
      <c r="S22" s="19">
        <f t="shared" si="15"/>
        <v>406.38640295268965</v>
      </c>
      <c r="T22" s="19">
        <f t="shared" si="15"/>
        <v>3850</v>
      </c>
      <c r="U22" s="19">
        <f t="shared" si="15"/>
        <v>0</v>
      </c>
      <c r="V22" s="19">
        <f t="shared" si="15"/>
        <v>0</v>
      </c>
      <c r="W22" s="19">
        <f t="shared" si="15"/>
        <v>0</v>
      </c>
      <c r="X22" s="19">
        <f>SUM(X2:X21)</f>
        <v>803757.8414382349</v>
      </c>
      <c r="Y22" s="20"/>
      <c r="Z22" s="20"/>
      <c r="AA22" s="20"/>
      <c r="AB22" s="19">
        <f>SUM(AB2:AB21)</f>
        <v>34141.934775483875</v>
      </c>
      <c r="AC22" s="20"/>
      <c r="AD22" s="19">
        <f>SUM(AD2:AD21)</f>
        <v>20620.931359683862</v>
      </c>
      <c r="AE22" s="19">
        <f>SUM(AE2:AE21)</f>
        <v>93161.187313604285</v>
      </c>
      <c r="AF22" s="19">
        <f>SUM(AF2:AF21)</f>
        <v>765359.52025979839</v>
      </c>
    </row>
    <row r="23" spans="1:32" x14ac:dyDescent="0.35">
      <c r="K23" s="21"/>
      <c r="L23" s="21"/>
    </row>
  </sheetData>
  <autoFilter ref="A1:AF22" xr:uid="{B5DCE387-27D4-44EE-A3D1-5D19139B38CB}"/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30"/>
  <sheetViews>
    <sheetView workbookViewId="0">
      <selection activeCell="E1" sqref="E1:G1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54296875" customWidth="1"/>
    <col min="4" max="4" width="16.36328125" customWidth="1"/>
    <col min="5" max="5" width="19.7265625" bestFit="1" customWidth="1"/>
    <col min="6" max="6" width="13.08984375" bestFit="1" customWidth="1"/>
    <col min="7" max="7" width="21.6328125" bestFit="1" customWidth="1"/>
    <col min="8" max="8" width="8.08984375" bestFit="1" customWidth="1"/>
  </cols>
  <sheetData>
    <row r="1" spans="1:8" x14ac:dyDescent="0.35">
      <c r="A1" s="24" t="s">
        <v>1</v>
      </c>
      <c r="B1" s="24" t="s">
        <v>0</v>
      </c>
      <c r="C1" s="24" t="s">
        <v>21</v>
      </c>
      <c r="D1" s="24" t="s">
        <v>17</v>
      </c>
      <c r="E1" s="25" t="s">
        <v>29</v>
      </c>
      <c r="F1" s="25" t="s">
        <v>30</v>
      </c>
      <c r="G1" s="25" t="s">
        <v>32</v>
      </c>
      <c r="H1" s="25" t="s">
        <v>55</v>
      </c>
    </row>
    <row r="2" spans="1:8" x14ac:dyDescent="0.35">
      <c r="A2" s="30" t="s">
        <v>27</v>
      </c>
      <c r="B2" s="30" t="s">
        <v>26</v>
      </c>
      <c r="C2" s="28">
        <v>46062</v>
      </c>
      <c r="D2" s="29">
        <f>Employees!AC2</f>
        <v>65330.466350000002</v>
      </c>
      <c r="E2" s="29">
        <v>41280100007853</v>
      </c>
      <c r="F2" s="27" t="s">
        <v>31</v>
      </c>
      <c r="G2" s="27" t="s">
        <v>33</v>
      </c>
      <c r="H2" s="27"/>
    </row>
    <row r="3" spans="1:8" x14ac:dyDescent="0.35">
      <c r="A3" s="30" t="s">
        <v>96</v>
      </c>
      <c r="B3" s="30" t="s">
        <v>97</v>
      </c>
      <c r="C3" s="28">
        <v>46086</v>
      </c>
      <c r="D3" s="29">
        <f>Employees!AC3</f>
        <v>81434.355257645162</v>
      </c>
      <c r="E3" s="29">
        <v>919010033458832</v>
      </c>
      <c r="F3" s="27" t="s">
        <v>141</v>
      </c>
      <c r="G3" s="27" t="s">
        <v>43</v>
      </c>
      <c r="H3" s="27"/>
    </row>
    <row r="4" spans="1:8" x14ac:dyDescent="0.35">
      <c r="A4" s="26" t="s">
        <v>36</v>
      </c>
      <c r="B4" s="27" t="s">
        <v>52</v>
      </c>
      <c r="C4" s="28">
        <v>46054</v>
      </c>
      <c r="D4" s="29">
        <f>VLOOKUP(A4,Consultant!A2:H6,8,0)</f>
        <v>79800</v>
      </c>
      <c r="E4" s="29">
        <v>50100677371816</v>
      </c>
      <c r="F4" s="27" t="s">
        <v>50</v>
      </c>
      <c r="G4" s="27" t="s">
        <v>51</v>
      </c>
      <c r="H4" s="27"/>
    </row>
    <row r="5" spans="1:8" x14ac:dyDescent="0.35">
      <c r="A5" s="26" t="s">
        <v>35</v>
      </c>
      <c r="B5" s="26" t="s">
        <v>38</v>
      </c>
      <c r="C5" s="28">
        <v>46054</v>
      </c>
      <c r="D5" s="29">
        <f>VLOOKUP(A5,Consultant!A2:H6,8,0)</f>
        <v>69800</v>
      </c>
      <c r="E5" s="29">
        <v>154710100018477</v>
      </c>
      <c r="F5" s="27" t="s">
        <v>42</v>
      </c>
      <c r="G5" s="27" t="s">
        <v>43</v>
      </c>
      <c r="H5" s="27"/>
    </row>
    <row r="6" spans="1:8" x14ac:dyDescent="0.35">
      <c r="A6" s="26" t="s">
        <v>46</v>
      </c>
      <c r="B6" s="26" t="s">
        <v>47</v>
      </c>
      <c r="C6" s="28">
        <v>46066</v>
      </c>
      <c r="D6" s="29">
        <f>VLOOKUP(A6,Consultant!A2:H6,8,0)</f>
        <v>59800</v>
      </c>
      <c r="E6" s="31" t="s">
        <v>48</v>
      </c>
      <c r="F6" s="27" t="s">
        <v>49</v>
      </c>
      <c r="G6" s="27" t="s">
        <v>45</v>
      </c>
      <c r="H6" s="27"/>
    </row>
    <row r="7" spans="1:8" x14ac:dyDescent="0.35">
      <c r="A7" s="26" t="s">
        <v>37</v>
      </c>
      <c r="B7" s="26" t="s">
        <v>39</v>
      </c>
      <c r="C7" s="28">
        <v>46072</v>
      </c>
      <c r="D7" s="29">
        <f>VLOOKUP(A7,Consultant!A2:H6,8,0)</f>
        <v>79800</v>
      </c>
      <c r="E7" s="29">
        <v>770301501355</v>
      </c>
      <c r="F7" s="27" t="s">
        <v>44</v>
      </c>
      <c r="G7" s="27" t="s">
        <v>45</v>
      </c>
      <c r="H7" s="27"/>
    </row>
    <row r="8" spans="1:8" x14ac:dyDescent="0.35">
      <c r="A8" s="22" t="s">
        <v>98</v>
      </c>
      <c r="B8" s="23" t="s">
        <v>99</v>
      </c>
      <c r="C8" s="28">
        <v>46092</v>
      </c>
      <c r="D8" s="29">
        <f>VLOOKUP(A8,Consultant!A2:H6,8,0)</f>
        <v>13348.387096774193</v>
      </c>
      <c r="E8" s="29">
        <v>50100743220366</v>
      </c>
      <c r="F8" s="29" t="s">
        <v>124</v>
      </c>
      <c r="G8" s="29" t="s">
        <v>51</v>
      </c>
      <c r="H8" s="27"/>
    </row>
    <row r="9" spans="1:8" x14ac:dyDescent="0.35">
      <c r="A9" s="10" t="s">
        <v>56</v>
      </c>
      <c r="B9" s="11" t="s">
        <v>57</v>
      </c>
      <c r="C9" s="12">
        <v>46083</v>
      </c>
      <c r="D9" s="29">
        <f>VLOOKUP(A9,'Tech Employees'!A2:AF21,32,0)</f>
        <v>38759.113112693551</v>
      </c>
      <c r="E9" s="29">
        <v>3327101004003</v>
      </c>
      <c r="F9" s="29" t="s">
        <v>101</v>
      </c>
      <c r="G9" s="29" t="s">
        <v>102</v>
      </c>
      <c r="H9" s="27"/>
    </row>
    <row r="10" spans="1:8" x14ac:dyDescent="0.35">
      <c r="A10" s="10" t="s">
        <v>58</v>
      </c>
      <c r="B10" s="11" t="s">
        <v>59</v>
      </c>
      <c r="C10" s="12">
        <v>46083</v>
      </c>
      <c r="D10" s="29">
        <f>VLOOKUP(A10,'Tech Employees'!A3:AF22,32,0)</f>
        <v>38759.113112693551</v>
      </c>
      <c r="E10" s="29">
        <v>50100595290241</v>
      </c>
      <c r="F10" s="29" t="s">
        <v>103</v>
      </c>
      <c r="G10" s="29" t="s">
        <v>51</v>
      </c>
      <c r="H10" s="27"/>
    </row>
    <row r="11" spans="1:8" x14ac:dyDescent="0.35">
      <c r="A11" s="10" t="s">
        <v>60</v>
      </c>
      <c r="B11" s="11" t="s">
        <v>61</v>
      </c>
      <c r="C11" s="12">
        <v>46083</v>
      </c>
      <c r="D11" s="29">
        <f>VLOOKUP(A11,'Tech Employees'!A4:AF23,32,0)</f>
        <v>52926.129311548393</v>
      </c>
      <c r="E11" s="29">
        <v>62428832885</v>
      </c>
      <c r="F11" s="29" t="s">
        <v>143</v>
      </c>
      <c r="G11" s="29" t="s">
        <v>106</v>
      </c>
      <c r="H11" s="27"/>
    </row>
    <row r="12" spans="1:8" x14ac:dyDescent="0.35">
      <c r="A12" s="10" t="s">
        <v>62</v>
      </c>
      <c r="B12" s="11" t="s">
        <v>63</v>
      </c>
      <c r="C12" s="12">
        <v>46083</v>
      </c>
      <c r="D12" s="29">
        <f>VLOOKUP(A12,'Tech Employees'!A5:AF24,32,0)</f>
        <v>18791.643419959688</v>
      </c>
      <c r="E12" s="29">
        <v>62442668281</v>
      </c>
      <c r="F12" s="29" t="s">
        <v>144</v>
      </c>
      <c r="G12" s="29" t="s">
        <v>106</v>
      </c>
      <c r="H12" s="27"/>
    </row>
    <row r="13" spans="1:8" x14ac:dyDescent="0.35">
      <c r="A13" s="10" t="s">
        <v>64</v>
      </c>
      <c r="B13" s="11" t="s">
        <v>65</v>
      </c>
      <c r="C13" s="12">
        <v>46083</v>
      </c>
      <c r="D13" s="29">
        <f>VLOOKUP(A13,'Tech Employees'!A6:AF25,32,0)</f>
        <v>43481.451845645155</v>
      </c>
      <c r="E13" s="29">
        <v>77770116800885</v>
      </c>
      <c r="F13" s="29" t="s">
        <v>104</v>
      </c>
      <c r="G13" s="29" t="s">
        <v>122</v>
      </c>
      <c r="H13" s="27"/>
    </row>
    <row r="14" spans="1:8" x14ac:dyDescent="0.35">
      <c r="A14" s="10" t="s">
        <v>66</v>
      </c>
      <c r="B14" s="11" t="s">
        <v>67</v>
      </c>
      <c r="C14" s="12">
        <v>46083</v>
      </c>
      <c r="D14" s="29">
        <f>VLOOKUP(A14,'Tech Employees'!A7:AF26,32,0)</f>
        <v>38759.113112693551</v>
      </c>
      <c r="E14" s="29">
        <v>41085488775</v>
      </c>
      <c r="F14" s="29" t="s">
        <v>105</v>
      </c>
      <c r="G14" s="29" t="s">
        <v>106</v>
      </c>
      <c r="H14" s="27"/>
    </row>
    <row r="15" spans="1:8" x14ac:dyDescent="0.35">
      <c r="A15" s="10" t="s">
        <v>68</v>
      </c>
      <c r="B15" s="11" t="s">
        <v>69</v>
      </c>
      <c r="C15" s="12">
        <v>46083</v>
      </c>
      <c r="D15" s="29">
        <f>VLOOKUP(A15,'Tech Employees'!A8:AF27,32,0)</f>
        <v>38759.113112693551</v>
      </c>
      <c r="E15" s="29">
        <v>62297418711</v>
      </c>
      <c r="F15" s="29" t="s">
        <v>107</v>
      </c>
      <c r="G15" s="29" t="s">
        <v>106</v>
      </c>
      <c r="H15" s="27"/>
    </row>
    <row r="16" spans="1:8" x14ac:dyDescent="0.35">
      <c r="A16" s="10" t="s">
        <v>70</v>
      </c>
      <c r="B16" s="11" t="s">
        <v>71</v>
      </c>
      <c r="C16" s="12">
        <v>46083</v>
      </c>
      <c r="D16" s="29">
        <f>VLOOKUP(A16,'Tech Employees'!A9:AF28,32,0)</f>
        <v>38759.113112693551</v>
      </c>
      <c r="E16" s="35" t="s">
        <v>150</v>
      </c>
      <c r="F16" s="29" t="s">
        <v>126</v>
      </c>
      <c r="G16" s="29" t="s">
        <v>127</v>
      </c>
      <c r="H16" s="27"/>
    </row>
    <row r="17" spans="1:8" x14ac:dyDescent="0.35">
      <c r="A17" s="10" t="s">
        <v>72</v>
      </c>
      <c r="B17" s="11" t="s">
        <v>73</v>
      </c>
      <c r="C17" s="12">
        <v>46083</v>
      </c>
      <c r="D17" s="29">
        <f>VLOOKUP(A17,'Tech Employees'!A10:AF29,32,0)</f>
        <v>38759.113112693551</v>
      </c>
      <c r="E17" s="29">
        <v>159502740717</v>
      </c>
      <c r="F17" s="29" t="s">
        <v>108</v>
      </c>
      <c r="G17" s="29" t="s">
        <v>109</v>
      </c>
      <c r="H17" s="27"/>
    </row>
    <row r="18" spans="1:8" x14ac:dyDescent="0.35">
      <c r="A18" s="10" t="s">
        <v>74</v>
      </c>
      <c r="B18" s="11" t="s">
        <v>75</v>
      </c>
      <c r="C18" s="12">
        <v>46083</v>
      </c>
      <c r="D18" s="29">
        <f>VLOOKUP(A18,'Tech Employees'!A11:AF30,32,0)</f>
        <v>43481.451845645155</v>
      </c>
      <c r="E18" s="29">
        <v>39569845546</v>
      </c>
      <c r="F18" s="29" t="s">
        <v>110</v>
      </c>
      <c r="G18" s="29" t="s">
        <v>106</v>
      </c>
      <c r="H18" s="27"/>
    </row>
    <row r="19" spans="1:8" x14ac:dyDescent="0.35">
      <c r="A19" s="10" t="s">
        <v>76</v>
      </c>
      <c r="B19" s="11" t="s">
        <v>77</v>
      </c>
      <c r="C19" s="12">
        <v>46083</v>
      </c>
      <c r="D19" s="29">
        <f>VLOOKUP(A19,'Tech Employees'!A12:AF31,32,0)</f>
        <v>43481.451845645155</v>
      </c>
      <c r="E19" s="29">
        <v>50100565431077</v>
      </c>
      <c r="F19" s="29" t="s">
        <v>111</v>
      </c>
      <c r="G19" s="29" t="s">
        <v>51</v>
      </c>
      <c r="H19" s="27"/>
    </row>
    <row r="20" spans="1:8" x14ac:dyDescent="0.35">
      <c r="A20" s="10" t="s">
        <v>78</v>
      </c>
      <c r="B20" s="11" t="s">
        <v>79</v>
      </c>
      <c r="C20" s="12">
        <v>46083</v>
      </c>
      <c r="D20" s="29">
        <f>VLOOKUP(A20,'Tech Employees'!A13:AF32,32,0)</f>
        <v>52926.129311548393</v>
      </c>
      <c r="E20" s="29">
        <v>41202390653</v>
      </c>
      <c r="F20" s="29" t="s">
        <v>112</v>
      </c>
      <c r="G20" s="29" t="s">
        <v>106</v>
      </c>
      <c r="H20" s="27"/>
    </row>
    <row r="21" spans="1:8" x14ac:dyDescent="0.35">
      <c r="A21" s="10" t="s">
        <v>80</v>
      </c>
      <c r="B21" s="11" t="s">
        <v>81</v>
      </c>
      <c r="C21" s="12">
        <v>46083</v>
      </c>
      <c r="D21" s="29">
        <f>VLOOKUP(A21,'Tech Employees'!A14:AF33,32,0)</f>
        <v>52926.129311548393</v>
      </c>
      <c r="E21" s="29">
        <v>615728726</v>
      </c>
      <c r="F21" s="29" t="s">
        <v>113</v>
      </c>
      <c r="G21" s="29" t="s">
        <v>114</v>
      </c>
      <c r="H21" s="27"/>
    </row>
    <row r="22" spans="1:8" x14ac:dyDescent="0.35">
      <c r="A22" s="10" t="s">
        <v>82</v>
      </c>
      <c r="B22" s="11" t="s">
        <v>83</v>
      </c>
      <c r="C22" s="12">
        <v>46083</v>
      </c>
      <c r="D22" s="29">
        <f>VLOOKUP(A22,'Tech Employees'!A15:AF34,32,0)</f>
        <v>12203.245708669359</v>
      </c>
      <c r="E22" s="29">
        <v>9147600708</v>
      </c>
      <c r="F22" s="29" t="s">
        <v>115</v>
      </c>
      <c r="G22" s="29" t="s">
        <v>116</v>
      </c>
      <c r="H22" s="27"/>
    </row>
    <row r="23" spans="1:8" x14ac:dyDescent="0.35">
      <c r="A23" s="10" t="s">
        <v>84</v>
      </c>
      <c r="B23" s="11" t="s">
        <v>85</v>
      </c>
      <c r="C23" s="12">
        <v>46083</v>
      </c>
      <c r="D23" s="29">
        <f>VLOOKUP(A23,'Tech Employees'!A16:AF35,32,0)</f>
        <v>29314.43564679032</v>
      </c>
      <c r="E23" s="29">
        <v>7445588605</v>
      </c>
      <c r="F23" s="29" t="s">
        <v>117</v>
      </c>
      <c r="G23" s="29" t="s">
        <v>116</v>
      </c>
      <c r="H23" s="27"/>
    </row>
    <row r="24" spans="1:8" x14ac:dyDescent="0.35">
      <c r="A24" s="10" t="s">
        <v>86</v>
      </c>
      <c r="B24" s="11" t="s">
        <v>87</v>
      </c>
      <c r="C24" s="12">
        <v>46083</v>
      </c>
      <c r="D24" s="29">
        <f>VLOOKUP(A24,'Tech Employees'!A17:AF36,32,0)</f>
        <v>29314.43564679032</v>
      </c>
      <c r="E24" s="29">
        <v>4495101004331</v>
      </c>
      <c r="F24" s="29" t="s">
        <v>118</v>
      </c>
      <c r="G24" s="29" t="s">
        <v>102</v>
      </c>
      <c r="H24" s="27"/>
    </row>
    <row r="25" spans="1:8" x14ac:dyDescent="0.35">
      <c r="A25" s="10" t="s">
        <v>88</v>
      </c>
      <c r="B25" s="10" t="s">
        <v>89</v>
      </c>
      <c r="C25" s="12">
        <v>46083</v>
      </c>
      <c r="D25" s="29">
        <f>VLOOKUP(A25,'Tech Employees'!A18:AF37,32,0)</f>
        <v>18791.643419959688</v>
      </c>
      <c r="E25" s="29">
        <v>37182972098</v>
      </c>
      <c r="F25" s="29" t="s">
        <v>142</v>
      </c>
      <c r="G25" s="29" t="s">
        <v>106</v>
      </c>
      <c r="H25" s="27"/>
    </row>
    <row r="26" spans="1:8" x14ac:dyDescent="0.35">
      <c r="A26" s="10" t="s">
        <v>90</v>
      </c>
      <c r="B26" s="10" t="s">
        <v>91</v>
      </c>
      <c r="C26" s="12">
        <v>46083</v>
      </c>
      <c r="D26" s="29">
        <f>VLOOKUP(A26,'Tech Employees'!A19:AF38,32,0)</f>
        <v>29314.43564679032</v>
      </c>
      <c r="E26" s="29">
        <v>39971511897</v>
      </c>
      <c r="F26" s="29" t="s">
        <v>119</v>
      </c>
      <c r="G26" s="29" t="s">
        <v>106</v>
      </c>
      <c r="H26" s="27"/>
    </row>
    <row r="27" spans="1:8" x14ac:dyDescent="0.35">
      <c r="A27" s="10" t="s">
        <v>92</v>
      </c>
      <c r="B27" s="10" t="s">
        <v>93</v>
      </c>
      <c r="C27" s="12">
        <v>46083</v>
      </c>
      <c r="D27" s="29">
        <f>VLOOKUP(A27,'Tech Employees'!A20:AF39,32,0)</f>
        <v>52926.129311548393</v>
      </c>
      <c r="E27" s="29">
        <v>41536691505</v>
      </c>
      <c r="F27" s="29" t="s">
        <v>120</v>
      </c>
      <c r="G27" s="29" t="s">
        <v>106</v>
      </c>
      <c r="H27" s="27"/>
    </row>
    <row r="28" spans="1:8" x14ac:dyDescent="0.35">
      <c r="A28" s="10" t="s">
        <v>94</v>
      </c>
      <c r="B28" s="10" t="s">
        <v>95</v>
      </c>
      <c r="C28" s="12">
        <v>46083</v>
      </c>
      <c r="D28" s="29">
        <f>VLOOKUP(A28,'Tech Employees'!A21:AF40,32,0)</f>
        <v>52926.129311548393</v>
      </c>
      <c r="E28" s="29">
        <v>50100141200194</v>
      </c>
      <c r="F28" s="29" t="s">
        <v>121</v>
      </c>
      <c r="G28" s="29" t="s">
        <v>51</v>
      </c>
      <c r="H28" s="27"/>
    </row>
    <row r="29" spans="1:8" x14ac:dyDescent="0.35">
      <c r="A29" s="6"/>
      <c r="B29" s="6"/>
      <c r="C29" s="2"/>
      <c r="D29" s="4"/>
      <c r="E29" s="4"/>
    </row>
    <row r="30" spans="1:8" x14ac:dyDescent="0.35">
      <c r="B30" s="1" t="s">
        <v>34</v>
      </c>
      <c r="C30" s="1"/>
      <c r="D30" s="5">
        <f>SUM(D2:D28)</f>
        <v>1214672.7289642177</v>
      </c>
    </row>
  </sheetData>
  <pageMargins left="0.7" right="0.7" top="0.75" bottom="0.75" header="0.3" footer="0.3"/>
  <pageSetup orientation="portrait" r:id="rId1"/>
  <ignoredErrors>
    <ignoredError sqref="D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J12"/>
  <sheetViews>
    <sheetView workbookViewId="0">
      <selection activeCell="I13" sqref="I13"/>
    </sheetView>
  </sheetViews>
  <sheetFormatPr defaultRowHeight="14.5" x14ac:dyDescent="0.35"/>
  <cols>
    <col min="1" max="1" width="4.453125" customWidth="1"/>
    <col min="2" max="2" width="16" bestFit="1" customWidth="1"/>
    <col min="3" max="3" width="10.81640625" bestFit="1" customWidth="1"/>
    <col min="4" max="4" width="12.36328125" bestFit="1" customWidth="1"/>
    <col min="5" max="5" width="9.08984375" bestFit="1" customWidth="1"/>
    <col min="6" max="6" width="19.7265625" bestFit="1" customWidth="1"/>
    <col min="7" max="7" width="12.36328125" bestFit="1" customWidth="1"/>
    <col min="8" max="8" width="21.54296875" bestFit="1" customWidth="1"/>
    <col min="9" max="9" width="22" bestFit="1" customWidth="1"/>
  </cols>
  <sheetData>
    <row r="1" spans="1:10" x14ac:dyDescent="0.35">
      <c r="A1" s="36" t="s">
        <v>128</v>
      </c>
      <c r="B1" s="36" t="s">
        <v>129</v>
      </c>
      <c r="C1" s="36" t="s">
        <v>131</v>
      </c>
      <c r="D1" s="36" t="s">
        <v>132</v>
      </c>
      <c r="E1" s="36" t="s">
        <v>133</v>
      </c>
      <c r="F1" s="24" t="s">
        <v>29</v>
      </c>
      <c r="G1" s="24" t="s">
        <v>30</v>
      </c>
      <c r="H1" s="24" t="s">
        <v>155</v>
      </c>
      <c r="I1" s="24" t="s">
        <v>157</v>
      </c>
      <c r="J1" s="24" t="s">
        <v>167</v>
      </c>
    </row>
    <row r="2" spans="1:10" x14ac:dyDescent="0.35">
      <c r="A2" s="27">
        <v>1</v>
      </c>
      <c r="B2" s="27" t="s">
        <v>125</v>
      </c>
      <c r="C2" s="37"/>
      <c r="D2" s="27"/>
      <c r="E2" s="27">
        <v>230000</v>
      </c>
      <c r="F2" s="27">
        <v>32862142889</v>
      </c>
      <c r="G2" s="27" t="s">
        <v>185</v>
      </c>
      <c r="H2" s="27" t="s">
        <v>186</v>
      </c>
      <c r="I2" s="27" t="s">
        <v>158</v>
      </c>
      <c r="J2" s="27" t="s">
        <v>168</v>
      </c>
    </row>
    <row r="3" spans="1:10" x14ac:dyDescent="0.35">
      <c r="A3" s="27">
        <v>2</v>
      </c>
      <c r="B3" s="27" t="s">
        <v>130</v>
      </c>
      <c r="C3" s="37">
        <v>12</v>
      </c>
      <c r="D3" s="27">
        <v>800</v>
      </c>
      <c r="E3" s="27">
        <f>C3*D3</f>
        <v>9600</v>
      </c>
      <c r="F3" s="29">
        <v>50100450822049</v>
      </c>
      <c r="G3" s="27" t="s">
        <v>164</v>
      </c>
      <c r="H3" s="27" t="s">
        <v>165</v>
      </c>
      <c r="I3" s="27" t="s">
        <v>166</v>
      </c>
      <c r="J3" s="27" t="s">
        <v>169</v>
      </c>
    </row>
    <row r="4" spans="1:10" x14ac:dyDescent="0.35">
      <c r="A4" s="27">
        <v>3</v>
      </c>
      <c r="B4" s="27" t="s">
        <v>135</v>
      </c>
      <c r="C4" s="37">
        <v>6</v>
      </c>
      <c r="D4" s="27">
        <v>1200</v>
      </c>
      <c r="E4" s="27">
        <f t="shared" ref="E4:E8" si="0">C4*D4</f>
        <v>7200</v>
      </c>
      <c r="F4" s="38" t="s">
        <v>159</v>
      </c>
      <c r="G4" s="27" t="s">
        <v>160</v>
      </c>
      <c r="H4" s="27" t="s">
        <v>161</v>
      </c>
      <c r="I4" s="27" t="s">
        <v>45</v>
      </c>
      <c r="J4" s="27" t="s">
        <v>169</v>
      </c>
    </row>
    <row r="5" spans="1:10" x14ac:dyDescent="0.35">
      <c r="A5" s="27">
        <v>4</v>
      </c>
      <c r="B5" s="27" t="s">
        <v>137</v>
      </c>
      <c r="C5" s="37">
        <v>12</v>
      </c>
      <c r="D5" s="27">
        <v>1200</v>
      </c>
      <c r="E5" s="27">
        <f t="shared" si="0"/>
        <v>14400</v>
      </c>
      <c r="F5" s="29">
        <v>653101004326</v>
      </c>
      <c r="G5" s="27" t="s">
        <v>162</v>
      </c>
      <c r="H5" s="27" t="s">
        <v>163</v>
      </c>
      <c r="I5" s="27" t="s">
        <v>45</v>
      </c>
      <c r="J5" s="27" t="s">
        <v>170</v>
      </c>
    </row>
    <row r="6" spans="1:10" x14ac:dyDescent="0.35">
      <c r="A6" s="27">
        <v>5</v>
      </c>
      <c r="B6" s="27" t="s">
        <v>138</v>
      </c>
      <c r="C6" s="37">
        <v>20</v>
      </c>
      <c r="D6" s="27">
        <v>1000</v>
      </c>
      <c r="E6" s="27">
        <f t="shared" si="0"/>
        <v>20000</v>
      </c>
      <c r="F6" s="27">
        <v>23310559930</v>
      </c>
      <c r="G6" s="27" t="s">
        <v>173</v>
      </c>
      <c r="H6" s="27" t="s">
        <v>174</v>
      </c>
      <c r="I6" s="27" t="s">
        <v>175</v>
      </c>
      <c r="J6" s="27" t="s">
        <v>171</v>
      </c>
    </row>
    <row r="7" spans="1:10" x14ac:dyDescent="0.35">
      <c r="A7" s="27">
        <v>6</v>
      </c>
      <c r="B7" s="27" t="s">
        <v>139</v>
      </c>
      <c r="C7" s="37">
        <v>3</v>
      </c>
      <c r="D7" s="27">
        <v>700</v>
      </c>
      <c r="E7" s="27">
        <f t="shared" si="0"/>
        <v>2100</v>
      </c>
      <c r="F7" s="27">
        <v>20406860944</v>
      </c>
      <c r="G7" s="27" t="s">
        <v>151</v>
      </c>
      <c r="H7" s="27" t="s">
        <v>152</v>
      </c>
      <c r="I7" s="27" t="s">
        <v>158</v>
      </c>
      <c r="J7" s="27" t="s">
        <v>172</v>
      </c>
    </row>
    <row r="8" spans="1:10" x14ac:dyDescent="0.35">
      <c r="A8" s="27">
        <v>7</v>
      </c>
      <c r="B8" s="27" t="s">
        <v>140</v>
      </c>
      <c r="C8" s="37">
        <v>12</v>
      </c>
      <c r="D8" s="27">
        <v>1000</v>
      </c>
      <c r="E8" s="27">
        <f t="shared" si="0"/>
        <v>12000</v>
      </c>
      <c r="F8" s="27">
        <v>814649188</v>
      </c>
      <c r="G8" s="27" t="s">
        <v>153</v>
      </c>
      <c r="H8" s="27" t="s">
        <v>154</v>
      </c>
      <c r="I8" s="27" t="s">
        <v>156</v>
      </c>
      <c r="J8" s="27" t="s">
        <v>172</v>
      </c>
    </row>
    <row r="9" spans="1:10" x14ac:dyDescent="0.35">
      <c r="A9" s="27">
        <v>8</v>
      </c>
      <c r="B9" s="27" t="s">
        <v>134</v>
      </c>
      <c r="C9" s="37">
        <v>3</v>
      </c>
      <c r="D9" s="27">
        <v>800</v>
      </c>
      <c r="E9" s="27">
        <f>C9*D9</f>
        <v>2400</v>
      </c>
      <c r="F9" s="39" t="s">
        <v>176</v>
      </c>
      <c r="G9" s="40"/>
      <c r="H9" s="40"/>
      <c r="I9" s="41"/>
      <c r="J9" s="27" t="s">
        <v>169</v>
      </c>
    </row>
    <row r="10" spans="1:10" x14ac:dyDescent="0.35">
      <c r="A10" s="27">
        <v>9</v>
      </c>
      <c r="B10" s="27" t="s">
        <v>136</v>
      </c>
      <c r="C10" s="37">
        <v>3</v>
      </c>
      <c r="D10" s="27">
        <v>1000</v>
      </c>
      <c r="E10" s="27">
        <f>C10*D10</f>
        <v>3000</v>
      </c>
      <c r="F10" s="39" t="s">
        <v>176</v>
      </c>
      <c r="G10" s="40"/>
      <c r="H10" s="40"/>
      <c r="I10" s="41"/>
      <c r="J10" s="27" t="s">
        <v>170</v>
      </c>
    </row>
    <row r="11" spans="1:10" x14ac:dyDescent="0.35">
      <c r="C11" s="34"/>
    </row>
    <row r="12" spans="1:10" x14ac:dyDescent="0.35">
      <c r="E12" s="1">
        <f>SUM(E2:E11)</f>
        <v>300700</v>
      </c>
    </row>
  </sheetData>
  <mergeCells count="2">
    <mergeCell ref="F9:I9"/>
    <mergeCell ref="F10:I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5C68-159C-483B-9BC0-F025950CF4B9}">
  <dimension ref="A1:G2"/>
  <sheetViews>
    <sheetView workbookViewId="0">
      <selection activeCell="I9" sqref="I9"/>
    </sheetView>
  </sheetViews>
  <sheetFormatPr defaultRowHeight="14.5" x14ac:dyDescent="0.35"/>
  <cols>
    <col min="3" max="3" width="30.6328125" bestFit="1" customWidth="1"/>
    <col min="4" max="4" width="17.54296875" bestFit="1" customWidth="1"/>
    <col min="5" max="5" width="12.36328125" bestFit="1" customWidth="1"/>
  </cols>
  <sheetData>
    <row r="1" spans="1:7" x14ac:dyDescent="0.35">
      <c r="A1" s="36" t="s">
        <v>128</v>
      </c>
      <c r="B1" s="36" t="s">
        <v>177</v>
      </c>
      <c r="C1" s="36" t="s">
        <v>179</v>
      </c>
      <c r="D1" s="36" t="s">
        <v>181</v>
      </c>
      <c r="E1" s="36" t="s">
        <v>182</v>
      </c>
      <c r="F1" s="36" t="s">
        <v>157</v>
      </c>
      <c r="G1" s="36" t="s">
        <v>183</v>
      </c>
    </row>
    <row r="2" spans="1:7" x14ac:dyDescent="0.35">
      <c r="A2" s="27">
        <v>1</v>
      </c>
      <c r="B2" s="27" t="s">
        <v>178</v>
      </c>
      <c r="C2" s="27" t="s">
        <v>180</v>
      </c>
      <c r="D2" s="29">
        <v>50200062999445</v>
      </c>
      <c r="E2" s="27" t="s">
        <v>184</v>
      </c>
      <c r="F2" s="27" t="s">
        <v>166</v>
      </c>
      <c r="G2" s="27"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Consultant</vt:lpstr>
      <vt:lpstr>Tech Employees</vt:lpstr>
      <vt:lpstr>Payment</vt:lpstr>
      <vt:lpstr>Trainers</vt:lpstr>
      <vt:lpstr>Rental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2026-06-05T09:26:44Z</dcterms:modified>
</cp:coreProperties>
</file>