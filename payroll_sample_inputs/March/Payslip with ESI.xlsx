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March\"/>
    </mc:Choice>
  </mc:AlternateContent>
  <xr:revisionPtr revIDLastSave="0" documentId="13_ncr:1_{C80A4959-2C8D-4576-B098-65E768A5F3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4" i="1" l="1"/>
  <c r="AH3" i="1"/>
  <c r="AH2" i="1"/>
  <c r="AJ3" i="1"/>
  <c r="AJ2" i="1"/>
  <c r="AJ4" i="1"/>
  <c r="H2" i="1"/>
  <c r="H3" i="1"/>
  <c r="H4" i="1"/>
  <c r="G2" i="1"/>
  <c r="G3" i="1"/>
  <c r="G4" i="1"/>
</calcChain>
</file>

<file path=xl/sharedStrings.xml><?xml version="1.0" encoding="utf-8"?>
<sst xmlns="http://schemas.openxmlformats.org/spreadsheetml/2006/main" count="63" uniqueCount="49">
  <si>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</si>
  <si>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</si>
  <si>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</si>
  <si>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</si>
  <si>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</si>
  <si>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</si>
  <si>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</si>
  <si>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</si>
  <si>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</si>
  <si>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</si>
  <si>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</si>
  <si>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</si>
  <si>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</si>
  <si>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</si>
  <si>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</si>
  <si>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</si>
  <si>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</si>
  <si>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</si>
  <si>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</si>
  <si>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</si>
  <si>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</si>
  <si>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</si>
  <si>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</si>
  <si>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</si>
  <si>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</si>
  <si>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</si>
  <si>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AGS26019</t>
  </si>
  <si>
    <t>Nelapatla Srinivas</t>
  </si>
  <si>
    <t>AGS26028</t>
  </si>
  <si>
    <t>Mohammed Abdul Moid</t>
  </si>
  <si>
    <t>AGS26032</t>
  </si>
  <si>
    <t>Vempadapu Uday Sai Tarun</t>
  </si>
  <si>
    <t>Associate Software Engineer</t>
  </si>
  <si>
    <t>Graduate Trainee Engineer</t>
  </si>
  <si>
    <t>Development</t>
  </si>
  <si>
    <t>Hyderabad</t>
  </si>
  <si>
    <t>March 2026</t>
  </si>
  <si>
    <t>ESI</t>
  </si>
  <si>
    <t>02 Mar 2026</t>
  </si>
  <si>
    <t>02 Apr 2026</t>
  </si>
  <si>
    <t>Abasic</t>
  </si>
  <si>
    <t>AHRA</t>
  </si>
  <si>
    <t>ASA</t>
  </si>
  <si>
    <t>AOA</t>
  </si>
  <si>
    <t>AGE</t>
  </si>
  <si>
    <t>ErPF</t>
  </si>
  <si>
    <t>Grat</t>
  </si>
  <si>
    <t>Ben</t>
  </si>
  <si>
    <t>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</si>
</sst>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\ mmm\ 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1" fontId="0" fillId="0" borderId="0" xfId="0" applyNumberFormat="1"/>
    <xf numFmtId="164" fontId="2" fillId="0" borderId="0" xfId="0" quotePrefix="1" applyNumberFormat="1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min\Payroll\2026\March\March_Payroll_Data.xlsx" TargetMode="External"/><Relationship Id="rId1" Type="http://schemas.openxmlformats.org/officeDocument/2006/relationships/externalLinkPath" Target="March_Payro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onsultant"/>
      <sheetName val="Tech Employees"/>
      <sheetName val="Payment"/>
      <sheetName val="Trainers"/>
      <sheetName val="Rental Amount"/>
    </sheetNames>
    <sheetDataSet>
      <sheetData sheetId="0"/>
      <sheetData sheetId="1"/>
      <sheetData sheetId="2"/>
      <sheetData sheetId="3">
        <row r="2">
          <cell r="A2" t="str">
            <v>AGS26006</v>
          </cell>
          <cell r="B2" t="str">
            <v>Abhijeet Vijaysingh Pardeshi</v>
          </cell>
          <cell r="C2">
            <v>46062</v>
          </cell>
          <cell r="D2">
            <v>65330.466350000002</v>
          </cell>
          <cell r="E2">
            <v>41280100007853</v>
          </cell>
          <cell r="F2" t="str">
            <v>BARB0WALUJX</v>
          </cell>
          <cell r="G2" t="str">
            <v>BANK OF BARODA</v>
          </cell>
        </row>
        <row r="3">
          <cell r="A3" t="str">
            <v>AGS26038</v>
          </cell>
          <cell r="B3" t="str">
            <v>Ainala Saiesha</v>
          </cell>
          <cell r="C3">
            <v>46086</v>
          </cell>
          <cell r="D3">
            <v>81434.355257645162</v>
          </cell>
          <cell r="E3">
            <v>919010033458832</v>
          </cell>
          <cell r="F3" t="str">
            <v>UTIB0000553</v>
          </cell>
          <cell r="G3" t="str">
            <v>Union Bank</v>
          </cell>
        </row>
        <row r="4">
          <cell r="A4" t="str">
            <v>AGS26004</v>
          </cell>
          <cell r="B4" t="str">
            <v>Ande Sharath Chandra</v>
          </cell>
          <cell r="C4">
            <v>46054</v>
          </cell>
          <cell r="D4">
            <v>79800</v>
          </cell>
          <cell r="E4">
            <v>50100677371816</v>
          </cell>
          <cell r="F4" t="str">
            <v>HDFC0001042</v>
          </cell>
          <cell r="G4" t="str">
            <v>HDFC Bank</v>
          </cell>
        </row>
        <row r="5">
          <cell r="A5" t="str">
            <v>AGS26005</v>
          </cell>
          <cell r="B5" t="str">
            <v>Tanakala Janardhan</v>
          </cell>
          <cell r="C5">
            <v>46054</v>
          </cell>
          <cell r="D5">
            <v>69800</v>
          </cell>
          <cell r="E5">
            <v>154710100018477</v>
          </cell>
          <cell r="F5" t="str">
            <v>UBIN0815471</v>
          </cell>
          <cell r="G5" t="str">
            <v>Union Bank</v>
          </cell>
        </row>
        <row r="6">
          <cell r="A6" t="str">
            <v>AGS26020</v>
          </cell>
          <cell r="B6" t="str">
            <v>Gurindapalli Krishna Chaitanya</v>
          </cell>
          <cell r="C6">
            <v>46066</v>
          </cell>
          <cell r="D6">
            <v>59800</v>
          </cell>
          <cell r="E6" t="str">
            <v>020201545829</v>
          </cell>
          <cell r="F6" t="str">
            <v>ICIC0000202</v>
          </cell>
          <cell r="G6" t="str">
            <v>ICICI Bank</v>
          </cell>
        </row>
        <row r="7">
          <cell r="A7" t="str">
            <v>AGS26024</v>
          </cell>
          <cell r="B7" t="str">
            <v>Priya Darshini Pola</v>
          </cell>
          <cell r="C7">
            <v>46072</v>
          </cell>
          <cell r="D7">
            <v>79800</v>
          </cell>
          <cell r="E7">
            <v>770301501355</v>
          </cell>
          <cell r="F7" t="str">
            <v>ICIC0007703</v>
          </cell>
          <cell r="G7" t="str">
            <v>ICICI Bank</v>
          </cell>
        </row>
        <row r="8">
          <cell r="A8" t="str">
            <v>AGS26039</v>
          </cell>
          <cell r="B8" t="str">
            <v>Esther Deva Priya</v>
          </cell>
          <cell r="C8">
            <v>46092</v>
          </cell>
          <cell r="D8">
            <v>13348.387096774193</v>
          </cell>
          <cell r="E8">
            <v>50100743220366</v>
          </cell>
          <cell r="F8" t="str">
            <v>HDFC0000545</v>
          </cell>
          <cell r="G8" t="str">
            <v>HDFC Bank</v>
          </cell>
        </row>
        <row r="9">
          <cell r="A9" t="str">
            <v>AGS26011</v>
          </cell>
          <cell r="B9" t="str">
            <v>Siddula Hemasai</v>
          </cell>
          <cell r="C9">
            <v>46083</v>
          </cell>
          <cell r="D9">
            <v>38759.113112693551</v>
          </cell>
          <cell r="E9">
            <v>3327101004003</v>
          </cell>
          <cell r="F9" t="str">
            <v>CNRB0003327</v>
          </cell>
          <cell r="G9" t="str">
            <v>Canara Bank</v>
          </cell>
        </row>
        <row r="10">
          <cell r="A10" t="str">
            <v>AGS26018</v>
          </cell>
          <cell r="B10" t="str">
            <v>Settybathini Sathish</v>
          </cell>
          <cell r="C10">
            <v>46083</v>
          </cell>
          <cell r="D10">
            <v>38759.113112693551</v>
          </cell>
          <cell r="E10">
            <v>50100595290241</v>
          </cell>
          <cell r="F10" t="str">
            <v>HDFC0000075</v>
          </cell>
          <cell r="G10" t="str">
            <v>HDFC Bank</v>
          </cell>
        </row>
        <row r="11">
          <cell r="A11" t="str">
            <v>AGS26010</v>
          </cell>
          <cell r="B11" t="str">
            <v>Vemula Varshith</v>
          </cell>
          <cell r="C11">
            <v>46083</v>
          </cell>
          <cell r="D11">
            <v>52926.129311548393</v>
          </cell>
          <cell r="E11">
            <v>62428832885</v>
          </cell>
          <cell r="F11" t="str">
            <v>SBIN0020959</v>
          </cell>
          <cell r="G11" t="str">
            <v>State Bank of India</v>
          </cell>
        </row>
        <row r="12">
          <cell r="A12" t="str">
            <v>AGS26019</v>
          </cell>
          <cell r="B12" t="str">
            <v>Nelapatla Srinivas</v>
          </cell>
          <cell r="C12">
            <v>46083</v>
          </cell>
          <cell r="D12">
            <v>18791.643419959688</v>
          </cell>
          <cell r="E12">
            <v>62442668281</v>
          </cell>
          <cell r="F12" t="str">
            <v>SBIN0020176</v>
          </cell>
          <cell r="G12" t="str">
            <v>State Bank of India</v>
          </cell>
        </row>
        <row r="13">
          <cell r="A13" t="str">
            <v>AGS26014</v>
          </cell>
          <cell r="B13" t="str">
            <v>Vulli Pavan</v>
          </cell>
          <cell r="C13">
            <v>46083</v>
          </cell>
          <cell r="D13">
            <v>43481.451845645155</v>
          </cell>
          <cell r="E13">
            <v>77770116800885</v>
          </cell>
          <cell r="F13" t="str">
            <v>FDRL0007777</v>
          </cell>
          <cell r="G13" t="str">
            <v>Federal Bank</v>
          </cell>
        </row>
        <row r="14">
          <cell r="A14" t="str">
            <v>AGS26017</v>
          </cell>
          <cell r="B14" t="str">
            <v>Vavilla Saikumar</v>
          </cell>
          <cell r="C14">
            <v>46083</v>
          </cell>
          <cell r="D14">
            <v>38759.113112693551</v>
          </cell>
          <cell r="E14">
            <v>41085488775</v>
          </cell>
          <cell r="F14" t="str">
            <v>SBIN0016293</v>
          </cell>
          <cell r="G14" t="str">
            <v>State Bank of India</v>
          </cell>
        </row>
        <row r="15">
          <cell r="A15" t="str">
            <v>AGS26016</v>
          </cell>
          <cell r="B15" t="str">
            <v>Manisha Ashroba Virkar</v>
          </cell>
          <cell r="C15">
            <v>46083</v>
          </cell>
          <cell r="D15">
            <v>38759.113112693551</v>
          </cell>
          <cell r="E15">
            <v>62297418711</v>
          </cell>
          <cell r="F15" t="str">
            <v>SBIN0003801</v>
          </cell>
          <cell r="G15" t="str">
            <v>State Bank of India</v>
          </cell>
        </row>
        <row r="16">
          <cell r="A16" t="str">
            <v>AGS26015</v>
          </cell>
          <cell r="B16" t="str">
            <v>Karne Narsimha Reddy</v>
          </cell>
          <cell r="C16">
            <v>46083</v>
          </cell>
          <cell r="D16">
            <v>38759.113112693551</v>
          </cell>
          <cell r="E16" t="str">
            <v>1446178000009714</v>
          </cell>
          <cell r="F16" t="str">
            <v>KVBL0001446</v>
          </cell>
          <cell r="G16" t="str">
            <v>Karur Vysya Bank</v>
          </cell>
        </row>
        <row r="17">
          <cell r="A17" t="str">
            <v>AGS26013</v>
          </cell>
          <cell r="B17" t="str">
            <v>Kalepu Vijay</v>
          </cell>
          <cell r="C17">
            <v>46083</v>
          </cell>
          <cell r="D17">
            <v>38759.113112693551</v>
          </cell>
          <cell r="E17">
            <v>159502740717</v>
          </cell>
          <cell r="F17" t="str">
            <v>INDB0000329</v>
          </cell>
          <cell r="G17" t="str">
            <v>INDUSIND BANK</v>
          </cell>
        </row>
        <row r="18">
          <cell r="A18" t="str">
            <v>AGS26021</v>
          </cell>
          <cell r="B18" t="str">
            <v>Kontham Sushma</v>
          </cell>
          <cell r="C18">
            <v>46083</v>
          </cell>
          <cell r="D18">
            <v>43481.451845645155</v>
          </cell>
          <cell r="E18">
            <v>39569845546</v>
          </cell>
          <cell r="F18" t="str">
            <v>SBIN0008024</v>
          </cell>
          <cell r="G18" t="str">
            <v>State Bank of India</v>
          </cell>
        </row>
        <row r="19">
          <cell r="A19" t="str">
            <v>AGS26022</v>
          </cell>
          <cell r="B19" t="str">
            <v>Akkma Sai Teja</v>
          </cell>
          <cell r="C19">
            <v>46083</v>
          </cell>
          <cell r="D19">
            <v>43481.451845645155</v>
          </cell>
          <cell r="E19">
            <v>50100565431077</v>
          </cell>
          <cell r="F19" t="str">
            <v>HDFC0005175</v>
          </cell>
          <cell r="G19" t="str">
            <v>HDFC Bank</v>
          </cell>
        </row>
        <row r="20">
          <cell r="A20" t="str">
            <v>AGS26023</v>
          </cell>
          <cell r="B20" t="str">
            <v>Bobbarala Varshini</v>
          </cell>
          <cell r="C20">
            <v>46083</v>
          </cell>
          <cell r="D20">
            <v>52926.129311548393</v>
          </cell>
          <cell r="E20">
            <v>41202390653</v>
          </cell>
          <cell r="F20" t="str">
            <v>SBIN0000910</v>
          </cell>
          <cell r="G20" t="str">
            <v>State Bank of India</v>
          </cell>
        </row>
        <row r="21">
          <cell r="A21" t="str">
            <v>AGS26026</v>
          </cell>
          <cell r="B21" t="str">
            <v>Surampudi Roop Sai</v>
          </cell>
          <cell r="C21">
            <v>46083</v>
          </cell>
          <cell r="D21">
            <v>52926.129311548393</v>
          </cell>
          <cell r="E21">
            <v>615728726</v>
          </cell>
          <cell r="F21" t="str">
            <v>IDIB000P121</v>
          </cell>
          <cell r="G21" t="str">
            <v>Indian Bank</v>
          </cell>
        </row>
        <row r="22">
          <cell r="A22" t="str">
            <v>AGS26028</v>
          </cell>
          <cell r="B22" t="str">
            <v>Mohammed Abdul Moid</v>
          </cell>
          <cell r="C22">
            <v>46083</v>
          </cell>
          <cell r="D22">
            <v>12203.245708669359</v>
          </cell>
          <cell r="E22">
            <v>9147600708</v>
          </cell>
          <cell r="F22" t="str">
            <v>KKBK0007474</v>
          </cell>
          <cell r="G22" t="str">
            <v xml:space="preserve">Kotak </v>
          </cell>
        </row>
        <row r="23">
          <cell r="A23" t="str">
            <v>AGS26029</v>
          </cell>
          <cell r="B23" t="str">
            <v>Mula Sai Preetham Goud</v>
          </cell>
          <cell r="C23">
            <v>46083</v>
          </cell>
          <cell r="D23">
            <v>29314.43564679032</v>
          </cell>
          <cell r="E23">
            <v>7445588605</v>
          </cell>
          <cell r="F23" t="str">
            <v>KKBK0007462</v>
          </cell>
          <cell r="G23" t="str">
            <v xml:space="preserve">Kotak </v>
          </cell>
        </row>
        <row r="24">
          <cell r="A24" t="str">
            <v>AGS26030</v>
          </cell>
          <cell r="B24" t="str">
            <v>Sruthin Kumar Basa</v>
          </cell>
          <cell r="C24">
            <v>46083</v>
          </cell>
          <cell r="D24">
            <v>29314.43564679032</v>
          </cell>
          <cell r="E24">
            <v>4495101004331</v>
          </cell>
          <cell r="F24" t="str">
            <v>CNRB0004495</v>
          </cell>
          <cell r="G24" t="str">
            <v>Canara Bank</v>
          </cell>
        </row>
        <row r="25">
          <cell r="A25" t="str">
            <v>AGS26032</v>
          </cell>
          <cell r="B25" t="str">
            <v>Vempadapu Uday Sai Tarun</v>
          </cell>
          <cell r="C25">
            <v>46083</v>
          </cell>
          <cell r="D25">
            <v>18791.643419959688</v>
          </cell>
          <cell r="E25">
            <v>37182972098</v>
          </cell>
          <cell r="F25" t="str">
            <v>SBIN0008054</v>
          </cell>
          <cell r="G25" t="str">
            <v>State Bank of India</v>
          </cell>
        </row>
        <row r="26">
          <cell r="A26" t="str">
            <v>AGS26033</v>
          </cell>
          <cell r="B26" t="str">
            <v>Kethavath Sai Raj</v>
          </cell>
          <cell r="C26">
            <v>46083</v>
          </cell>
          <cell r="D26">
            <v>29314.43564679032</v>
          </cell>
          <cell r="E26">
            <v>39971511897</v>
          </cell>
          <cell r="F26" t="str">
            <v>SBIN0021227</v>
          </cell>
          <cell r="G26" t="str">
            <v>State Bank of India</v>
          </cell>
        </row>
        <row r="27">
          <cell r="A27" t="str">
            <v>AGS26034</v>
          </cell>
          <cell r="B27" t="str">
            <v>Sripada Shivakumar</v>
          </cell>
          <cell r="C27">
            <v>46083</v>
          </cell>
          <cell r="D27">
            <v>52926.129311548393</v>
          </cell>
          <cell r="E27">
            <v>41536691505</v>
          </cell>
          <cell r="F27" t="str">
            <v>SBIN0008807</v>
          </cell>
          <cell r="G27" t="str">
            <v>State Bank of India</v>
          </cell>
        </row>
        <row r="28">
          <cell r="A28" t="str">
            <v>AGS26035</v>
          </cell>
          <cell r="B28" t="str">
            <v>Varakantham Surender Reddy</v>
          </cell>
          <cell r="C28">
            <v>46083</v>
          </cell>
          <cell r="D28">
            <v>52926.129311548393</v>
          </cell>
          <cell r="E28">
            <v>50100141200194</v>
          </cell>
          <cell r="F28" t="str">
            <v>HDFC0004480</v>
          </cell>
          <cell r="G28" t="str">
            <v>HDFC Bank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tabSelected="1" zoomScale="84" workbookViewId="0">
      <selection activeCell="I18" sqref="I18"/>
    </sheetView>
  </sheetViews>
  <sheetFormatPr defaultRowHeight="14.5" x14ac:dyDescent="0.35"/>
  <cols>
    <col min="1" max="1" width="9.81640625" bestFit="1" customWidth="1"/>
    <col min="2" max="2" width="24.1796875" bestFit="1" customWidth="1"/>
    <col min="3" max="3" width="11.81640625" bestFit="1" customWidth="1"/>
    <col min="4" max="4" width="16.6328125" bestFit="1" customWidth="1"/>
    <col min="5" max="5" width="12.08984375" bestFit="1" customWidth="1"/>
    <col min="6" max="6" width="10.1796875" bestFit="1" customWidth="1"/>
    <col min="7" max="8" width="12.81640625" bestFit="1" customWidth="1"/>
    <col min="9" max="9" width="14.08984375" bestFit="1" customWidth="1"/>
    <col min="10" max="10" width="5.90625" bestFit="1" customWidth="1"/>
    <col min="11" max="11" width="11.08984375" bestFit="1" customWidth="1"/>
    <col min="12" max="12" width="11.36328125" bestFit="1" customWidth="1"/>
    <col min="13" max="13" width="9.1796875" bestFit="1" customWidth="1"/>
    <col min="14" max="14" width="8.81640625" bestFit="1" customWidth="1"/>
    <col min="15" max="15" width="11.08984375" bestFit="1" customWidth="1"/>
    <col min="16" max="16" width="6.54296875" bestFit="1" customWidth="1"/>
    <col min="17" max="17" width="6.36328125" bestFit="1" customWidth="1"/>
    <col min="18" max="18" width="6" bestFit="1" customWidth="1"/>
    <col min="19" max="20" width="5.26953125" bestFit="1" customWidth="1"/>
    <col min="21" max="21" width="9.26953125" bestFit="1" customWidth="1"/>
    <col min="22" max="22" width="5.26953125" bestFit="1" customWidth="1"/>
    <col min="23" max="23" width="8.26953125" bestFit="1" customWidth="1"/>
    <col min="24" max="24" width="6.36328125" bestFit="1" customWidth="1"/>
    <col min="25" max="25" width="8.1796875" bestFit="1" customWidth="1"/>
    <col min="26" max="26" width="5.26953125" bestFit="1" customWidth="1"/>
    <col min="27" max="29" width="4.1796875" bestFit="1" customWidth="1"/>
    <col min="30" max="31" width="5.26953125" bestFit="1" customWidth="1"/>
    <col min="32" max="32" width="4.7265625" bestFit="1" customWidth="1"/>
    <col min="33" max="33" width="5.26953125" bestFit="1" customWidth="1"/>
    <col min="34" max="34" width="6.36328125" bestFit="1" customWidth="1"/>
    <col min="35" max="35" width="8.1796875" bestFit="1" customWidth="1"/>
    <col min="36" max="36" width="44.1796875" bestFit="1" customWidth="1"/>
    <col min="37" max="37" width="11.81640625" bestFit="1" customWidth="1"/>
  </cols>
  <sheetData>
    <row r="1" spans="1:36" x14ac:dyDescent="0.35">
      <c r="A1" s="2" t="s">
        <v>9</v>
      </c>
      <c r="B1" s="2" t="s">
        <v>10</v>
      </c>
      <c r="C1" s="2" t="s">
        <v>11</v>
      </c>
      <c r="D1" s="3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40</v>
      </c>
      <c r="Q1" s="2" t="s">
        <v>5</v>
      </c>
      <c r="R1" s="2" t="s">
        <v>41</v>
      </c>
      <c r="S1" s="2" t="s">
        <v>19</v>
      </c>
      <c r="T1" s="2" t="s">
        <v>42</v>
      </c>
      <c r="U1" s="2" t="s">
        <v>20</v>
      </c>
      <c r="V1" s="2" t="s">
        <v>43</v>
      </c>
      <c r="W1" s="2" t="s">
        <v>21</v>
      </c>
      <c r="X1" s="2" t="s">
        <v>44</v>
      </c>
      <c r="Y1" s="2" t="s">
        <v>22</v>
      </c>
      <c r="Z1" s="2" t="s">
        <v>25</v>
      </c>
      <c r="AA1" s="2" t="s">
        <v>23</v>
      </c>
      <c r="AB1" s="2" t="s">
        <v>37</v>
      </c>
      <c r="AC1" s="2" t="s">
        <v>6</v>
      </c>
      <c r="AD1" s="2" t="s">
        <v>24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7</v>
      </c>
      <c r="AJ1" s="2" t="s">
        <v>8</v>
      </c>
    </row>
    <row r="2" spans="1:36" ht="29" x14ac:dyDescent="0.35">
      <c r="A2" s="1" t="s">
        <v>26</v>
      </c>
      <c r="B2" s="1" t="s">
        <v>27</v>
      </c>
      <c r="C2" s="6" t="s">
        <v>38</v>
      </c>
      <c r="D2" s="4" t="s">
        <v>32</v>
      </c>
      <c r="E2" t="s">
        <v>34</v>
      </c>
      <c r="F2" t="s">
        <v>35</v>
      </c>
      <c r="G2" s="5">
        <f>VLOOKUP(A2,[1]Payment!$A$2:$G$28,5,0)</f>
        <v>62442668281</v>
      </c>
      <c r="H2" t="str">
        <f>VLOOKUP(A2,[1]Payment!$A$2:$G$28,6,0)</f>
        <v>SBIN0020176</v>
      </c>
      <c r="I2" s="5">
        <v>102317571939</v>
      </c>
      <c r="K2" s="10" t="s">
        <v>36</v>
      </c>
      <c r="L2" s="6" t="s">
        <v>39</v>
      </c>
      <c r="M2">
        <v>30</v>
      </c>
      <c r="N2">
        <v>0</v>
      </c>
      <c r="O2" s="10" t="s">
        <v>36</v>
      </c>
      <c r="P2" s="7">
        <v>11500</v>
      </c>
      <c r="Q2" s="8">
        <v>11129</v>
      </c>
      <c r="R2" s="8">
        <v>5750</v>
      </c>
      <c r="S2" s="8">
        <v>5565</v>
      </c>
      <c r="T2" s="9">
        <v>1600</v>
      </c>
      <c r="U2" s="8">
        <v>1548</v>
      </c>
      <c r="V2" s="8">
        <v>2279</v>
      </c>
      <c r="W2" s="8">
        <v>2188</v>
      </c>
      <c r="X2" s="8">
        <v>21129</v>
      </c>
      <c r="Y2" s="8">
        <v>20430</v>
      </c>
      <c r="Z2" s="8">
        <v>1335</v>
      </c>
      <c r="AA2" s="8">
        <v>150</v>
      </c>
      <c r="AB2" s="8">
        <v>153</v>
      </c>
      <c r="AC2" s="8">
        <v>0</v>
      </c>
      <c r="AD2" s="8">
        <v>1638</v>
      </c>
      <c r="AE2" s="8">
        <v>1335</v>
      </c>
      <c r="AF2" s="8">
        <v>535</v>
      </c>
      <c r="AG2" s="8">
        <v>1871</v>
      </c>
      <c r="AH2" s="8">
        <f>X2+AG2</f>
        <v>23000</v>
      </c>
      <c r="AI2" s="8">
        <v>18792</v>
      </c>
      <c r="AJ2" t="str">
        <f t="shared" ref="AJ2:AJ4" si="0">CHOOSE(--LEFT(TEXT(AI2,"000000.00"))+1,,"One","Two","Three","Four","Five","Six","Seven","Eight","Nine")&amp;IF(--LEFT(TEXT(AI2,"000000.00"))=0,""," Lakh ")&amp;IF(--MID(TEXT(AI2,"000000.00"),2,1)&lt;&gt;1,CHOOSE(--MID(TEXT(AI2,"000000.00"),2,1)+1,,"","Twenty ","Thirty ","Forty ","Fifty ","Sixty ","Seventy ","Eighty ","Ninety "),"")&amp;IF(--MID(TEXT(AI2,"000000.00"),2,1)&lt;&gt;1,CHOOSE(--MID(TEXT(AI2,"000000.00"),3,1)+1,,"One","Two","Three","Four","Five","Six","Seven","Eight","Nine"),CHOOSE(--MID(TEXT(AI2,"000000.00"),3,1)+1,"Ten","Eleven","Twelve","Thirteen","Fourteen","Fifteen","Sixteen","Seventeen","Eighteen","Nineteen"))&amp;IF((--MID(TEXT(AI2,"000000.00"),2,1)+--MID(TEXT(AI2,"000000.00"),3,1))=0,""," Thousand ")&amp;CHOOSE(--MID(TEXT(AI2,"000000.00"),4,1)+1,,"One","Two","Three","Four","Five","Six","Seven","Eight","Nine")&amp;IF(--MID(TEXT(AI2,"000000.00"),4,1)=0,"",IF(AND(--MID(TEXT(AI2,"000000.00"),5,1)=0,--MID(TEXT(AI2,"000000.00"),6,1)=0)," Hundred"," Hundred and "))&amp;IF(--MID(TEXT(AI2,"000000.00"),5,1)&lt;&gt;1,CHOOSE(--MID(TEXT(AI2,"000000.00"),5,1)+1,,"","Twenty ","Thirty ","Forty ","Fifty ","Sixty ","Seventy ","Eighty ","Ninety "),"")&amp;IF(--MID(TEXT(AI2,"000000.00"),5,1)&lt;&gt;1,CHOOSE(--MID(TEXT(AI2,"000000.00"),6,1)+1,,"One","Two","Three","Four","Five","Six","Seven","Eight","Nine"),CHOOSE(--MID(TEXT(AI2,"000000.00"),6,1)+1,"Ten","Eleven","Twelve","Thirteen","Fourteen","Fifteen","Sixteen","Seventeen","Eighteen","Nineteen"))</f>
        <v>Eighteen Thousand Seven Hundred and Ninety Two</v>
      </c>
    </row>
    <row r="3" spans="1:36" ht="29" x14ac:dyDescent="0.35">
      <c r="A3" s="1" t="s">
        <v>28</v>
      </c>
      <c r="B3" s="1" t="s">
        <v>29</v>
      </c>
      <c r="C3" s="6" t="s">
        <v>38</v>
      </c>
      <c r="D3" s="4" t="s">
        <v>33</v>
      </c>
      <c r="E3" t="s">
        <v>34</v>
      </c>
      <c r="F3" t="s">
        <v>35</v>
      </c>
      <c r="G3" s="5">
        <f>VLOOKUP(A3,[1]Payment!$A$2:$G$28,5,0)</f>
        <v>9147600708</v>
      </c>
      <c r="H3" t="str">
        <f>VLOOKUP(A3,[1]Payment!$A$2:$G$28,6,0)</f>
        <v>KKBK0007474</v>
      </c>
      <c r="I3" s="5">
        <v>102317792928</v>
      </c>
      <c r="K3" s="10" t="s">
        <v>36</v>
      </c>
      <c r="L3" s="6" t="s">
        <v>39</v>
      </c>
      <c r="M3">
        <v>30</v>
      </c>
      <c r="N3">
        <v>0</v>
      </c>
      <c r="O3" s="10" t="s">
        <v>36</v>
      </c>
      <c r="P3" s="7">
        <v>7500</v>
      </c>
      <c r="Q3" s="8">
        <v>7258</v>
      </c>
      <c r="R3" s="8">
        <v>3750</v>
      </c>
      <c r="S3" s="8">
        <v>3629</v>
      </c>
      <c r="T3" s="9">
        <v>1600</v>
      </c>
      <c r="U3" s="8">
        <v>1548</v>
      </c>
      <c r="V3" s="8">
        <v>930</v>
      </c>
      <c r="W3" s="8">
        <v>889</v>
      </c>
      <c r="X3" s="8">
        <v>13780</v>
      </c>
      <c r="Y3" s="8">
        <v>13324</v>
      </c>
      <c r="Z3" s="8">
        <v>871</v>
      </c>
      <c r="AA3" s="8">
        <v>150</v>
      </c>
      <c r="AB3" s="8">
        <v>100</v>
      </c>
      <c r="AC3" s="8">
        <v>0</v>
      </c>
      <c r="AD3" s="8">
        <v>1121</v>
      </c>
      <c r="AE3" s="8">
        <v>871</v>
      </c>
      <c r="AF3" s="8">
        <v>349</v>
      </c>
      <c r="AG3" s="8">
        <v>1220</v>
      </c>
      <c r="AH3" s="8">
        <f>X3+AG3</f>
        <v>15000</v>
      </c>
      <c r="AI3" s="8">
        <v>12203</v>
      </c>
      <c r="AJ3" t="str">
        <f t="shared" si="0"/>
        <v>Twelve Thousand Two Hundred and Three</v>
      </c>
    </row>
    <row r="4" spans="1:36" ht="29" x14ac:dyDescent="0.35">
      <c r="A4" s="1" t="s">
        <v>30</v>
      </c>
      <c r="B4" s="1" t="s">
        <v>31</v>
      </c>
      <c r="C4" s="6" t="s">
        <v>38</v>
      </c>
      <c r="D4" s="4" t="s">
        <v>32</v>
      </c>
      <c r="E4" t="s">
        <v>34</v>
      </c>
      <c r="F4" t="s">
        <v>35</v>
      </c>
      <c r="G4" s="5">
        <f>VLOOKUP(A4,[1]Payment!$A$2:$G$28,5,0)</f>
        <v>37182972098</v>
      </c>
      <c r="H4" t="str">
        <f>VLOOKUP(A4,[1]Payment!$A$2:$G$28,6,0)</f>
        <v>SBIN0008054</v>
      </c>
      <c r="I4" s="5">
        <v>102213700679</v>
      </c>
      <c r="K4" s="10" t="s">
        <v>36</v>
      </c>
      <c r="L4" s="6" t="s">
        <v>39</v>
      </c>
      <c r="M4">
        <v>30</v>
      </c>
      <c r="N4">
        <v>0</v>
      </c>
      <c r="O4" s="10" t="s">
        <v>36</v>
      </c>
      <c r="P4" s="7">
        <v>11500</v>
      </c>
      <c r="Q4" s="8">
        <v>11129</v>
      </c>
      <c r="R4" s="8">
        <v>5750</v>
      </c>
      <c r="S4" s="8">
        <v>5565</v>
      </c>
      <c r="T4" s="9">
        <v>1600</v>
      </c>
      <c r="U4" s="8">
        <v>1548</v>
      </c>
      <c r="V4" s="8">
        <v>2279</v>
      </c>
      <c r="W4" s="8">
        <v>2188</v>
      </c>
      <c r="X4" s="8">
        <v>21129</v>
      </c>
      <c r="Y4" s="8">
        <v>20430</v>
      </c>
      <c r="Z4" s="8">
        <v>1335</v>
      </c>
      <c r="AA4" s="8">
        <v>150</v>
      </c>
      <c r="AB4" s="8">
        <v>153</v>
      </c>
      <c r="AC4" s="8">
        <v>0</v>
      </c>
      <c r="AD4" s="8">
        <v>1638</v>
      </c>
      <c r="AE4" s="8">
        <v>1335</v>
      </c>
      <c r="AF4" s="8">
        <v>535</v>
      </c>
      <c r="AG4" s="8">
        <v>1871</v>
      </c>
      <c r="AH4" s="8">
        <f>X4+AG4</f>
        <v>23000</v>
      </c>
      <c r="AI4" s="8">
        <v>18792</v>
      </c>
      <c r="AJ4" t="str">
        <f t="shared" si="0"/>
        <v>Eighteen Thousand Seven Hundred and Ninety Two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2026-04-01T12:23:58Z</dcterms:modified>
</cp:coreProperties>
</file>