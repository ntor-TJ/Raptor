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March\"/>
    </mc:Choice>
  </mc:AlternateContent>
  <xr:revisionPtr revIDLastSave="0" documentId="13_ncr:1_{3CDA0758-41D6-47ED-897B-EE7E8BB735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" l="1"/>
  <c r="O4" i="1"/>
  <c r="N4" i="1"/>
  <c r="U5" i="1" l="1"/>
  <c r="U4" i="1"/>
  <c r="U3" i="1"/>
  <c r="U2" i="1"/>
  <c r="R5" i="1"/>
  <c r="R4" i="1"/>
  <c r="R3" i="1"/>
  <c r="R2" i="1"/>
  <c r="W4" i="1"/>
  <c r="W3" i="1" l="1"/>
  <c r="W5" i="1"/>
  <c r="W2" i="1"/>
</calcChain>
</file>

<file path=xl/sharedStrings.xml><?xml version="1.0" encoding="utf-8"?>
<sst xmlns="http://schemas.openxmlformats.org/spreadsheetml/2006/main" count="63" uniqueCount="47">
  <si>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</si>
  <si>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</si>
  <si>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</si>
  <si>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</si>
  <si>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</si>
  <si>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</si>
  <si>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</si>
  <si>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</si>
  <si>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</si>
  <si>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</si>
  <si>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</si>
  <si>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</si>
  <si>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</si>
  <si>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</si>
  <si>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</si>
  <si>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</si>
  <si>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</si>
  <si>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HRA</t>
  </si>
  <si>
    <t>Special Al</t>
  </si>
  <si>
    <t>Other Al</t>
  </si>
  <si>
    <t>Gross Ea</t>
  </si>
  <si>
    <t>PT</t>
  </si>
  <si>
    <t>Ded</t>
  </si>
  <si>
    <t>AGS26004</t>
  </si>
  <si>
    <t>Ande Sharath Chandra</t>
  </si>
  <si>
    <t>AGS26005</t>
  </si>
  <si>
    <t>Tanakala Janardhan</t>
  </si>
  <si>
    <t>AGS26024</t>
  </si>
  <si>
    <t>Priya Darshini Pola</t>
  </si>
  <si>
    <t>AGS26039</t>
  </si>
  <si>
    <t>Esther Deva Priya</t>
  </si>
  <si>
    <t>HDFC0001042</t>
  </si>
  <si>
    <t>UBIN0815471</t>
  </si>
  <si>
    <t>ICIC0007703</t>
  </si>
  <si>
    <t>HDFC0000545</t>
  </si>
  <si>
    <t>March 2026</t>
  </si>
  <si>
    <t>Operations</t>
  </si>
  <si>
    <t>Human Resources</t>
  </si>
  <si>
    <t>Hyderabad</t>
  </si>
  <si>
    <t>02 Feb 2026</t>
  </si>
  <si>
    <t>19 Feb 2026</t>
  </si>
  <si>
    <t>11 Mar 2026</t>
  </si>
  <si>
    <t>Training Manager – Business Operations &amp; Analytics</t>
  </si>
  <si>
    <t>Head HR</t>
  </si>
  <si>
    <t>HR Executive - Talent Acquition</t>
  </si>
  <si>
    <t>HR Admin &amp; Operations Manager</t>
  </si>
  <si>
    <t>02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</si>
</sst>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09]dd\ mmm\ 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49" fontId="0" fillId="0" borderId="0" xfId="0" quotePrefix="1" applyNumberFormat="1"/>
    <xf numFmtId="0" fontId="0" fillId="0" borderId="0" xfId="0" applyAlignment="1">
      <alignment vertical="center" wrapText="1"/>
    </xf>
    <xf numFmtId="164" fontId="2" fillId="0" borderId="0" xfId="0" quotePrefix="1" applyNumberFormat="1" applyFont="1"/>
    <xf numFmtId="43" fontId="0" fillId="0" borderId="0" xfId="1" applyFont="1" applyAlignment="1">
      <alignment horizontal="left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topLeftCell="J1" workbookViewId="0">
      <selection activeCell="Q10" sqref="Q10"/>
    </sheetView>
  </sheetViews>
  <sheetFormatPr defaultColWidth="11.90625" defaultRowHeight="14.5" x14ac:dyDescent="0.35"/>
  <cols>
    <col min="1" max="1" width="9.1796875" bestFit="1" customWidth="1"/>
    <col min="2" max="2" width="26.7265625" bestFit="1" customWidth="1"/>
    <col min="3" max="3" width="10.7265625" bestFit="1" customWidth="1"/>
    <col min="4" max="4" width="44.6328125" bestFit="1" customWidth="1"/>
    <col min="5" max="5" width="15.90625" bestFit="1" customWidth="1"/>
    <col min="6" max="6" width="10" bestFit="1" customWidth="1"/>
    <col min="7" max="7" width="15.90625" bestFit="1" customWidth="1"/>
    <col min="8" max="8" width="12.36328125" bestFit="1" customWidth="1"/>
    <col min="9" max="9" width="10.6328125" bestFit="1" customWidth="1"/>
    <col min="10" max="10" width="10.453125" bestFit="1" customWidth="1"/>
    <col min="11" max="11" width="8.81640625" bestFit="1" customWidth="1"/>
    <col min="12" max="12" width="8.453125" bestFit="1" customWidth="1"/>
    <col min="13" max="13" width="10.6328125" bestFit="1" customWidth="1"/>
    <col min="14" max="15" width="9.7265625" bestFit="1" customWidth="1"/>
    <col min="16" max="16" width="8.7265625" bestFit="1" customWidth="1"/>
    <col min="17" max="18" width="9.7265625" bestFit="1" customWidth="1"/>
    <col min="19" max="19" width="7.26953125" bestFit="1" customWidth="1"/>
    <col min="20" max="20" width="4.36328125" bestFit="1" customWidth="1"/>
    <col min="21" max="21" width="7.26953125" bestFit="1" customWidth="1"/>
    <col min="22" max="22" width="9.7265625" bestFit="1" customWidth="1"/>
    <col min="23" max="23" width="48.08984375" bestFit="1" customWidth="1"/>
  </cols>
  <sheetData>
    <row r="1" spans="1:23" x14ac:dyDescent="0.35">
      <c r="A1" t="s">
        <v>9</v>
      </c>
      <c r="B1" t="s">
        <v>10</v>
      </c>
      <c r="C1" t="s">
        <v>11</v>
      </c>
      <c r="D1" s="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6</v>
      </c>
      <c r="U1" t="s">
        <v>22</v>
      </c>
      <c r="V1" t="s">
        <v>7</v>
      </c>
      <c r="W1" t="s">
        <v>8</v>
      </c>
    </row>
    <row r="2" spans="1:23" x14ac:dyDescent="0.35">
      <c r="A2" s="2" t="s">
        <v>23</v>
      </c>
      <c r="B2" t="s">
        <v>24</v>
      </c>
      <c r="C2" s="6" t="s">
        <v>39</v>
      </c>
      <c r="D2" t="s">
        <v>45</v>
      </c>
      <c r="E2" t="s">
        <v>36</v>
      </c>
      <c r="F2" t="s">
        <v>38</v>
      </c>
      <c r="G2" s="3">
        <v>50100677371816</v>
      </c>
      <c r="H2" t="s">
        <v>31</v>
      </c>
      <c r="I2" s="4" t="s">
        <v>35</v>
      </c>
      <c r="J2" s="6" t="s">
        <v>46</v>
      </c>
      <c r="K2">
        <v>31</v>
      </c>
      <c r="L2">
        <v>0</v>
      </c>
      <c r="M2" s="4" t="s">
        <v>35</v>
      </c>
      <c r="N2" s="7">
        <v>40000</v>
      </c>
      <c r="O2" s="7">
        <v>20000</v>
      </c>
      <c r="P2" s="7">
        <v>1600</v>
      </c>
      <c r="Q2" s="7">
        <v>18400</v>
      </c>
      <c r="R2" s="8">
        <f>S2+V2</f>
        <v>80000</v>
      </c>
      <c r="S2" s="8">
        <v>200</v>
      </c>
      <c r="T2" s="8">
        <v>0</v>
      </c>
      <c r="U2" s="8">
        <f>S2+T2</f>
        <v>200</v>
      </c>
      <c r="V2" s="8">
        <v>79800</v>
      </c>
      <c r="W2" t="str">
        <f>CHOOSE(--LEFT(TEXT(V2,"000000.00"))+1,,"One","Two","Three","Four","Five","Six","Seven","Eight","Nine")&amp;IF(--LEFT(TEXT(V2,"000000.00"))=0,""," Lakh ")&amp;IF(--MID(TEXT(V2,"000000.00"),2,1)&lt;&gt;1,CHOOSE(--MID(TEXT(V2,"000000.00"),2,1)+1,,"","Twenty ","Thirty ","Forty ","Fifty ","Sixty ","Seventy ","Eighty ","Ninety "),"")&amp;IF(--MID(TEXT(V2,"000000.00"),2,1)&lt;&gt;1,CHOOSE(--MID(TEXT(V2,"000000.00"),3,1)+1,,"One","Two","Three","Four","Five","Six","Seven","Eight","Nine"),CHOOSE(--MID(TEXT(V2,"000000.00"),3,1)+1,"Ten","Eleven","Twelve","Thirteen","Fourteen","Fifteen","Sixteen","Seventeen","Eighteen","Nineteen"))&amp;IF((--MID(TEXT(V2,"000000.00"),2,1)+--MID(TEXT(V2,"000000.00"),3,1))=0,""," Thousand ")&amp;CHOOSE(--MID(TEXT(V2,"000000.00"),4,1)+1,,"One","Two","Three","Four","Five","Six","Seven","Eight","Nine")&amp;IF(--MID(TEXT(V2,"000000.00"),4,1)=0,"",IF(AND(--MID(TEXT(V2,"000000.00"),5,1)=0,--MID(TEXT(V2,"000000.00"),6,1)=0)," Hundred"," Hundred and "))&amp;IF(--MID(TEXT(V2,"000000.00"),5,1)&lt;&gt;1,CHOOSE(--MID(TEXT(V2,"000000.00"),5,1)+1,,"","Twenty ","Thirty ","Forty ","Fifty ","Sixty ","Seventy ","Eighty ","Ninety "),"")&amp;IF(--MID(TEXT(V2,"000000.00"),5,1)&lt;&gt;1,CHOOSE(--MID(TEXT(V2,"000000.00"),6,1)+1,,"One","Two","Three","Four","Five","Six","Seven","Eight","Nine"),CHOOSE(--MID(TEXT(V2,"000000.00"),6,1)+1,"Ten","Eleven","Twelve","Thirteen","Fourteen","Fifteen","Sixteen","Seventeen","Eighteen","Nineteen"))</f>
        <v>Seventy Nine Thousand Eight Hundred</v>
      </c>
    </row>
    <row r="3" spans="1:23" x14ac:dyDescent="0.35">
      <c r="A3" s="2" t="s">
        <v>25</v>
      </c>
      <c r="B3" t="s">
        <v>26</v>
      </c>
      <c r="C3" s="6" t="s">
        <v>39</v>
      </c>
      <c r="D3" t="s">
        <v>42</v>
      </c>
      <c r="E3" t="s">
        <v>36</v>
      </c>
      <c r="F3" t="s">
        <v>38</v>
      </c>
      <c r="G3" s="3">
        <v>154710100018477</v>
      </c>
      <c r="H3" t="s">
        <v>32</v>
      </c>
      <c r="I3" s="4" t="s">
        <v>35</v>
      </c>
      <c r="J3" s="6" t="s">
        <v>46</v>
      </c>
      <c r="K3">
        <v>31</v>
      </c>
      <c r="L3">
        <v>0</v>
      </c>
      <c r="M3" s="4" t="s">
        <v>35</v>
      </c>
      <c r="N3" s="7">
        <v>35000</v>
      </c>
      <c r="O3" s="7">
        <v>17500</v>
      </c>
      <c r="P3" s="7">
        <v>1600</v>
      </c>
      <c r="Q3" s="7">
        <v>15900</v>
      </c>
      <c r="R3" s="8">
        <f>S3+V3</f>
        <v>70000</v>
      </c>
      <c r="S3" s="8">
        <v>200</v>
      </c>
      <c r="T3" s="8">
        <v>0</v>
      </c>
      <c r="U3" s="8">
        <f>S3+T3</f>
        <v>200</v>
      </c>
      <c r="V3" s="8">
        <v>69800</v>
      </c>
      <c r="W3" t="str">
        <f t="shared" ref="W3:W4" si="0">CHOOSE(--LEFT(TEXT(V3,"000000.00"))+1,,"One","Two","Three","Four","Five","Six","Seven","Eight","Nine")&amp;IF(--LEFT(TEXT(V3,"000000.00"))=0,""," Lakh ")&amp;IF(--MID(TEXT(V3,"000000.00"),2,1)&lt;&gt;1,CHOOSE(--MID(TEXT(V3,"000000.00"),2,1)+1,,"","Twenty ","Thirty ","Forty ","Fifty ","Sixty ","Seventy ","Eighty ","Ninety "),"")&amp;IF(--MID(TEXT(V3,"000000.00"),2,1)&lt;&gt;1,CHOOSE(--MID(TEXT(V3,"000000.00"),3,1)+1,,"One","Two","Three","Four","Five","Six","Seven","Eight","Nine"),CHOOSE(--MID(TEXT(V3,"000000.00"),3,1)+1,"Ten","Eleven","Twelve","Thirteen","Fourteen","Fifteen","Sixteen","Seventeen","Eighteen","Nineteen"))&amp;IF((--MID(TEXT(V3,"000000.00"),2,1)+--MID(TEXT(V3,"000000.00"),3,1))=0,""," Thousand ")&amp;CHOOSE(--MID(TEXT(V3,"000000.00"),4,1)+1,,"One","Two","Three","Four","Five","Six","Seven","Eight","Nine")&amp;IF(--MID(TEXT(V3,"000000.00"),4,1)=0,"",IF(AND(--MID(TEXT(V3,"000000.00"),5,1)=0,--MID(TEXT(V3,"000000.00"),6,1)=0)," Hundred"," Hundred and "))&amp;IF(--MID(TEXT(V3,"000000.00"),5,1)&lt;&gt;1,CHOOSE(--MID(TEXT(V3,"000000.00"),5,1)+1,,"","Twenty ","Thirty ","Forty ","Fifty ","Sixty ","Seventy ","Eighty ","Ninety "),"")&amp;IF(--MID(TEXT(V3,"000000.00"),5,1)&lt;&gt;1,CHOOSE(--MID(TEXT(V3,"000000.00"),6,1)+1,,"One","Two","Three","Four","Five","Six","Seven","Eight","Nine"),CHOOSE(--MID(TEXT(V3,"000000.00"),6,1)+1,"Ten","Eleven","Twelve","Thirteen","Fourteen","Fifteen","Sixteen","Seventeen","Eighteen","Nineteen"))</f>
        <v>Sixty Nine Thousand Eight Hundred</v>
      </c>
    </row>
    <row r="4" spans="1:23" x14ac:dyDescent="0.35">
      <c r="A4" s="2" t="s">
        <v>27</v>
      </c>
      <c r="B4" t="s">
        <v>28</v>
      </c>
      <c r="C4" s="6" t="s">
        <v>40</v>
      </c>
      <c r="D4" t="s">
        <v>43</v>
      </c>
      <c r="E4" t="s">
        <v>37</v>
      </c>
      <c r="F4" t="s">
        <v>38</v>
      </c>
      <c r="G4" s="3">
        <v>770301501355</v>
      </c>
      <c r="H4" t="s">
        <v>33</v>
      </c>
      <c r="I4" s="4" t="s">
        <v>35</v>
      </c>
      <c r="J4" s="6" t="s">
        <v>46</v>
      </c>
      <c r="K4">
        <v>31</v>
      </c>
      <c r="L4">
        <v>0</v>
      </c>
      <c r="M4" s="4" t="s">
        <v>35</v>
      </c>
      <c r="N4" s="7">
        <f>R4/2</f>
        <v>40000</v>
      </c>
      <c r="O4" s="7">
        <f>N4/2</f>
        <v>20000</v>
      </c>
      <c r="P4" s="7">
        <v>1600</v>
      </c>
      <c r="Q4" s="7">
        <f>R4-N4-O4-P4</f>
        <v>18400</v>
      </c>
      <c r="R4" s="8">
        <f>S4+V4</f>
        <v>80000</v>
      </c>
      <c r="S4" s="8">
        <v>200</v>
      </c>
      <c r="T4" s="8">
        <v>0</v>
      </c>
      <c r="U4" s="8">
        <f>S4+T4</f>
        <v>200</v>
      </c>
      <c r="V4" s="8">
        <v>79800</v>
      </c>
      <c r="W4" t="str">
        <f t="shared" si="0"/>
        <v>Seventy Nine Thousand Eight Hundred</v>
      </c>
    </row>
    <row r="5" spans="1:23" x14ac:dyDescent="0.35">
      <c r="A5" s="5" t="s">
        <v>29</v>
      </c>
      <c r="B5" t="s">
        <v>30</v>
      </c>
      <c r="C5" s="6" t="s">
        <v>41</v>
      </c>
      <c r="D5" t="s">
        <v>44</v>
      </c>
      <c r="E5" t="s">
        <v>37</v>
      </c>
      <c r="F5" t="s">
        <v>38</v>
      </c>
      <c r="G5" s="3">
        <v>50100743220366</v>
      </c>
      <c r="H5" s="3" t="s">
        <v>34</v>
      </c>
      <c r="I5" s="4" t="s">
        <v>35</v>
      </c>
      <c r="J5" s="6" t="s">
        <v>46</v>
      </c>
      <c r="K5">
        <v>20</v>
      </c>
      <c r="L5">
        <v>0</v>
      </c>
      <c r="M5" s="4" t="s">
        <v>35</v>
      </c>
      <c r="N5" s="7">
        <v>6774.1935483870966</v>
      </c>
      <c r="O5" s="7">
        <v>3387.0967741935483</v>
      </c>
      <c r="P5" s="7">
        <v>1600</v>
      </c>
      <c r="Q5" s="7">
        <v>1787.0967741935483</v>
      </c>
      <c r="R5" s="8">
        <f>S5+V5</f>
        <v>13548.387096774193</v>
      </c>
      <c r="S5" s="8">
        <v>200</v>
      </c>
      <c r="T5" s="8">
        <v>0</v>
      </c>
      <c r="U5" s="8">
        <f>S5+T5</f>
        <v>200</v>
      </c>
      <c r="V5" s="8">
        <v>13348.387096774193</v>
      </c>
      <c r="W5" t="str">
        <f>CHOOSE(--LEFT(TEXT(V4,"000000.00"))+1,,"One","Two","Three","Four","Five","Six","Seven","Eight","Nine")&amp;IF(--LEFT(TEXT(V4,"000000.00"))=0,""," Lakh ")&amp;IF(--MID(TEXT(V4,"000000.00"),2,1)&lt;&gt;1,CHOOSE(--MID(TEXT(V4,"000000.00"),2,1)+1,,"","Twenty ","Thirty ","Forty ","Fifty ","Sixty ","Seventy ","Eighty ","Ninety "),"")&amp;IF(--MID(TEXT(V4,"000000.00"),2,1)&lt;&gt;1,CHOOSE(--MID(TEXT(V4,"000000.00"),3,1)+1,,"One","Two","Three","Four","Five","Six","Seven","Eight","Nine"),CHOOSE(--MID(TEXT(V4,"000000.00"),3,1)+1,"Ten","Eleven","Twelve","Thirteen","Fourteen","Fifteen","Sixteen","Seventeen","Eighteen","Nineteen"))&amp;IF((--MID(TEXT(V4,"000000.00"),2,1)+--MID(TEXT(V4,"000000.00"),3,1))=0,""," Thousand ")&amp;CHOOSE(--MID(TEXT(V4,"000000.00"),4,1)+1,,"One","Two","Three","Four","Five","Six","Seven","Eight","Nine")&amp;IF(--MID(TEXT(V4,"000000.00"),4,1)=0,"",IF(AND(--MID(TEXT(V4,"000000.00"),5,1)=0,--MID(TEXT(V4,"000000.00"),6,1)=0)," Hundred"," Hundred and "))&amp;IF(--MID(TEXT(V4,"000000.00"),5,1)&lt;&gt;1,CHOOSE(--MID(TEXT(V4,"000000.00"),5,1)+1,,"","Twenty ","Thirty ","Forty ","Fifty ","Sixty ","Seventy ","Eighty ","Ninety "),"")&amp;IF(--MID(TEXT(V4,"000000.00"),5,1)&lt;&gt;1,CHOOSE(--MID(TEXT(V4,"000000.00"),6,1)+1,,"One","Two","Three","Four","Five","Six","Seven","Eight","Nine"),CHOOSE(--MID(TEXT(V4,"000000.00"),6,1)+1,"Ten","Eleven","Twelve","Thirteen","Fourteen","Fifteen","Sixteen","Seventeen","Eighteen","Nineteen"))</f>
        <v>Seventy Nine Thousand Eight Hundred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2026-03-30T10:20:44Z</dcterms:modified>
</cp:coreProperties>
</file>