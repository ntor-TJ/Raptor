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xiora\Downloads\"/>
    </mc:Choice>
  </mc:AlternateContent>
  <xr:revisionPtr revIDLastSave="0" documentId="13_ncr:1_{38C07C8B-08CF-47F7-9538-D3B00E2E4B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deral" sheetId="13" r:id="rId1"/>
    <sheet name="Non Fed" sheetId="14" r:id="rId2"/>
    <sheet name="Salaries_30042026" sheetId="7" state="hidden" r:id="rId3"/>
    <sheet name="Payments_30042026" sheetId="9" state="hidden" r:id="rId4"/>
    <sheet name="Payment" sheetId="2" state="hidden" r:id="rId5"/>
  </sheets>
  <definedNames>
    <definedName name="_xlnm._FilterDatabase" localSheetId="0" hidden="1">Federal!$A$1:$E$1</definedName>
    <definedName name="_xlnm._FilterDatabase" localSheetId="4" hidden="1">Payment!$A$1:$H$1</definedName>
    <definedName name="_xlnm._FilterDatabase" localSheetId="2" hidden="1">Salaries_30042026!$A$1:$H$46</definedName>
  </definedNames>
  <calcPr calcId="191029"/>
</workbook>
</file>

<file path=xl/calcChain.xml><?xml version="1.0" encoding="utf-8"?>
<calcChain xmlns="http://schemas.openxmlformats.org/spreadsheetml/2006/main">
  <c r="B52" i="13" l="1"/>
  <c r="B31" i="14"/>
  <c r="E8" i="9"/>
  <c r="E7" i="9"/>
  <c r="E6" i="9"/>
  <c r="E5" i="9"/>
  <c r="E4" i="9"/>
  <c r="E3" i="9"/>
  <c r="E12" i="9" s="1"/>
  <c r="D3" i="2" l="1"/>
  <c r="D2" i="7"/>
  <c r="D30" i="2"/>
  <c r="D28" i="7"/>
  <c r="D4" i="2"/>
  <c r="D3" i="7"/>
  <c r="D14" i="7"/>
  <c r="D15" i="2"/>
  <c r="D18" i="2"/>
  <c r="D17" i="7"/>
  <c r="D37" i="2" l="1"/>
  <c r="D46" i="7"/>
  <c r="D39" i="2"/>
  <c r="D37" i="7"/>
  <c r="D35" i="7"/>
  <c r="D43" i="2"/>
  <c r="D41" i="7"/>
  <c r="D24" i="2"/>
  <c r="D23" i="7"/>
  <c r="D38" i="2"/>
  <c r="D36" i="7"/>
  <c r="D45" i="2"/>
  <c r="D43" i="7"/>
  <c r="D8" i="2"/>
  <c r="D7" i="7"/>
  <c r="D2" i="2"/>
  <c r="D47" i="2" l="1"/>
  <c r="D38" i="7"/>
  <c r="D40" i="7"/>
  <c r="D48" i="2"/>
  <c r="D45" i="7"/>
  <c r="D36" i="2"/>
  <c r="D9" i="7"/>
  <c r="D42" i="2"/>
  <c r="D7" i="2"/>
  <c r="D15" i="7"/>
  <c r="D40" i="2"/>
  <c r="D10" i="7"/>
  <c r="D31" i="2"/>
  <c r="D29" i="7"/>
  <c r="D20" i="7"/>
  <c r="D21" i="2"/>
  <c r="D34" i="7"/>
  <c r="D28" i="2"/>
  <c r="D26" i="7"/>
  <c r="D41" i="2"/>
  <c r="D39" i="7"/>
  <c r="D26" i="2"/>
  <c r="D35" i="2"/>
  <c r="D33" i="7"/>
  <c r="D27" i="2"/>
  <c r="D25" i="7"/>
  <c r="D13" i="2"/>
  <c r="D12" i="7"/>
  <c r="D29" i="2" l="1"/>
  <c r="D27" i="7"/>
  <c r="D6" i="7"/>
  <c r="D19" i="7"/>
  <c r="D14" i="2"/>
  <c r="D30" i="7"/>
  <c r="D13" i="7"/>
  <c r="D11" i="2"/>
  <c r="D6" i="2"/>
  <c r="D44" i="2"/>
  <c r="D42" i="7"/>
  <c r="D31" i="7"/>
  <c r="D32" i="2"/>
  <c r="D33" i="2"/>
  <c r="D10" i="2"/>
  <c r="D20" i="2"/>
  <c r="D46" i="2"/>
  <c r="D44" i="7"/>
  <c r="D16" i="2"/>
  <c r="D25" i="2"/>
  <c r="D24" i="7"/>
  <c r="D23" i="2"/>
  <c r="D22" i="7"/>
  <c r="D9" i="2"/>
  <c r="D8" i="7"/>
  <c r="D5" i="2"/>
  <c r="D4" i="7"/>
  <c r="D5" i="7" l="1"/>
  <c r="D18" i="7"/>
  <c r="D19" i="2"/>
  <c r="D16" i="7"/>
  <c r="D21" i="7"/>
  <c r="D32" i="7"/>
  <c r="D22" i="2"/>
  <c r="D17" i="2"/>
  <c r="D34" i="2"/>
  <c r="D12" i="2"/>
  <c r="D11" i="7"/>
  <c r="D50" i="2" l="1"/>
  <c r="D48" i="7"/>
</calcChain>
</file>

<file path=xl/sharedStrings.xml><?xml version="1.0" encoding="utf-8"?>
<sst xmlns="http://schemas.openxmlformats.org/spreadsheetml/2006/main" count="685" uniqueCount="261">
  <si>
    <t>Employee Name</t>
  </si>
  <si>
    <t>Employee ID</t>
  </si>
  <si>
    <t>Net Salary Payable</t>
  </si>
  <si>
    <t>DOJ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</si>
  <si>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</si>
  <si>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</si>
  <si>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</si>
  <si>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</si>
  <si>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</si>
  <si>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</si>
  <si>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</si>
  <si>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</si>
  <si>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</si>
  <si>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</si>
  <si>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</si>
  <si>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</si>
  <si>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</si>
  <si>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</si>
  <si>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</si>
  <si>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</si>
  <si>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</si>
  <si>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</si>
  <si>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</si>
  <si>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</si>
  <si>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</si>
  <si>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</si>
  <si>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</si>
  <si>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</si>
  <si>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</si>
  <si>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</si>
  <si>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</si>
  <si>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</si>
  <si>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</si>
  <si>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</si>
  <si>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</si>
  <si>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</si>
  <si>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</si>
  <si>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</si>
  <si>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</si>
  <si>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</si>
  <si>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</si>
  <si>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</si>
  <si>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</si>
  <si>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</si>
  <si>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</si>
  <si>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</si>
  <si>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</si>
  <si>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</si>
  <si>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</si>
  <si>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</si>
  <si>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</si>
  <si>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</si>
  <si>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</si>
  <si>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</si>
  <si>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</si>
  <si>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</si>
  <si>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</si>
  <si>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</si>
  <si>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</si>
  <si>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</si>
  <si>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</si>
  <si>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</si>
  <si>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</si>
  <si>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</si>
  <si>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</si>
  <si>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</si>
  <si>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</si>
  <si>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</si>
  <si>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</si>
  <si>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</si>
  <si>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</si>
  <si>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</si>
  <si>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</si>
  <si>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</si>
  <si>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</si>
  <si>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</si>
  <si>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</si>
  <si>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</si>
  <si>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</si>
  <si>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</si>
  <si>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</si>
  <si>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</si>
  <si>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</si>
  <si>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</si>
  <si>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</si>
  <si>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</si>
  <si>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</si>
  <si>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</si>
  <si>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</si>
  <si>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</si>
  <si>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</si>
  <si>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</si>
  <si>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</si>
  <si>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</si>
  <si>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</si>
  <si>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</si>
  <si>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</si>
  <si>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</si>
  <si>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</si>
  <si>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</si>
  <si>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</si>
  <si>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</si>
  <si>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</si>
  <si>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</si>
  <si>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</si>
  <si>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</si>
  <si>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</si>
  <si>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</si>
  <si>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</si>
  <si>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</si>
  <si>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</si>
  <si>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</si>
  <si>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</si>
  <si>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</si>
  <si>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</si>
  <si>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</si>
  <si>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</si>
  <si>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</si>
  <si>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</si>
  <si>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</si>
  <si>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</si>
  <si>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</si>
  <si>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</si>
  <si>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</si>
  <si>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</si>
  <si>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</si>
  <si>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</si>
  <si>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</si>
  <si>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</si>
  <si>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</si>
  <si>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</si>
  <si>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</si>
  <si>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</si>
  <si>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</si>
  <si>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</si>
  <si>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</si>
  <si>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</si>
  <si>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</si>
  <si>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</si>
  <si>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</si>
  <si>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</si>
  <si>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</si>
  <si>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</si>
  <si>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</si>
  <si>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</si>
  <si>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</si>
  <si>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</si>
  <si>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</si>
  <si>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</si>
  <si>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</si>
  <si>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</si>
  <si>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</si>
  <si>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</si>
  <si>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</si>
  <si>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</si>
  <si>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</si>
  <si>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</si>
  <si>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</si>
  <si>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</si>
  <si>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</si>
  <si>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</si>
  <si>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</si>
  <si>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</si>
  <si>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</si>
  <si>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</si>
  <si>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</si>
  <si>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</si>
  <si>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</si>
  <si>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</si>
  <si>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</si>
  <si>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</si>
  <si>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</si>
  <si>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</si>
  <si>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</si>
  <si>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</si>
  <si>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</si>
  <si>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</si>
  <si>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</si>
  <si>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</si>
  <si>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</si>
  <si>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</si>
  <si>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</si>
  <si>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Account holder Name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</si>
  <si>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</si>
  <si>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</si>
  <si>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</si>
  <si>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</si>
  <si>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</si>
  <si>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</si>
  <si>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</si>
  <si>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</si>
  <si>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</si>
  <si>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</si>
  <si>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</si>
  <si>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</si>
  <si>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</si>
  <si>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</si>
  <si>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FDRL0001555</t>
  </si>
  <si>
    <t>HDFC0000485</t>
  </si>
  <si>
    <t>HDFC0000364</t>
  </si>
  <si>
    <t>ZOHO Corporation Private Limited</t>
  </si>
  <si>
    <t>HDFC0001225</t>
  </si>
  <si>
    <t xml:space="preserve">ODCET CONSULTANCY SERVICES PVT LTD
</t>
  </si>
  <si>
    <t>ODCET</t>
  </si>
  <si>
    <t>Indla Kiran Kumar</t>
  </si>
  <si>
    <t>K Tharun Kumar Reddy</t>
  </si>
  <si>
    <t>Bondada Jayanth</t>
  </si>
  <si>
    <t>Boddupalli Krishna Prasad</t>
  </si>
  <si>
    <t>Mohammad Sulthan</t>
  </si>
  <si>
    <t>Md Imran Khan</t>
  </si>
  <si>
    <t>Narmeta Srujanreddy</t>
  </si>
  <si>
    <t>Neetapalli Sreekanth Reddy</t>
  </si>
  <si>
    <t>Melath Ashwin</t>
  </si>
  <si>
    <t>Mohd Sameer</t>
  </si>
  <si>
    <t>Boya Indrasena Naidu</t>
  </si>
  <si>
    <t>Shaik Arif</t>
  </si>
  <si>
    <t>PUNB0181410</t>
  </si>
  <si>
    <t>Punjab National Bank</t>
  </si>
  <si>
    <t>SBIN0020248</t>
  </si>
  <si>
    <t>SBIN0020947</t>
  </si>
  <si>
    <t>Kalepu Vijay Kumar</t>
  </si>
  <si>
    <t xml:space="preserve">000801663119	</t>
  </si>
  <si>
    <t>FDRL0002352</t>
  </si>
  <si>
    <t>UBIN0822523</t>
  </si>
  <si>
    <t>1814100100000327</t>
  </si>
  <si>
    <t>Batta Jyotsna</t>
  </si>
  <si>
    <t>Kankanala Sravani</t>
  </si>
  <si>
    <t>Vadicharla Sandeep Kumar</t>
  </si>
  <si>
    <t>Thota Varsha</t>
  </si>
  <si>
    <t>Shaik Faiza</t>
  </si>
  <si>
    <t>Shaik Shaheen</t>
  </si>
  <si>
    <t>Guduru Subhanbee</t>
  </si>
  <si>
    <t>Yapakayala Sampath</t>
  </si>
  <si>
    <t>Shaik Akram</t>
  </si>
  <si>
    <t>Mesu Lion Kumar</t>
  </si>
  <si>
    <t>Bashaboina Srilatha</t>
  </si>
  <si>
    <t>Pothuraju Haritha</t>
  </si>
  <si>
    <t>Tirupathi Anusha</t>
  </si>
  <si>
    <t>Tepala Rajukumar</t>
  </si>
  <si>
    <t>FDRL0002324</t>
  </si>
  <si>
    <t>FDRL0001756</t>
  </si>
  <si>
    <t>FDRL0002457</t>
  </si>
  <si>
    <t>FDRL0002514</t>
  </si>
  <si>
    <t>FDRL0002371</t>
  </si>
  <si>
    <t>FDRL0001583</t>
  </si>
  <si>
    <t>FDRL0002478</t>
  </si>
  <si>
    <t>FDRL0001569</t>
  </si>
  <si>
    <t>Budhi Vamshi</t>
  </si>
  <si>
    <t>FDRL0002307</t>
  </si>
  <si>
    <t>UTIB0002158</t>
  </si>
  <si>
    <t>SBIN0063220</t>
  </si>
  <si>
    <t>SBIN0009047</t>
  </si>
  <si>
    <t>IDIB000H561</t>
  </si>
  <si>
    <t>SBIN0020884</t>
  </si>
  <si>
    <t>ICIC0006768</t>
  </si>
  <si>
    <t>indian bank</t>
  </si>
  <si>
    <t>ICICI BANK</t>
  </si>
  <si>
    <t>Puttathayamma</t>
  </si>
  <si>
    <t>dharna ahuja</t>
  </si>
  <si>
    <t>SIMEON ABRAHAM iniganti</t>
  </si>
  <si>
    <t>LUV AGRAWAL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</si>
</sst>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4009]dd\ mmm\ yy"/>
    <numFmt numFmtId="165" formatCode="0.00000000E+00"/>
    <numFmt numFmtId="166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0" fillId="2" borderId="1" xfId="0" applyFill="1" applyBorder="1" applyAlignment="1">
      <alignment wrapText="1"/>
    </xf>
    <xf numFmtId="1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5" fontId="6" fillId="0" borderId="1" xfId="0" applyNumberFormat="1" applyFont="1" applyBorder="1" applyAlignment="1">
      <alignment horizontal="left" vertical="top"/>
    </xf>
    <xf numFmtId="1" fontId="6" fillId="0" borderId="1" xfId="0" applyNumberFormat="1" applyFont="1" applyBorder="1"/>
    <xf numFmtId="0" fontId="6" fillId="0" borderId="1" xfId="0" applyFont="1" applyBorder="1"/>
    <xf numFmtId="1" fontId="0" fillId="2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5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left"/>
    </xf>
    <xf numFmtId="166" fontId="2" fillId="0" borderId="0" xfId="1" applyNumberFormat="1" applyFont="1"/>
    <xf numFmtId="0" fontId="2" fillId="0" borderId="1" xfId="0" applyFont="1" applyBorder="1" applyAlignment="1">
      <alignment wrapText="1"/>
    </xf>
    <xf numFmtId="166" fontId="2" fillId="0" borderId="2" xfId="1" applyNumberFormat="1" applyFont="1" applyBorder="1" applyAlignment="1">
      <alignment horizontal="left" vertical="center" wrapText="1" indent="1"/>
    </xf>
    <xf numFmtId="166" fontId="2" fillId="0" borderId="3" xfId="1" applyNumberFormat="1" applyFont="1" applyBorder="1" applyAlignment="1">
      <alignment horizontal="left" vertical="center" wrapText="1" indent="1"/>
    </xf>
    <xf numFmtId="166" fontId="2" fillId="0" borderId="4" xfId="1" applyNumberFormat="1" applyFont="1" applyBorder="1" applyAlignment="1">
      <alignment horizontal="left" vertical="center" wrapText="1" indent="1"/>
    </xf>
    <xf numFmtId="166" fontId="2" fillId="0" borderId="2" xfId="1" applyNumberFormat="1" applyFont="1" applyBorder="1" applyAlignment="1">
      <alignment horizontal="center"/>
    </xf>
    <xf numFmtId="166" fontId="2" fillId="0" borderId="3" xfId="1" applyNumberFormat="1" applyFont="1" applyBorder="1" applyAlignment="1">
      <alignment horizontal="center"/>
    </xf>
    <xf numFmtId="166" fontId="2" fillId="0" borderId="4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3F77-FDC0-40D1-85B5-0548FE8DF5F7}">
  <dimension ref="A1:E53"/>
  <sheetViews>
    <sheetView tabSelected="1" topLeftCell="A34" zoomScaleNormal="100" workbookViewId="0">
      <selection activeCell="I45" sqref="I45"/>
    </sheetView>
  </sheetViews>
  <sheetFormatPr defaultRowHeight="14.5" x14ac:dyDescent="0.35"/>
  <cols>
    <col min="1" max="1" width="24" customWidth="1"/>
    <col min="2" max="2" width="16.36328125" bestFit="1" customWidth="1"/>
    <col min="3" max="3" width="19.7265625" bestFit="1" customWidth="1"/>
    <col min="4" max="4" width="13.08984375" bestFit="1" customWidth="1"/>
    <col min="5" max="5" width="13.54296875" customWidth="1"/>
  </cols>
  <sheetData>
    <row r="1" spans="1:5" x14ac:dyDescent="0.35">
      <c r="A1" s="28" t="s">
        <v>0</v>
      </c>
      <c r="B1" s="28" t="s">
        <v>2</v>
      </c>
      <c r="C1" s="28" t="s">
        <v>7</v>
      </c>
      <c r="D1" s="28" t="s">
        <v>8</v>
      </c>
      <c r="E1" s="28" t="s">
        <v>10</v>
      </c>
    </row>
    <row r="2" spans="1:5" ht="14" customHeight="1" x14ac:dyDescent="0.35">
      <c r="A2" s="15" t="s">
        <v>71</v>
      </c>
      <c r="B2" s="15">
        <v>93975</v>
      </c>
      <c r="C2" s="17">
        <v>99980130961795</v>
      </c>
      <c r="D2" s="15" t="s">
        <v>197</v>
      </c>
      <c r="E2" s="15" t="s">
        <v>95</v>
      </c>
    </row>
    <row r="3" spans="1:5" ht="14" customHeight="1" x14ac:dyDescent="0.35">
      <c r="A3" s="15" t="s">
        <v>16</v>
      </c>
      <c r="B3" s="15">
        <v>69800</v>
      </c>
      <c r="C3" s="17">
        <v>99980130961985</v>
      </c>
      <c r="D3" s="15" t="s">
        <v>197</v>
      </c>
      <c r="E3" s="15" t="s">
        <v>95</v>
      </c>
    </row>
    <row r="4" spans="1:5" ht="14" customHeight="1" x14ac:dyDescent="0.35">
      <c r="A4" s="15" t="s">
        <v>17</v>
      </c>
      <c r="B4" s="15">
        <v>79800</v>
      </c>
      <c r="C4" s="17">
        <v>99980130963916</v>
      </c>
      <c r="D4" s="15" t="s">
        <v>197</v>
      </c>
      <c r="E4" s="15" t="s">
        <v>95</v>
      </c>
    </row>
    <row r="5" spans="1:5" ht="14" customHeight="1" x14ac:dyDescent="0.35">
      <c r="A5" s="15" t="s">
        <v>73</v>
      </c>
      <c r="B5" s="15">
        <v>19133</v>
      </c>
      <c r="C5" s="17">
        <v>99980130950434</v>
      </c>
      <c r="D5" s="15" t="s">
        <v>197</v>
      </c>
      <c r="E5" s="15" t="s">
        <v>95</v>
      </c>
    </row>
    <row r="6" spans="1:5" ht="14" customHeight="1" x14ac:dyDescent="0.35">
      <c r="A6" s="15" t="s">
        <v>238</v>
      </c>
      <c r="B6" s="15">
        <v>10000</v>
      </c>
      <c r="C6" s="17">
        <v>99980128938326</v>
      </c>
      <c r="D6" s="15" t="s">
        <v>197</v>
      </c>
      <c r="E6" s="15" t="s">
        <v>95</v>
      </c>
    </row>
    <row r="7" spans="1:5" ht="14" customHeight="1" x14ac:dyDescent="0.35">
      <c r="A7" s="15" t="s">
        <v>35</v>
      </c>
      <c r="B7" s="15">
        <v>54757</v>
      </c>
      <c r="C7" s="17">
        <v>99980130961993</v>
      </c>
      <c r="D7" s="15" t="s">
        <v>197</v>
      </c>
      <c r="E7" s="15" t="s">
        <v>95</v>
      </c>
    </row>
    <row r="8" spans="1:5" ht="14" customHeight="1" x14ac:dyDescent="0.35">
      <c r="A8" s="15" t="s">
        <v>37</v>
      </c>
      <c r="B8" s="15">
        <v>19487</v>
      </c>
      <c r="C8" s="17">
        <v>99980130961951</v>
      </c>
      <c r="D8" s="15" t="s">
        <v>197</v>
      </c>
      <c r="E8" s="15" t="s">
        <v>95</v>
      </c>
    </row>
    <row r="9" spans="1:5" ht="14" customHeight="1" x14ac:dyDescent="0.35">
      <c r="A9" s="15" t="s">
        <v>39</v>
      </c>
      <c r="B9" s="15">
        <v>44998</v>
      </c>
      <c r="C9" s="17">
        <v>77770116800885</v>
      </c>
      <c r="D9" s="15" t="s">
        <v>77</v>
      </c>
      <c r="E9" s="15" t="s">
        <v>95</v>
      </c>
    </row>
    <row r="10" spans="1:5" ht="14" customHeight="1" x14ac:dyDescent="0.35">
      <c r="A10" s="15" t="s">
        <v>41</v>
      </c>
      <c r="B10" s="15">
        <v>40118</v>
      </c>
      <c r="C10" s="17">
        <v>99980130963940</v>
      </c>
      <c r="D10" s="15" t="s">
        <v>197</v>
      </c>
      <c r="E10" s="15" t="s">
        <v>95</v>
      </c>
    </row>
    <row r="11" spans="1:5" ht="14" customHeight="1" x14ac:dyDescent="0.35">
      <c r="A11" s="15" t="s">
        <v>45</v>
      </c>
      <c r="B11" s="15">
        <v>38714</v>
      </c>
      <c r="C11" s="17">
        <v>99980130961886</v>
      </c>
      <c r="D11" s="15" t="s">
        <v>197</v>
      </c>
      <c r="E11" s="15" t="s">
        <v>95</v>
      </c>
    </row>
    <row r="12" spans="1:5" ht="14" customHeight="1" x14ac:dyDescent="0.35">
      <c r="A12" s="15" t="s">
        <v>220</v>
      </c>
      <c r="B12" s="15">
        <v>40118</v>
      </c>
      <c r="C12" s="17">
        <v>15550100112421</v>
      </c>
      <c r="D12" s="15" t="s">
        <v>197</v>
      </c>
      <c r="E12" s="15" t="s">
        <v>95</v>
      </c>
    </row>
    <row r="13" spans="1:5" ht="14" customHeight="1" x14ac:dyDescent="0.35">
      <c r="A13" s="15" t="s">
        <v>49</v>
      </c>
      <c r="B13" s="15">
        <v>44998</v>
      </c>
      <c r="C13" s="17">
        <v>99980130961894</v>
      </c>
      <c r="D13" s="15" t="s">
        <v>197</v>
      </c>
      <c r="E13" s="15" t="s">
        <v>95</v>
      </c>
    </row>
    <row r="14" spans="1:5" ht="14" customHeight="1" x14ac:dyDescent="0.35">
      <c r="A14" s="15" t="s">
        <v>53</v>
      </c>
      <c r="B14" s="15">
        <v>54757</v>
      </c>
      <c r="C14" s="17">
        <v>99980130961878</v>
      </c>
      <c r="D14" s="15" t="s">
        <v>197</v>
      </c>
      <c r="E14" s="15" t="s">
        <v>95</v>
      </c>
    </row>
    <row r="15" spans="1:5" ht="14" customHeight="1" x14ac:dyDescent="0.35">
      <c r="A15" s="15" t="s">
        <v>57</v>
      </c>
      <c r="B15" s="15">
        <v>12639</v>
      </c>
      <c r="C15" s="17">
        <v>99980130963882</v>
      </c>
      <c r="D15" s="15" t="s">
        <v>197</v>
      </c>
      <c r="E15" s="15" t="s">
        <v>95</v>
      </c>
    </row>
    <row r="16" spans="1:5" ht="14" customHeight="1" x14ac:dyDescent="0.35">
      <c r="A16" s="15" t="s">
        <v>59</v>
      </c>
      <c r="B16" s="15">
        <v>30358</v>
      </c>
      <c r="C16" s="17">
        <v>99980130961902</v>
      </c>
      <c r="D16" s="15" t="s">
        <v>197</v>
      </c>
      <c r="E16" s="15" t="s">
        <v>95</v>
      </c>
    </row>
    <row r="17" spans="1:5" ht="14" customHeight="1" x14ac:dyDescent="0.35">
      <c r="A17" s="15" t="s">
        <v>61</v>
      </c>
      <c r="B17" s="15">
        <v>30358</v>
      </c>
      <c r="C17" s="17">
        <v>99980130961761</v>
      </c>
      <c r="D17" s="15" t="s">
        <v>197</v>
      </c>
      <c r="E17" s="15" t="s">
        <v>95</v>
      </c>
    </row>
    <row r="18" spans="1:5" ht="14" customHeight="1" x14ac:dyDescent="0.35">
      <c r="A18" s="15" t="s">
        <v>67</v>
      </c>
      <c r="B18" s="15">
        <v>52865</v>
      </c>
      <c r="C18" s="17">
        <v>15550100112371</v>
      </c>
      <c r="D18" s="15" t="s">
        <v>197</v>
      </c>
      <c r="E18" s="15" t="s">
        <v>95</v>
      </c>
    </row>
    <row r="19" spans="1:5" ht="14" customHeight="1" x14ac:dyDescent="0.35">
      <c r="A19" s="15" t="s">
        <v>113</v>
      </c>
      <c r="B19" s="15">
        <v>30358</v>
      </c>
      <c r="C19" s="17">
        <v>15550100112314</v>
      </c>
      <c r="D19" s="15" t="s">
        <v>197</v>
      </c>
      <c r="E19" s="15" t="s">
        <v>95</v>
      </c>
    </row>
    <row r="20" spans="1:5" ht="14" customHeight="1" x14ac:dyDescent="0.35">
      <c r="A20" s="49" t="s">
        <v>119</v>
      </c>
      <c r="B20" s="15">
        <v>19487</v>
      </c>
      <c r="C20" s="17">
        <v>55560103431927</v>
      </c>
      <c r="D20" s="15" t="s">
        <v>152</v>
      </c>
      <c r="E20" s="15" t="s">
        <v>95</v>
      </c>
    </row>
    <row r="21" spans="1:5" ht="14" customHeight="1" x14ac:dyDescent="0.35">
      <c r="A21" s="15" t="s">
        <v>121</v>
      </c>
      <c r="B21" s="15">
        <v>12689</v>
      </c>
      <c r="C21" s="17">
        <v>15550100112355</v>
      </c>
      <c r="D21" s="15" t="s">
        <v>197</v>
      </c>
      <c r="E21" s="15" t="s">
        <v>95</v>
      </c>
    </row>
    <row r="22" spans="1:5" ht="14" customHeight="1" x14ac:dyDescent="0.35">
      <c r="A22" s="15" t="s">
        <v>123</v>
      </c>
      <c r="B22" s="15">
        <v>12689</v>
      </c>
      <c r="C22" s="17">
        <v>15550100112280</v>
      </c>
      <c r="D22" s="15" t="s">
        <v>197</v>
      </c>
      <c r="E22" s="15" t="s">
        <v>95</v>
      </c>
    </row>
    <row r="23" spans="1:5" ht="14" customHeight="1" x14ac:dyDescent="0.35">
      <c r="A23" s="15" t="s">
        <v>125</v>
      </c>
      <c r="B23" s="15">
        <v>12689</v>
      </c>
      <c r="C23" s="17">
        <v>15550100112272</v>
      </c>
      <c r="D23" s="15" t="s">
        <v>197</v>
      </c>
      <c r="E23" s="15" t="s">
        <v>95</v>
      </c>
    </row>
    <row r="24" spans="1:5" ht="14" customHeight="1" x14ac:dyDescent="0.35">
      <c r="A24" s="15" t="s">
        <v>129</v>
      </c>
      <c r="B24" s="15">
        <v>12689</v>
      </c>
      <c r="C24" s="17">
        <v>15550100112306</v>
      </c>
      <c r="D24" s="15" t="s">
        <v>197</v>
      </c>
      <c r="E24" s="15" t="s">
        <v>95</v>
      </c>
    </row>
    <row r="25" spans="1:5" ht="14" customHeight="1" x14ac:dyDescent="0.35">
      <c r="A25" s="15" t="s">
        <v>131</v>
      </c>
      <c r="B25" s="15">
        <v>12689</v>
      </c>
      <c r="C25" s="17">
        <v>15550100112298</v>
      </c>
      <c r="D25" s="15" t="s">
        <v>197</v>
      </c>
      <c r="E25" s="15" t="s">
        <v>95</v>
      </c>
    </row>
    <row r="26" spans="1:5" ht="14" customHeight="1" x14ac:dyDescent="0.35">
      <c r="A26" s="15" t="s">
        <v>133</v>
      </c>
      <c r="B26" s="15">
        <v>40118</v>
      </c>
      <c r="C26" s="17">
        <v>99980130961787</v>
      </c>
      <c r="D26" s="15" t="s">
        <v>197</v>
      </c>
      <c r="E26" s="15" t="s">
        <v>95</v>
      </c>
    </row>
    <row r="27" spans="1:5" ht="14" customHeight="1" x14ac:dyDescent="0.35">
      <c r="A27" s="15" t="s">
        <v>137</v>
      </c>
      <c r="B27" s="15">
        <v>25479</v>
      </c>
      <c r="C27" s="17">
        <v>99980130961779</v>
      </c>
      <c r="D27" s="15" t="s">
        <v>197</v>
      </c>
      <c r="E27" s="15" t="s">
        <v>95</v>
      </c>
    </row>
    <row r="28" spans="1:5" ht="14" customHeight="1" x14ac:dyDescent="0.35">
      <c r="A28" s="15" t="s">
        <v>139</v>
      </c>
      <c r="B28" s="15">
        <v>12290</v>
      </c>
      <c r="C28" s="17">
        <v>23520100016377</v>
      </c>
      <c r="D28" s="15" t="s">
        <v>222</v>
      </c>
      <c r="E28" s="15" t="s">
        <v>95</v>
      </c>
    </row>
    <row r="29" spans="1:5" ht="14" customHeight="1" x14ac:dyDescent="0.35">
      <c r="A29" s="15" t="s">
        <v>141</v>
      </c>
      <c r="B29" s="15">
        <v>12689</v>
      </c>
      <c r="C29" s="17">
        <v>15550100112322</v>
      </c>
      <c r="D29" s="15" t="s">
        <v>197</v>
      </c>
      <c r="E29" s="15" t="s">
        <v>95</v>
      </c>
    </row>
    <row r="30" spans="1:5" ht="14" customHeight="1" x14ac:dyDescent="0.35">
      <c r="A30" s="15" t="s">
        <v>145</v>
      </c>
      <c r="B30" s="15">
        <v>20343</v>
      </c>
      <c r="C30" s="17">
        <v>15550100112363</v>
      </c>
      <c r="D30" s="15" t="s">
        <v>197</v>
      </c>
      <c r="E30" s="15" t="s">
        <v>95</v>
      </c>
    </row>
    <row r="31" spans="1:5" ht="14" customHeight="1" x14ac:dyDescent="0.35">
      <c r="A31" s="15" t="s">
        <v>146</v>
      </c>
      <c r="B31" s="15">
        <v>29280</v>
      </c>
      <c r="C31" s="17">
        <v>15550100112330</v>
      </c>
      <c r="D31" s="15" t="s">
        <v>197</v>
      </c>
      <c r="E31" s="15" t="s">
        <v>95</v>
      </c>
    </row>
    <row r="32" spans="1:5" ht="14" customHeight="1" x14ac:dyDescent="0.35">
      <c r="A32" s="15" t="s">
        <v>204</v>
      </c>
      <c r="B32" s="15">
        <v>30358</v>
      </c>
      <c r="C32" s="17">
        <v>99980130961803</v>
      </c>
      <c r="D32" s="15" t="s">
        <v>197</v>
      </c>
      <c r="E32" s="15" t="s">
        <v>95</v>
      </c>
    </row>
    <row r="33" spans="1:5" ht="14" customHeight="1" x14ac:dyDescent="0.35">
      <c r="A33" s="15" t="s">
        <v>205</v>
      </c>
      <c r="B33" s="15">
        <v>9854</v>
      </c>
      <c r="C33" s="17">
        <v>55560103622913</v>
      </c>
      <c r="D33" s="15" t="s">
        <v>152</v>
      </c>
      <c r="E33" s="15" t="s">
        <v>95</v>
      </c>
    </row>
    <row r="34" spans="1:5" ht="14" customHeight="1" x14ac:dyDescent="0.35">
      <c r="A34" s="15" t="s">
        <v>206</v>
      </c>
      <c r="B34" s="15">
        <v>19489</v>
      </c>
      <c r="C34" s="17">
        <v>99980130961811</v>
      </c>
      <c r="D34" s="15" t="s">
        <v>197</v>
      </c>
      <c r="E34" s="15" t="s">
        <v>95</v>
      </c>
    </row>
    <row r="35" spans="1:5" ht="14" customHeight="1" x14ac:dyDescent="0.35">
      <c r="A35" s="15" t="s">
        <v>207</v>
      </c>
      <c r="B35" s="15">
        <v>25479</v>
      </c>
      <c r="C35" s="17">
        <v>15550100112413</v>
      </c>
      <c r="D35" s="15" t="s">
        <v>197</v>
      </c>
      <c r="E35" s="15" t="s">
        <v>95</v>
      </c>
    </row>
    <row r="36" spans="1:5" ht="14" customHeight="1" x14ac:dyDescent="0.35">
      <c r="A36" s="15" t="s">
        <v>211</v>
      </c>
      <c r="B36" s="15">
        <v>40118</v>
      </c>
      <c r="C36" s="17">
        <v>55560103591175</v>
      </c>
      <c r="D36" s="15" t="s">
        <v>152</v>
      </c>
      <c r="E36" s="15" t="s">
        <v>95</v>
      </c>
    </row>
    <row r="37" spans="1:5" ht="14" customHeight="1" x14ac:dyDescent="0.35">
      <c r="A37" s="15" t="s">
        <v>212</v>
      </c>
      <c r="B37" s="15">
        <v>30358</v>
      </c>
      <c r="C37" s="17">
        <v>99980130963841</v>
      </c>
      <c r="D37" s="15" t="s">
        <v>197</v>
      </c>
      <c r="E37" s="15" t="s">
        <v>95</v>
      </c>
    </row>
    <row r="38" spans="1:5" ht="14" customHeight="1" x14ac:dyDescent="0.35">
      <c r="A38" s="15" t="s">
        <v>213</v>
      </c>
      <c r="B38" s="15">
        <v>12689</v>
      </c>
      <c r="C38" s="17">
        <v>15550100112397</v>
      </c>
      <c r="D38" s="15" t="s">
        <v>197</v>
      </c>
      <c r="E38" s="15" t="s">
        <v>95</v>
      </c>
    </row>
    <row r="39" spans="1:5" ht="14" customHeight="1" x14ac:dyDescent="0.35">
      <c r="A39" s="15" t="s">
        <v>215</v>
      </c>
      <c r="B39" s="15">
        <v>12689</v>
      </c>
      <c r="C39" s="17">
        <v>55560103492226</v>
      </c>
      <c r="D39" s="15" t="s">
        <v>152</v>
      </c>
      <c r="E39" s="15" t="s">
        <v>95</v>
      </c>
    </row>
    <row r="40" spans="1:5" ht="14" customHeight="1" x14ac:dyDescent="0.35">
      <c r="A40" s="15" t="s">
        <v>225</v>
      </c>
      <c r="B40" s="15">
        <v>18300</v>
      </c>
      <c r="C40" s="17">
        <v>23240100021018</v>
      </c>
      <c r="D40" s="15" t="s">
        <v>239</v>
      </c>
      <c r="E40" s="15" t="s">
        <v>95</v>
      </c>
    </row>
    <row r="41" spans="1:5" ht="14" customHeight="1" x14ac:dyDescent="0.35">
      <c r="A41" s="15" t="s">
        <v>226</v>
      </c>
      <c r="B41" s="15">
        <v>14800</v>
      </c>
      <c r="C41" s="17">
        <v>23701000029541</v>
      </c>
      <c r="D41" s="15" t="s">
        <v>248</v>
      </c>
      <c r="E41" s="15" t="s">
        <v>95</v>
      </c>
    </row>
    <row r="42" spans="1:5" ht="14" customHeight="1" x14ac:dyDescent="0.35">
      <c r="A42" s="15" t="s">
        <v>227</v>
      </c>
      <c r="B42" s="15">
        <v>17800</v>
      </c>
      <c r="C42" s="17">
        <v>17560100050974</v>
      </c>
      <c r="D42" s="15" t="s">
        <v>240</v>
      </c>
      <c r="E42" s="15" t="s">
        <v>95</v>
      </c>
    </row>
    <row r="43" spans="1:5" ht="14" customHeight="1" x14ac:dyDescent="0.35">
      <c r="A43" s="15" t="s">
        <v>228</v>
      </c>
      <c r="B43" s="15">
        <v>14800</v>
      </c>
      <c r="C43" s="17">
        <v>24570100002876</v>
      </c>
      <c r="D43" s="15" t="s">
        <v>241</v>
      </c>
      <c r="E43" s="15" t="s">
        <v>95</v>
      </c>
    </row>
    <row r="44" spans="1:5" ht="14" customHeight="1" x14ac:dyDescent="0.35">
      <c r="A44" s="15" t="s">
        <v>230</v>
      </c>
      <c r="B44" s="15">
        <v>11850</v>
      </c>
      <c r="C44" s="17">
        <v>25140100010136</v>
      </c>
      <c r="D44" s="15" t="s">
        <v>242</v>
      </c>
      <c r="E44" s="15" t="s">
        <v>95</v>
      </c>
    </row>
    <row r="45" spans="1:5" ht="14" customHeight="1" x14ac:dyDescent="0.35">
      <c r="A45" s="15" t="s">
        <v>231</v>
      </c>
      <c r="B45" s="15">
        <v>12850</v>
      </c>
      <c r="C45" s="17">
        <v>23710100006391</v>
      </c>
      <c r="D45" s="15" t="s">
        <v>243</v>
      </c>
      <c r="E45" s="15" t="s">
        <v>95</v>
      </c>
    </row>
    <row r="46" spans="1:5" ht="14" customHeight="1" x14ac:dyDescent="0.35">
      <c r="A46" s="15" t="s">
        <v>232</v>
      </c>
      <c r="B46" s="15">
        <v>27800</v>
      </c>
      <c r="C46" s="17">
        <v>24570100005333</v>
      </c>
      <c r="D46" s="15" t="s">
        <v>241</v>
      </c>
      <c r="E46" s="15" t="s">
        <v>95</v>
      </c>
    </row>
    <row r="47" spans="1:5" ht="14" customHeight="1" x14ac:dyDescent="0.35">
      <c r="A47" s="15" t="s">
        <v>233</v>
      </c>
      <c r="B47" s="15">
        <v>24800</v>
      </c>
      <c r="C47" s="17">
        <v>99980128937682</v>
      </c>
      <c r="D47" s="15" t="s">
        <v>197</v>
      </c>
      <c r="E47" s="15" t="s">
        <v>95</v>
      </c>
    </row>
    <row r="48" spans="1:5" ht="14" customHeight="1" x14ac:dyDescent="0.35">
      <c r="A48" s="15" t="s">
        <v>234</v>
      </c>
      <c r="B48" s="15">
        <v>22800</v>
      </c>
      <c r="C48" s="17">
        <v>99980128338519</v>
      </c>
      <c r="D48" s="15" t="s">
        <v>244</v>
      </c>
      <c r="E48" s="15" t="s">
        <v>95</v>
      </c>
    </row>
    <row r="49" spans="1:5" ht="14" customHeight="1" x14ac:dyDescent="0.35">
      <c r="A49" s="15" t="s">
        <v>235</v>
      </c>
      <c r="B49" s="15">
        <v>44800</v>
      </c>
      <c r="C49" s="17">
        <v>24780100008456</v>
      </c>
      <c r="D49" s="15" t="s">
        <v>245</v>
      </c>
      <c r="E49" s="15" t="s">
        <v>95</v>
      </c>
    </row>
    <row r="50" spans="1:5" ht="14" customHeight="1" x14ac:dyDescent="0.35">
      <c r="A50" s="15" t="s">
        <v>236</v>
      </c>
      <c r="B50" s="15">
        <v>9850</v>
      </c>
      <c r="C50" s="17">
        <v>15550100107520</v>
      </c>
      <c r="D50" s="15" t="s">
        <v>197</v>
      </c>
      <c r="E50" s="15" t="s">
        <v>95</v>
      </c>
    </row>
    <row r="51" spans="1:5" ht="14" customHeight="1" x14ac:dyDescent="0.35">
      <c r="A51" s="15" t="s">
        <v>237</v>
      </c>
      <c r="B51" s="15">
        <v>11850</v>
      </c>
      <c r="C51" s="17">
        <v>15690100076067</v>
      </c>
      <c r="D51" s="15" t="s">
        <v>246</v>
      </c>
      <c r="E51" s="15" t="s">
        <v>95</v>
      </c>
    </row>
    <row r="52" spans="1:5" x14ac:dyDescent="0.35">
      <c r="A52" s="28" t="s">
        <v>6</v>
      </c>
      <c r="B52" s="58">
        <f>SUM(B2:B51)</f>
        <v>1403698</v>
      </c>
      <c r="C52" s="59"/>
      <c r="D52" s="59"/>
      <c r="E52" s="60"/>
    </row>
    <row r="53" spans="1:5" x14ac:dyDescent="0.35">
      <c r="B53" s="53"/>
    </row>
  </sheetData>
  <mergeCells count="1">
    <mergeCell ref="B52:E5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F72A-8BA8-4B98-95B0-54D034ECB588}">
  <dimension ref="A1:E31"/>
  <sheetViews>
    <sheetView topLeftCell="A22" workbookViewId="0">
      <selection activeCell="B31" sqref="B31:E31"/>
    </sheetView>
  </sheetViews>
  <sheetFormatPr defaultRowHeight="14.5" x14ac:dyDescent="0.35"/>
  <cols>
    <col min="1" max="1" width="23.453125" customWidth="1"/>
    <col min="2" max="2" width="11.08984375" customWidth="1"/>
    <col min="3" max="3" width="19.54296875" customWidth="1"/>
    <col min="4" max="4" width="12.453125" bestFit="1" customWidth="1"/>
    <col min="5" max="5" width="18.90625" bestFit="1" customWidth="1"/>
  </cols>
  <sheetData>
    <row r="1" spans="1:5" ht="29" x14ac:dyDescent="0.35">
      <c r="A1" s="54" t="s">
        <v>0</v>
      </c>
      <c r="B1" s="54" t="s">
        <v>2</v>
      </c>
      <c r="C1" s="54" t="s">
        <v>7</v>
      </c>
      <c r="D1" s="54" t="s">
        <v>8</v>
      </c>
      <c r="E1" s="54" t="s">
        <v>10</v>
      </c>
    </row>
    <row r="2" spans="1:5" x14ac:dyDescent="0.35">
      <c r="A2" s="49" t="s">
        <v>143</v>
      </c>
      <c r="B2" s="15">
        <v>19487</v>
      </c>
      <c r="C2" s="17">
        <v>44610100006654</v>
      </c>
      <c r="D2" s="15" t="s">
        <v>165</v>
      </c>
      <c r="E2" s="15" t="s">
        <v>164</v>
      </c>
    </row>
    <row r="3" spans="1:5" x14ac:dyDescent="0.35">
      <c r="A3" s="49" t="s">
        <v>31</v>
      </c>
      <c r="B3" s="15">
        <v>38714</v>
      </c>
      <c r="C3" s="17">
        <v>3327101004003</v>
      </c>
      <c r="D3" s="15" t="s">
        <v>74</v>
      </c>
      <c r="E3" s="15" t="s">
        <v>75</v>
      </c>
    </row>
    <row r="4" spans="1:5" x14ac:dyDescent="0.35">
      <c r="A4" s="49" t="s">
        <v>28</v>
      </c>
      <c r="B4" s="15">
        <v>79800</v>
      </c>
      <c r="C4" s="17">
        <v>50100677371816</v>
      </c>
      <c r="D4" s="15" t="s">
        <v>26</v>
      </c>
      <c r="E4" s="15" t="s">
        <v>27</v>
      </c>
    </row>
    <row r="5" spans="1:5" x14ac:dyDescent="0.35">
      <c r="A5" s="49" t="s">
        <v>33</v>
      </c>
      <c r="B5" s="15">
        <v>40118</v>
      </c>
      <c r="C5" s="17">
        <v>50100595290241</v>
      </c>
      <c r="D5" s="15" t="s">
        <v>76</v>
      </c>
      <c r="E5" s="15" t="s">
        <v>27</v>
      </c>
    </row>
    <row r="6" spans="1:5" ht="29" x14ac:dyDescent="0.35">
      <c r="A6" s="49" t="s">
        <v>69</v>
      </c>
      <c r="B6" s="15">
        <v>54757</v>
      </c>
      <c r="C6" s="17">
        <v>50100141200194</v>
      </c>
      <c r="D6" s="15" t="s">
        <v>94</v>
      </c>
      <c r="E6" s="15" t="s">
        <v>27</v>
      </c>
    </row>
    <row r="7" spans="1:5" x14ac:dyDescent="0.35">
      <c r="A7" s="49" t="s">
        <v>117</v>
      </c>
      <c r="B7" s="15">
        <v>43431</v>
      </c>
      <c r="C7" s="17" t="s">
        <v>221</v>
      </c>
      <c r="D7" s="15" t="s">
        <v>150</v>
      </c>
      <c r="E7" s="15" t="s">
        <v>21</v>
      </c>
    </row>
    <row r="8" spans="1:5" x14ac:dyDescent="0.35">
      <c r="A8" s="49" t="s">
        <v>55</v>
      </c>
      <c r="B8" s="15">
        <v>54757</v>
      </c>
      <c r="C8" s="17">
        <v>615728726</v>
      </c>
      <c r="D8" s="15" t="s">
        <v>86</v>
      </c>
      <c r="E8" s="15" t="s">
        <v>87</v>
      </c>
    </row>
    <row r="9" spans="1:5" ht="29" x14ac:dyDescent="0.35">
      <c r="A9" s="49" t="s">
        <v>177</v>
      </c>
      <c r="B9" s="15">
        <v>28731</v>
      </c>
      <c r="C9" s="17">
        <v>180701000002091</v>
      </c>
      <c r="D9" s="15" t="s">
        <v>178</v>
      </c>
      <c r="E9" s="15" t="s">
        <v>179</v>
      </c>
    </row>
    <row r="10" spans="1:5" x14ac:dyDescent="0.35">
      <c r="A10" s="49" t="s">
        <v>210</v>
      </c>
      <c r="B10" s="15">
        <v>12689</v>
      </c>
      <c r="C10" s="17" t="s">
        <v>224</v>
      </c>
      <c r="D10" s="15" t="s">
        <v>216</v>
      </c>
      <c r="E10" s="15" t="s">
        <v>217</v>
      </c>
    </row>
    <row r="11" spans="1:5" x14ac:dyDescent="0.35">
      <c r="A11" s="49" t="s">
        <v>43</v>
      </c>
      <c r="B11" s="15">
        <v>40118</v>
      </c>
      <c r="C11" s="17">
        <v>62297418711</v>
      </c>
      <c r="D11" s="15" t="s">
        <v>80</v>
      </c>
      <c r="E11" s="15" t="s">
        <v>79</v>
      </c>
    </row>
    <row r="12" spans="1:5" ht="29" x14ac:dyDescent="0.35">
      <c r="A12" s="49" t="s">
        <v>63</v>
      </c>
      <c r="B12" s="15">
        <v>19487</v>
      </c>
      <c r="C12" s="17">
        <v>37182972098</v>
      </c>
      <c r="D12" s="15" t="s">
        <v>109</v>
      </c>
      <c r="E12" s="15" t="s">
        <v>79</v>
      </c>
    </row>
    <row r="13" spans="1:5" x14ac:dyDescent="0.35">
      <c r="A13" s="49" t="s">
        <v>115</v>
      </c>
      <c r="B13" s="15">
        <v>24680</v>
      </c>
      <c r="C13" s="17">
        <v>40590710609</v>
      </c>
      <c r="D13" s="15" t="s">
        <v>149</v>
      </c>
      <c r="E13" s="15" t="s">
        <v>79</v>
      </c>
    </row>
    <row r="14" spans="1:5" x14ac:dyDescent="0.35">
      <c r="A14" s="49" t="s">
        <v>135</v>
      </c>
      <c r="B14" s="15">
        <v>37310</v>
      </c>
      <c r="C14" s="17">
        <v>37097117593</v>
      </c>
      <c r="D14" s="15" t="s">
        <v>160</v>
      </c>
      <c r="E14" s="15" t="s">
        <v>79</v>
      </c>
    </row>
    <row r="15" spans="1:5" x14ac:dyDescent="0.35">
      <c r="A15" s="49" t="s">
        <v>175</v>
      </c>
      <c r="B15" s="15">
        <v>93795</v>
      </c>
      <c r="C15" s="17">
        <v>38613963272</v>
      </c>
      <c r="D15" s="15" t="s">
        <v>176</v>
      </c>
      <c r="E15" s="15" t="s">
        <v>79</v>
      </c>
    </row>
    <row r="16" spans="1:5" x14ac:dyDescent="0.35">
      <c r="A16" s="49" t="s">
        <v>208</v>
      </c>
      <c r="B16" s="15">
        <v>40118</v>
      </c>
      <c r="C16" s="17">
        <v>62412658053</v>
      </c>
      <c r="D16" s="15" t="s">
        <v>219</v>
      </c>
      <c r="E16" s="15" t="s">
        <v>79</v>
      </c>
    </row>
    <row r="17" spans="1:5" x14ac:dyDescent="0.35">
      <c r="A17" s="49" t="s">
        <v>209</v>
      </c>
      <c r="B17" s="15">
        <v>12689</v>
      </c>
      <c r="C17" s="17">
        <v>40592463089</v>
      </c>
      <c r="D17" s="15" t="s">
        <v>218</v>
      </c>
      <c r="E17" s="15" t="s">
        <v>79</v>
      </c>
    </row>
    <row r="18" spans="1:5" x14ac:dyDescent="0.35">
      <c r="A18" s="49" t="s">
        <v>214</v>
      </c>
      <c r="B18" s="15">
        <v>12689</v>
      </c>
      <c r="C18" s="17">
        <v>225210100082348</v>
      </c>
      <c r="D18" s="15" t="s">
        <v>223</v>
      </c>
      <c r="E18" s="15" t="s">
        <v>19</v>
      </c>
    </row>
    <row r="19" spans="1:5" x14ac:dyDescent="0.35">
      <c r="A19" s="49" t="s">
        <v>229</v>
      </c>
      <c r="B19" s="15">
        <v>12850</v>
      </c>
      <c r="C19" s="17">
        <v>924010050412952</v>
      </c>
      <c r="D19" s="15" t="s">
        <v>249</v>
      </c>
      <c r="E19" s="15" t="s">
        <v>19</v>
      </c>
    </row>
    <row r="20" spans="1:5" x14ac:dyDescent="0.35">
      <c r="A20" s="49" t="s">
        <v>247</v>
      </c>
      <c r="B20" s="15">
        <v>124800</v>
      </c>
      <c r="C20" s="17">
        <v>20261344343</v>
      </c>
      <c r="D20" s="15" t="s">
        <v>250</v>
      </c>
      <c r="E20" s="15" t="s">
        <v>148</v>
      </c>
    </row>
    <row r="21" spans="1:5" x14ac:dyDescent="0.35">
      <c r="A21" s="49" t="s">
        <v>193</v>
      </c>
      <c r="B21" s="15">
        <v>148387</v>
      </c>
      <c r="C21" s="17">
        <v>32862142889</v>
      </c>
      <c r="D21" s="15" t="s">
        <v>194</v>
      </c>
      <c r="E21" s="15" t="s">
        <v>148</v>
      </c>
    </row>
    <row r="22" spans="1:5" x14ac:dyDescent="0.35">
      <c r="A22" s="49" t="s">
        <v>257</v>
      </c>
      <c r="B22" s="15">
        <v>73548</v>
      </c>
      <c r="C22" s="17">
        <v>38764884239</v>
      </c>
      <c r="D22" s="15" t="s">
        <v>251</v>
      </c>
      <c r="E22" s="15" t="s">
        <v>148</v>
      </c>
    </row>
    <row r="23" spans="1:5" x14ac:dyDescent="0.35">
      <c r="A23" s="49" t="s">
        <v>186</v>
      </c>
      <c r="B23" s="15">
        <v>6000</v>
      </c>
      <c r="C23" s="17">
        <v>653101004326</v>
      </c>
      <c r="D23" s="15" t="s">
        <v>185</v>
      </c>
      <c r="E23" s="15" t="s">
        <v>21</v>
      </c>
    </row>
    <row r="24" spans="1:5" x14ac:dyDescent="0.35">
      <c r="A24" s="49" t="s">
        <v>192</v>
      </c>
      <c r="B24" s="15">
        <v>27000</v>
      </c>
      <c r="C24" s="17">
        <v>922020060410761</v>
      </c>
      <c r="D24" s="15" t="s">
        <v>191</v>
      </c>
      <c r="E24" s="15" t="s">
        <v>172</v>
      </c>
    </row>
    <row r="25" spans="1:5" x14ac:dyDescent="0.35">
      <c r="A25" s="49" t="s">
        <v>258</v>
      </c>
      <c r="B25" s="15">
        <v>14000</v>
      </c>
      <c r="C25" s="17">
        <v>621837012</v>
      </c>
      <c r="D25" s="15" t="s">
        <v>252</v>
      </c>
      <c r="E25" s="15" t="s">
        <v>255</v>
      </c>
    </row>
    <row r="26" spans="1:5" ht="29" x14ac:dyDescent="0.35">
      <c r="A26" s="49" t="s">
        <v>259</v>
      </c>
      <c r="B26" s="15">
        <v>35100</v>
      </c>
      <c r="C26" s="17">
        <v>62332625265</v>
      </c>
      <c r="D26" s="15" t="s">
        <v>253</v>
      </c>
      <c r="E26" s="15" t="s">
        <v>148</v>
      </c>
    </row>
    <row r="27" spans="1:5" x14ac:dyDescent="0.35">
      <c r="A27" s="49" t="s">
        <v>196</v>
      </c>
      <c r="B27" s="15">
        <v>16000</v>
      </c>
      <c r="C27" s="17">
        <v>45080524946</v>
      </c>
      <c r="D27" s="15" t="s">
        <v>195</v>
      </c>
      <c r="E27" s="15" t="s">
        <v>148</v>
      </c>
    </row>
    <row r="28" spans="1:5" x14ac:dyDescent="0.35">
      <c r="A28" s="49" t="s">
        <v>188</v>
      </c>
      <c r="B28" s="15">
        <v>14500</v>
      </c>
      <c r="C28" s="17">
        <v>814649188</v>
      </c>
      <c r="D28" s="15" t="s">
        <v>187</v>
      </c>
      <c r="E28" s="15" t="s">
        <v>189</v>
      </c>
    </row>
    <row r="29" spans="1:5" x14ac:dyDescent="0.35">
      <c r="A29" s="49" t="s">
        <v>260</v>
      </c>
      <c r="B29" s="15">
        <v>11000</v>
      </c>
      <c r="C29" s="17">
        <v>676801701924</v>
      </c>
      <c r="D29" s="15" t="s">
        <v>254</v>
      </c>
      <c r="E29" s="15" t="s">
        <v>256</v>
      </c>
    </row>
    <row r="30" spans="1:5" x14ac:dyDescent="0.35">
      <c r="A30" s="15"/>
      <c r="B30" s="15"/>
      <c r="C30" s="15"/>
      <c r="D30" s="15"/>
      <c r="E30" s="15"/>
    </row>
    <row r="31" spans="1:5" x14ac:dyDescent="0.35">
      <c r="A31" s="54" t="s">
        <v>6</v>
      </c>
      <c r="B31" s="55">
        <f>SUM(B2:B30)</f>
        <v>1136555</v>
      </c>
      <c r="C31" s="56"/>
      <c r="D31" s="56"/>
      <c r="E31" s="57"/>
    </row>
  </sheetData>
  <mergeCells count="1">
    <mergeCell ref="B31:E31"/>
  </mergeCells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0E4-9944-43A1-99D2-A2D85D0C0D6A}">
  <sheetPr filterMode="1"/>
  <dimension ref="A1:H48"/>
  <sheetViews>
    <sheetView workbookViewId="0">
      <pane ySplit="1" topLeftCell="A2" activePane="bottomLeft" state="frozen"/>
      <selection pane="bottomLeft" activeCell="L40" sqref="L4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customWidth="1"/>
    <col min="4" max="4" width="17.7265625" customWidth="1"/>
    <col min="5" max="5" width="19.7265625" bestFit="1" customWidth="1"/>
    <col min="6" max="6" width="12.6328125" customWidth="1"/>
    <col min="7" max="7" width="17.54296875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3</v>
      </c>
      <c r="D1" s="12" t="s">
        <v>2</v>
      </c>
      <c r="E1" s="13" t="s">
        <v>7</v>
      </c>
      <c r="F1" s="13" t="s">
        <v>8</v>
      </c>
      <c r="G1" s="13" t="s">
        <v>10</v>
      </c>
      <c r="H1" s="13" t="s">
        <v>29</v>
      </c>
    </row>
    <row r="2" spans="1:8" x14ac:dyDescent="0.35">
      <c r="A2" s="14" t="s">
        <v>14</v>
      </c>
      <c r="B2" s="15" t="s">
        <v>28</v>
      </c>
      <c r="C2" s="46">
        <v>46054</v>
      </c>
      <c r="D2" s="35" t="e">
        <f>VLOOKUP(A2,#REF!,8,0)</f>
        <v>#REF!</v>
      </c>
      <c r="E2" s="35">
        <v>50100677371816</v>
      </c>
      <c r="F2" s="15" t="s">
        <v>26</v>
      </c>
      <c r="G2" s="15" t="s">
        <v>27</v>
      </c>
      <c r="H2" s="15"/>
    </row>
    <row r="3" spans="1:8" hidden="1" x14ac:dyDescent="0.35">
      <c r="A3" s="14" t="s">
        <v>13</v>
      </c>
      <c r="B3" s="14" t="s">
        <v>16</v>
      </c>
      <c r="C3" s="46">
        <v>46054</v>
      </c>
      <c r="D3" s="35" t="e">
        <f>VLOOKUP(A3,#REF!,8,0)</f>
        <v>#REF!</v>
      </c>
      <c r="E3" s="36">
        <v>99980130961985</v>
      </c>
      <c r="F3" s="22" t="s">
        <v>197</v>
      </c>
      <c r="G3" s="17" t="s">
        <v>95</v>
      </c>
      <c r="H3" s="15"/>
    </row>
    <row r="4" spans="1:8" x14ac:dyDescent="0.35">
      <c r="A4" s="18" t="s">
        <v>5</v>
      </c>
      <c r="B4" s="18" t="s">
        <v>4</v>
      </c>
      <c r="C4" s="46">
        <v>46062</v>
      </c>
      <c r="D4" s="35" t="e">
        <f>VLOOKUP(A4,#REF!,29,0)</f>
        <v>#REF!</v>
      </c>
      <c r="E4" s="35">
        <v>41280100007853</v>
      </c>
      <c r="F4" s="15" t="s">
        <v>9</v>
      </c>
      <c r="G4" s="15" t="s">
        <v>11</v>
      </c>
      <c r="H4" s="15"/>
    </row>
    <row r="5" spans="1:8" hidden="1" x14ac:dyDescent="0.35">
      <c r="A5" s="6" t="s">
        <v>34</v>
      </c>
      <c r="B5" s="7" t="s">
        <v>35</v>
      </c>
      <c r="C5" s="8">
        <v>46083</v>
      </c>
      <c r="D5" s="35" t="e">
        <f>VLOOKUP(A5,#REF!,28,0)</f>
        <v>#REF!</v>
      </c>
      <c r="E5" s="36">
        <v>99980130961993</v>
      </c>
      <c r="F5" s="22" t="s">
        <v>197</v>
      </c>
      <c r="G5" s="17" t="s">
        <v>95</v>
      </c>
      <c r="H5" s="15"/>
    </row>
    <row r="6" spans="1:8" x14ac:dyDescent="0.35">
      <c r="A6" s="6" t="s">
        <v>30</v>
      </c>
      <c r="B6" s="7" t="s">
        <v>31</v>
      </c>
      <c r="C6" s="8">
        <v>46083</v>
      </c>
      <c r="D6" s="35" t="e">
        <f>VLOOKUP(A6,#REF!,28,0)</f>
        <v>#REF!</v>
      </c>
      <c r="E6" s="35">
        <v>3327101004003</v>
      </c>
      <c r="F6" s="17" t="s">
        <v>74</v>
      </c>
      <c r="G6" s="17" t="s">
        <v>75</v>
      </c>
      <c r="H6" s="15"/>
    </row>
    <row r="7" spans="1:8" x14ac:dyDescent="0.35">
      <c r="A7" s="6" t="s">
        <v>46</v>
      </c>
      <c r="B7" s="7" t="s">
        <v>47</v>
      </c>
      <c r="C7" s="8">
        <v>46083</v>
      </c>
      <c r="D7" s="35" t="e">
        <f>VLOOKUP(A7,#REF!,28,0)</f>
        <v>#REF!</v>
      </c>
      <c r="E7" s="35">
        <v>159502740717</v>
      </c>
      <c r="F7" s="17" t="s">
        <v>81</v>
      </c>
      <c r="G7" s="17" t="s">
        <v>82</v>
      </c>
      <c r="H7" s="15"/>
    </row>
    <row r="8" spans="1:8" hidden="1" x14ac:dyDescent="0.35">
      <c r="A8" s="6" t="s">
        <v>38</v>
      </c>
      <c r="B8" s="7" t="s">
        <v>39</v>
      </c>
      <c r="C8" s="8">
        <v>46083</v>
      </c>
      <c r="D8" s="35" t="e">
        <f>VLOOKUP(A8,#REF!,28,0)</f>
        <v>#REF!</v>
      </c>
      <c r="E8" s="35">
        <v>77770116800885</v>
      </c>
      <c r="F8" s="17" t="s">
        <v>77</v>
      </c>
      <c r="G8" s="17" t="s">
        <v>95</v>
      </c>
      <c r="H8" s="15"/>
    </row>
    <row r="9" spans="1:8" hidden="1" x14ac:dyDescent="0.35">
      <c r="A9" s="6" t="s">
        <v>44</v>
      </c>
      <c r="B9" s="7" t="s">
        <v>45</v>
      </c>
      <c r="C9" s="8">
        <v>46083</v>
      </c>
      <c r="D9" s="35" t="e">
        <f>VLOOKUP(A9,#REF!,28,0)</f>
        <v>#REF!</v>
      </c>
      <c r="E9" s="36">
        <v>99980130961886</v>
      </c>
      <c r="F9" s="22" t="s">
        <v>197</v>
      </c>
      <c r="G9" s="17" t="s">
        <v>95</v>
      </c>
      <c r="H9" s="15"/>
    </row>
    <row r="10" spans="1:8" x14ac:dyDescent="0.35">
      <c r="A10" s="6" t="s">
        <v>42</v>
      </c>
      <c r="B10" s="7" t="s">
        <v>43</v>
      </c>
      <c r="C10" s="8">
        <v>46083</v>
      </c>
      <c r="D10" s="35" t="e">
        <f>VLOOKUP(A10,#REF!,28,0)</f>
        <v>#REF!</v>
      </c>
      <c r="E10" s="35">
        <v>62297418711</v>
      </c>
      <c r="F10" s="17" t="s">
        <v>80</v>
      </c>
      <c r="G10" s="17" t="s">
        <v>79</v>
      </c>
      <c r="H10" s="15"/>
    </row>
    <row r="11" spans="1:8" hidden="1" x14ac:dyDescent="0.35">
      <c r="A11" s="6" t="s">
        <v>40</v>
      </c>
      <c r="B11" s="7" t="s">
        <v>41</v>
      </c>
      <c r="C11" s="8">
        <v>46083</v>
      </c>
      <c r="D11" s="35" t="e">
        <f>VLOOKUP(A11,#REF!,28,0)</f>
        <v>#REF!</v>
      </c>
      <c r="E11" s="36">
        <v>99980130963940</v>
      </c>
      <c r="F11" s="22" t="s">
        <v>197</v>
      </c>
      <c r="G11" s="17" t="s">
        <v>95</v>
      </c>
      <c r="H11" s="15"/>
    </row>
    <row r="12" spans="1:8" x14ac:dyDescent="0.35">
      <c r="A12" s="6" t="s">
        <v>32</v>
      </c>
      <c r="B12" s="7" t="s">
        <v>33</v>
      </c>
      <c r="C12" s="8">
        <v>46083</v>
      </c>
      <c r="D12" s="35" t="e">
        <f>VLOOKUP(A12,#REF!,28,0)</f>
        <v>#REF!</v>
      </c>
      <c r="E12" s="35">
        <v>50100595290241</v>
      </c>
      <c r="F12" s="35" t="s">
        <v>76</v>
      </c>
      <c r="G12" s="35" t="s">
        <v>27</v>
      </c>
      <c r="H12" s="15"/>
    </row>
    <row r="13" spans="1:8" hidden="1" x14ac:dyDescent="0.35">
      <c r="A13" s="6" t="s">
        <v>36</v>
      </c>
      <c r="B13" s="7" t="s">
        <v>37</v>
      </c>
      <c r="C13" s="8">
        <v>46083</v>
      </c>
      <c r="D13" s="35" t="e">
        <f>VLOOKUP(A13,#REF!,28,0)</f>
        <v>#REF!</v>
      </c>
      <c r="E13" s="36">
        <v>99980130961951</v>
      </c>
      <c r="F13" s="22" t="s">
        <v>197</v>
      </c>
      <c r="G13" s="17" t="s">
        <v>95</v>
      </c>
      <c r="H13" s="15"/>
    </row>
    <row r="14" spans="1:8" x14ac:dyDescent="0.35">
      <c r="A14" s="14" t="s">
        <v>22</v>
      </c>
      <c r="B14" s="14" t="s">
        <v>23</v>
      </c>
      <c r="C14" s="46">
        <v>46066</v>
      </c>
      <c r="D14" s="35" t="e">
        <f>VLOOKUP(A14,#REF!,8,0)</f>
        <v>#REF!</v>
      </c>
      <c r="E14" s="37" t="s">
        <v>24</v>
      </c>
      <c r="F14" s="40" t="s">
        <v>25</v>
      </c>
      <c r="G14" s="40" t="s">
        <v>21</v>
      </c>
      <c r="H14" s="15"/>
    </row>
    <row r="15" spans="1:8" hidden="1" x14ac:dyDescent="0.35">
      <c r="A15" s="6" t="s">
        <v>48</v>
      </c>
      <c r="B15" s="7" t="s">
        <v>49</v>
      </c>
      <c r="C15" s="8">
        <v>46083</v>
      </c>
      <c r="D15" s="35" t="e">
        <f>VLOOKUP(A15,#REF!,28,0)</f>
        <v>#REF!</v>
      </c>
      <c r="E15" s="36">
        <v>99980130961894</v>
      </c>
      <c r="F15" s="22" t="s">
        <v>197</v>
      </c>
      <c r="G15" s="17" t="s">
        <v>95</v>
      </c>
      <c r="H15" s="15"/>
    </row>
    <row r="16" spans="1:8" hidden="1" x14ac:dyDescent="0.35">
      <c r="A16" s="6" t="s">
        <v>52</v>
      </c>
      <c r="B16" s="7" t="s">
        <v>53</v>
      </c>
      <c r="C16" s="8">
        <v>46083</v>
      </c>
      <c r="D16" s="35" t="e">
        <f>VLOOKUP(A16,#REF!,28,0)</f>
        <v>#REF!</v>
      </c>
      <c r="E16" s="36">
        <v>99980130961878</v>
      </c>
      <c r="F16" s="22" t="s">
        <v>197</v>
      </c>
      <c r="G16" s="17" t="s">
        <v>95</v>
      </c>
      <c r="H16" s="15"/>
    </row>
    <row r="17" spans="1:8" hidden="1" x14ac:dyDescent="0.35">
      <c r="A17" s="14" t="s">
        <v>15</v>
      </c>
      <c r="B17" s="14" t="s">
        <v>17</v>
      </c>
      <c r="C17" s="46">
        <v>46072</v>
      </c>
      <c r="D17" s="35" t="e">
        <f>VLOOKUP(A17,#REF!,8,0)</f>
        <v>#REF!</v>
      </c>
      <c r="E17" s="35">
        <v>99980130963916</v>
      </c>
      <c r="F17" s="22" t="s">
        <v>197</v>
      </c>
      <c r="G17" s="17" t="s">
        <v>95</v>
      </c>
      <c r="H17" s="15"/>
    </row>
    <row r="18" spans="1:8" x14ac:dyDescent="0.35">
      <c r="A18" s="10" t="s">
        <v>142</v>
      </c>
      <c r="B18" s="11" t="s">
        <v>143</v>
      </c>
      <c r="C18" s="8">
        <v>46113</v>
      </c>
      <c r="D18" s="35" t="e">
        <f>VLOOKUP(A18,#REF!,28,0)</f>
        <v>#REF!</v>
      </c>
      <c r="E18" s="38">
        <v>44610100006654</v>
      </c>
      <c r="F18" s="41" t="s">
        <v>165</v>
      </c>
      <c r="G18" s="42" t="s">
        <v>164</v>
      </c>
      <c r="H18" s="15"/>
    </row>
    <row r="19" spans="1:8" x14ac:dyDescent="0.35">
      <c r="A19" s="6" t="s">
        <v>54</v>
      </c>
      <c r="B19" s="7" t="s">
        <v>55</v>
      </c>
      <c r="C19" s="8">
        <v>46083</v>
      </c>
      <c r="D19" s="35" t="e">
        <f>VLOOKUP(A19,#REF!,28,0)</f>
        <v>#REF!</v>
      </c>
      <c r="E19" s="35">
        <v>615728726</v>
      </c>
      <c r="F19" s="35" t="s">
        <v>86</v>
      </c>
      <c r="G19" s="35" t="s">
        <v>87</v>
      </c>
      <c r="H19" s="15"/>
    </row>
    <row r="20" spans="1:8" hidden="1" x14ac:dyDescent="0.35">
      <c r="A20" s="6" t="s">
        <v>56</v>
      </c>
      <c r="B20" s="7" t="s">
        <v>57</v>
      </c>
      <c r="C20" s="8">
        <v>46083</v>
      </c>
      <c r="D20" s="35" t="e">
        <f>VLOOKUP(A20,#REF!,28,0)</f>
        <v>#REF!</v>
      </c>
      <c r="E20" s="36">
        <v>99980130963882</v>
      </c>
      <c r="F20" s="22" t="s">
        <v>197</v>
      </c>
      <c r="G20" s="17" t="s">
        <v>95</v>
      </c>
      <c r="H20" s="15"/>
    </row>
    <row r="21" spans="1:8" hidden="1" x14ac:dyDescent="0.35">
      <c r="A21" s="6" t="s">
        <v>58</v>
      </c>
      <c r="B21" s="7" t="s">
        <v>59</v>
      </c>
      <c r="C21" s="8">
        <v>46083</v>
      </c>
      <c r="D21" s="35" t="e">
        <f>VLOOKUP(A21,#REF!,28,0)</f>
        <v>#REF!</v>
      </c>
      <c r="E21" s="36">
        <v>99980130961902</v>
      </c>
      <c r="F21" s="22" t="s">
        <v>197</v>
      </c>
      <c r="G21" s="17" t="s">
        <v>95</v>
      </c>
      <c r="H21" s="15"/>
    </row>
    <row r="22" spans="1:8" hidden="1" x14ac:dyDescent="0.35">
      <c r="A22" s="6" t="s">
        <v>60</v>
      </c>
      <c r="B22" s="7" t="s">
        <v>61</v>
      </c>
      <c r="C22" s="8">
        <v>46083</v>
      </c>
      <c r="D22" s="35" t="e">
        <f>VLOOKUP(A22,#REF!,28,0)</f>
        <v>#REF!</v>
      </c>
      <c r="E22" s="34">
        <v>99980130961761</v>
      </c>
      <c r="F22" s="22" t="s">
        <v>197</v>
      </c>
      <c r="G22" s="17" t="s">
        <v>95</v>
      </c>
      <c r="H22" s="15"/>
    </row>
    <row r="23" spans="1:8" hidden="1" x14ac:dyDescent="0.35">
      <c r="A23" s="10" t="s">
        <v>132</v>
      </c>
      <c r="B23" s="11" t="s">
        <v>133</v>
      </c>
      <c r="C23" s="8">
        <v>46113</v>
      </c>
      <c r="D23" s="35" t="e">
        <f>VLOOKUP(A23,#REF!,28,0)</f>
        <v>#REF!</v>
      </c>
      <c r="E23" s="34">
        <v>99980130961787</v>
      </c>
      <c r="F23" s="22" t="s">
        <v>197</v>
      </c>
      <c r="G23" s="17" t="s">
        <v>95</v>
      </c>
      <c r="H23" s="15"/>
    </row>
    <row r="24" spans="1:8" x14ac:dyDescent="0.35">
      <c r="A24" s="6" t="s">
        <v>62</v>
      </c>
      <c r="B24" s="6" t="s">
        <v>63</v>
      </c>
      <c r="C24" s="8">
        <v>46083</v>
      </c>
      <c r="D24" s="35" t="e">
        <f>VLOOKUP(A24,#REF!,28,0)</f>
        <v>#REF!</v>
      </c>
      <c r="E24" s="35">
        <v>37182972098</v>
      </c>
      <c r="F24" s="35" t="s">
        <v>109</v>
      </c>
      <c r="G24" s="35" t="s">
        <v>79</v>
      </c>
      <c r="H24" s="15"/>
    </row>
    <row r="25" spans="1:8" x14ac:dyDescent="0.35">
      <c r="A25" s="6" t="s">
        <v>66</v>
      </c>
      <c r="B25" s="6" t="s">
        <v>67</v>
      </c>
      <c r="C25" s="8">
        <v>46083</v>
      </c>
      <c r="D25" s="35" t="e">
        <f>VLOOKUP(A25,#REF!,28,0)</f>
        <v>#REF!</v>
      </c>
      <c r="E25" s="35">
        <v>41536691505</v>
      </c>
      <c r="F25" s="35" t="s">
        <v>93</v>
      </c>
      <c r="G25" s="35" t="s">
        <v>79</v>
      </c>
      <c r="H25" s="15"/>
    </row>
    <row r="26" spans="1:8" x14ac:dyDescent="0.35">
      <c r="A26" s="6" t="s">
        <v>68</v>
      </c>
      <c r="B26" s="6" t="s">
        <v>69</v>
      </c>
      <c r="C26" s="8">
        <v>46083</v>
      </c>
      <c r="D26" s="35" t="e">
        <f>VLOOKUP(A26,#REF!,28,0)</f>
        <v>#REF!</v>
      </c>
      <c r="E26" s="35">
        <v>50100141200194</v>
      </c>
      <c r="F26" s="35" t="s">
        <v>94</v>
      </c>
      <c r="G26" s="35" t="s">
        <v>27</v>
      </c>
      <c r="H26" s="15"/>
    </row>
    <row r="27" spans="1:8" hidden="1" x14ac:dyDescent="0.35">
      <c r="A27" s="18" t="s">
        <v>70</v>
      </c>
      <c r="B27" s="18" t="s">
        <v>71</v>
      </c>
      <c r="C27" s="16">
        <v>46086</v>
      </c>
      <c r="D27" s="35" t="e">
        <f>VLOOKUP(A27,#REF!,29,0)</f>
        <v>#REF!</v>
      </c>
      <c r="E27" s="34">
        <v>99980130961795</v>
      </c>
      <c r="F27" s="22" t="s">
        <v>197</v>
      </c>
      <c r="G27" s="17" t="s">
        <v>95</v>
      </c>
      <c r="H27" s="15"/>
    </row>
    <row r="28" spans="1:8" hidden="1" x14ac:dyDescent="0.35">
      <c r="A28" s="10" t="s">
        <v>72</v>
      </c>
      <c r="B28" s="11" t="s">
        <v>73</v>
      </c>
      <c r="C28" s="16">
        <v>46092</v>
      </c>
      <c r="D28" s="35" t="e">
        <f>VLOOKUP(A28,#REF!,8,0)</f>
        <v>#REF!</v>
      </c>
      <c r="E28" s="34">
        <v>99980130950434</v>
      </c>
      <c r="F28" s="22" t="s">
        <v>197</v>
      </c>
      <c r="G28" s="17" t="s">
        <v>95</v>
      </c>
      <c r="H28" s="15"/>
    </row>
    <row r="29" spans="1:8" hidden="1" x14ac:dyDescent="0.35">
      <c r="A29" s="10" t="s">
        <v>112</v>
      </c>
      <c r="B29" s="11" t="s">
        <v>113</v>
      </c>
      <c r="C29" s="8">
        <v>46113</v>
      </c>
      <c r="D29" s="35" t="e">
        <f>VLOOKUP(A29,#REF!,28,0)</f>
        <v>#REF!</v>
      </c>
      <c r="E29" s="34">
        <v>15550100112314</v>
      </c>
      <c r="F29" s="22" t="s">
        <v>197</v>
      </c>
      <c r="G29" s="17" t="s">
        <v>95</v>
      </c>
      <c r="H29" s="15"/>
    </row>
    <row r="30" spans="1:8" x14ac:dyDescent="0.35">
      <c r="A30" s="10" t="s">
        <v>114</v>
      </c>
      <c r="B30" s="11" t="s">
        <v>115</v>
      </c>
      <c r="C30" s="8">
        <v>46113</v>
      </c>
      <c r="D30" s="35" t="e">
        <f>VLOOKUP(A30,#REF!,28,0)</f>
        <v>#REF!</v>
      </c>
      <c r="E30" s="39">
        <v>40590710609</v>
      </c>
      <c r="F30" s="41" t="s">
        <v>149</v>
      </c>
      <c r="G30" s="42" t="s">
        <v>79</v>
      </c>
      <c r="H30" s="15"/>
    </row>
    <row r="31" spans="1:8" hidden="1" x14ac:dyDescent="0.35">
      <c r="A31" s="14" t="s">
        <v>147</v>
      </c>
      <c r="B31" s="9" t="s">
        <v>146</v>
      </c>
      <c r="C31" s="8">
        <v>46113</v>
      </c>
      <c r="D31" s="35" t="e">
        <f>VLOOKUP(A31,#REF!,28,0)</f>
        <v>#REF!</v>
      </c>
      <c r="E31" s="34">
        <v>15550100112330</v>
      </c>
      <c r="F31" s="22" t="s">
        <v>197</v>
      </c>
      <c r="G31" s="17" t="s">
        <v>95</v>
      </c>
      <c r="H31" s="15"/>
    </row>
    <row r="32" spans="1:8" x14ac:dyDescent="0.35">
      <c r="A32" s="10" t="s">
        <v>116</v>
      </c>
      <c r="B32" s="11" t="s">
        <v>117</v>
      </c>
      <c r="C32" s="8">
        <v>46113</v>
      </c>
      <c r="D32" s="35" t="e">
        <f>VLOOKUP(A32,#REF!,28,0)</f>
        <v>#REF!</v>
      </c>
      <c r="E32" s="38">
        <v>801663119</v>
      </c>
      <c r="F32" s="41" t="s">
        <v>150</v>
      </c>
      <c r="G32" s="42" t="s">
        <v>21</v>
      </c>
      <c r="H32" s="15"/>
    </row>
    <row r="33" spans="1:8" hidden="1" x14ac:dyDescent="0.35">
      <c r="A33" s="10" t="s">
        <v>118</v>
      </c>
      <c r="B33" s="11" t="s">
        <v>119</v>
      </c>
      <c r="C33" s="8">
        <v>46113</v>
      </c>
      <c r="D33" s="35" t="e">
        <f>VLOOKUP(A33,#REF!,28,0)</f>
        <v>#REF!</v>
      </c>
      <c r="E33" s="38">
        <v>55560103431927</v>
      </c>
      <c r="F33" s="41" t="s">
        <v>152</v>
      </c>
      <c r="G33" s="41" t="s">
        <v>151</v>
      </c>
      <c r="H33" s="15"/>
    </row>
    <row r="34" spans="1:8" hidden="1" x14ac:dyDescent="0.35">
      <c r="A34" s="10" t="s">
        <v>120</v>
      </c>
      <c r="B34" s="11" t="s">
        <v>121</v>
      </c>
      <c r="C34" s="8">
        <v>46113</v>
      </c>
      <c r="D34" s="35" t="e">
        <f>VLOOKUP(A34,#REF!,28,0)</f>
        <v>#REF!</v>
      </c>
      <c r="E34" s="34">
        <v>15550100112355</v>
      </c>
      <c r="F34" s="22" t="s">
        <v>197</v>
      </c>
      <c r="G34" s="17" t="s">
        <v>95</v>
      </c>
      <c r="H34" s="15"/>
    </row>
    <row r="35" spans="1:8" hidden="1" x14ac:dyDescent="0.35">
      <c r="A35" s="10" t="s">
        <v>122</v>
      </c>
      <c r="B35" s="11" t="s">
        <v>123</v>
      </c>
      <c r="C35" s="8">
        <v>46113</v>
      </c>
      <c r="D35" s="35" t="e">
        <f>VLOOKUP(A35,#REF!,28,0)</f>
        <v>#REF!</v>
      </c>
      <c r="E35" s="34">
        <v>15550100112280</v>
      </c>
      <c r="F35" s="22" t="s">
        <v>197</v>
      </c>
      <c r="G35" s="17" t="s">
        <v>95</v>
      </c>
      <c r="H35" s="15"/>
    </row>
    <row r="36" spans="1:8" x14ac:dyDescent="0.35">
      <c r="A36" s="10" t="s">
        <v>124</v>
      </c>
      <c r="B36" s="11" t="s">
        <v>125</v>
      </c>
      <c r="C36" s="8">
        <v>46113</v>
      </c>
      <c r="D36" s="35" t="e">
        <f>VLOOKUP(A36,#REF!,28,0)</f>
        <v>#REF!</v>
      </c>
      <c r="E36" s="39">
        <v>386701504229</v>
      </c>
      <c r="F36" s="41" t="s">
        <v>154</v>
      </c>
      <c r="G36" s="42" t="s">
        <v>21</v>
      </c>
      <c r="H36" s="15"/>
    </row>
    <row r="37" spans="1:8" hidden="1" x14ac:dyDescent="0.35">
      <c r="A37" s="10" t="s">
        <v>128</v>
      </c>
      <c r="B37" s="20" t="s">
        <v>129</v>
      </c>
      <c r="C37" s="8">
        <v>46113</v>
      </c>
      <c r="D37" s="35" t="e">
        <f>VLOOKUP(A37,#REF!,28,0)</f>
        <v>#REF!</v>
      </c>
      <c r="E37" s="34">
        <v>15550100112306</v>
      </c>
      <c r="F37" s="22" t="s">
        <v>197</v>
      </c>
      <c r="G37" s="17" t="s">
        <v>95</v>
      </c>
      <c r="H37" s="15"/>
    </row>
    <row r="38" spans="1:8" hidden="1" x14ac:dyDescent="0.35">
      <c r="A38" s="10" t="s">
        <v>130</v>
      </c>
      <c r="B38" s="20" t="s">
        <v>131</v>
      </c>
      <c r="C38" s="8">
        <v>46113</v>
      </c>
      <c r="D38" s="35" t="e">
        <f>VLOOKUP(A38,#REF!,28,0)</f>
        <v>#REF!</v>
      </c>
      <c r="E38" s="34">
        <v>15550100112298</v>
      </c>
      <c r="F38" s="22" t="s">
        <v>197</v>
      </c>
      <c r="G38" s="17" t="s">
        <v>95</v>
      </c>
      <c r="H38" s="15"/>
    </row>
    <row r="39" spans="1:8" x14ac:dyDescent="0.35">
      <c r="A39" s="10" t="s">
        <v>126</v>
      </c>
      <c r="B39" s="11" t="s">
        <v>127</v>
      </c>
      <c r="C39" s="8">
        <v>46113</v>
      </c>
      <c r="D39" s="35" t="e">
        <f>VLOOKUP(A39,#REF!,28,0)</f>
        <v>#REF!</v>
      </c>
      <c r="E39" s="39">
        <v>44652833670</v>
      </c>
      <c r="F39" s="42" t="s">
        <v>155</v>
      </c>
      <c r="G39" s="42" t="s">
        <v>79</v>
      </c>
      <c r="H39" s="15"/>
    </row>
    <row r="40" spans="1:8" x14ac:dyDescent="0.35">
      <c r="A40" s="10" t="s">
        <v>134</v>
      </c>
      <c r="B40" s="11" t="s">
        <v>135</v>
      </c>
      <c r="C40" s="8">
        <v>46113</v>
      </c>
      <c r="D40" s="35" t="e">
        <f>VLOOKUP(A40,#REF!,28,0)</f>
        <v>#REF!</v>
      </c>
      <c r="E40" s="43">
        <v>37097117593</v>
      </c>
      <c r="F40" s="44" t="s">
        <v>160</v>
      </c>
      <c r="G40" s="42" t="s">
        <v>79</v>
      </c>
      <c r="H40" s="15"/>
    </row>
    <row r="41" spans="1:8" hidden="1" x14ac:dyDescent="0.35">
      <c r="A41" s="10" t="s">
        <v>136</v>
      </c>
      <c r="B41" s="11" t="s">
        <v>137</v>
      </c>
      <c r="C41" s="8">
        <v>46113</v>
      </c>
      <c r="D41" s="35" t="e">
        <f>VLOOKUP(A41,#REF!,28,0)</f>
        <v>#REF!</v>
      </c>
      <c r="E41" s="34">
        <v>99980130961779</v>
      </c>
      <c r="F41" s="22" t="s">
        <v>197</v>
      </c>
      <c r="G41" s="10" t="s">
        <v>95</v>
      </c>
      <c r="H41" s="15"/>
    </row>
    <row r="42" spans="1:8" x14ac:dyDescent="0.35">
      <c r="A42" s="10" t="s">
        <v>138</v>
      </c>
      <c r="B42" s="11" t="s">
        <v>139</v>
      </c>
      <c r="C42" s="8">
        <v>46113</v>
      </c>
      <c r="D42" s="35" t="e">
        <f>VLOOKUP(A42,#REF!,28,0)</f>
        <v>#REF!</v>
      </c>
      <c r="E42" s="38">
        <v>50100405907963</v>
      </c>
      <c r="F42" s="41" t="s">
        <v>163</v>
      </c>
      <c r="G42" s="44" t="s">
        <v>162</v>
      </c>
      <c r="H42" s="15"/>
    </row>
    <row r="43" spans="1:8" hidden="1" x14ac:dyDescent="0.35">
      <c r="A43" s="10" t="s">
        <v>140</v>
      </c>
      <c r="B43" s="11" t="s">
        <v>141</v>
      </c>
      <c r="C43" s="8">
        <v>46113</v>
      </c>
      <c r="D43" s="35" t="e">
        <f>VLOOKUP(A43,#REF!,28,0)</f>
        <v>#REF!</v>
      </c>
      <c r="E43" s="34">
        <v>15550100112322</v>
      </c>
      <c r="F43" s="22" t="s">
        <v>197</v>
      </c>
      <c r="G43" s="10" t="s">
        <v>95</v>
      </c>
      <c r="H43" s="15"/>
    </row>
    <row r="44" spans="1:8" hidden="1" x14ac:dyDescent="0.35">
      <c r="A44" s="10" t="s">
        <v>144</v>
      </c>
      <c r="B44" s="11" t="s">
        <v>145</v>
      </c>
      <c r="C44" s="8">
        <v>46113</v>
      </c>
      <c r="D44" s="35" t="e">
        <f>VLOOKUP(A44,#REF!,28,0)</f>
        <v>#REF!</v>
      </c>
      <c r="E44" s="34">
        <v>15550100112363</v>
      </c>
      <c r="F44" s="22" t="s">
        <v>197</v>
      </c>
      <c r="G44" s="10" t="s">
        <v>95</v>
      </c>
      <c r="H44" s="15"/>
    </row>
    <row r="45" spans="1:8" x14ac:dyDescent="0.35">
      <c r="A45" s="10" t="s">
        <v>180</v>
      </c>
      <c r="B45" s="11" t="s">
        <v>175</v>
      </c>
      <c r="C45" s="8">
        <v>46113</v>
      </c>
      <c r="D45" s="35" t="e">
        <f>VLOOKUP(A45,#REF!,28,0)</f>
        <v>#REF!</v>
      </c>
      <c r="E45" s="38">
        <v>38613963272</v>
      </c>
      <c r="F45" s="22" t="s">
        <v>176</v>
      </c>
      <c r="G45" s="22" t="s">
        <v>79</v>
      </c>
      <c r="H45" s="15"/>
    </row>
    <row r="46" spans="1:8" ht="29" x14ac:dyDescent="0.35">
      <c r="A46" s="10" t="s">
        <v>181</v>
      </c>
      <c r="B46" s="11" t="s">
        <v>177</v>
      </c>
      <c r="C46" s="8">
        <v>46113</v>
      </c>
      <c r="D46" s="35" t="e">
        <f>VLOOKUP(A46,#REF!,28,0)</f>
        <v>#REF!</v>
      </c>
      <c r="E46" s="38">
        <v>180701000002091</v>
      </c>
      <c r="F46" s="22" t="s">
        <v>178</v>
      </c>
      <c r="G46" s="22" t="s">
        <v>179</v>
      </c>
      <c r="H46" s="15"/>
    </row>
    <row r="47" spans="1:8" x14ac:dyDescent="0.35">
      <c r="A47" s="5"/>
      <c r="B47" s="5"/>
      <c r="C47" s="2"/>
      <c r="D47" s="3"/>
      <c r="E47" s="3"/>
    </row>
    <row r="48" spans="1:8" x14ac:dyDescent="0.35">
      <c r="B48" s="1" t="s">
        <v>12</v>
      </c>
      <c r="C48" s="1"/>
      <c r="D48" s="52" t="e">
        <f>SUM(D2:D47)</f>
        <v>#REF!</v>
      </c>
    </row>
  </sheetData>
  <autoFilter ref="A1:H46" xr:uid="{A391748B-F213-475C-ADDF-18924556A258}">
    <filterColumn colId="6">
      <filters>
        <filter val="BANK OF BARODA"/>
        <filter val="Canara Bank"/>
        <filter val="HDFC"/>
        <filter val="HDFC Bank"/>
        <filter val="ICICI Bank"/>
        <filter val="Indian Bank"/>
        <filter val="Indian Overseas Bank"/>
        <filter val="INDUSIND BANK"/>
        <filter val="State Bank of India"/>
      </filters>
    </filterColumn>
    <sortState xmlns:xlrd2="http://schemas.microsoft.com/office/spreadsheetml/2017/richdata2" ref="A2:H44">
      <sortCondition ref="A1"/>
    </sortState>
  </autoFilter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DD9-6648-498D-B8D2-9BA2CD242747}">
  <dimension ref="A1:I15"/>
  <sheetViews>
    <sheetView workbookViewId="0">
      <selection activeCell="M13" sqref="M13"/>
    </sheetView>
  </sheetViews>
  <sheetFormatPr defaultRowHeight="14.5" x14ac:dyDescent="0.35"/>
  <cols>
    <col min="1" max="1" width="4.81640625" customWidth="1"/>
    <col min="2" max="2" width="18.453125" customWidth="1"/>
    <col min="3" max="3" width="8.7265625" customWidth="1"/>
    <col min="4" max="4" width="17" customWidth="1"/>
    <col min="5" max="5" width="10.54296875" customWidth="1"/>
    <col min="6" max="6" width="18.90625" customWidth="1"/>
    <col min="7" max="7" width="13" customWidth="1"/>
    <col min="8" max="8" width="25" customWidth="1"/>
    <col min="9" max="9" width="12.08984375" customWidth="1"/>
  </cols>
  <sheetData>
    <row r="1" spans="1:9" x14ac:dyDescent="0.35">
      <c r="A1" s="28" t="s">
        <v>100</v>
      </c>
      <c r="B1" s="28" t="s">
        <v>101</v>
      </c>
      <c r="C1" s="28" t="s">
        <v>102</v>
      </c>
      <c r="D1" s="28" t="s">
        <v>103</v>
      </c>
      <c r="E1" s="28" t="s">
        <v>104</v>
      </c>
      <c r="F1" s="12" t="s">
        <v>7</v>
      </c>
      <c r="G1" s="12" t="s">
        <v>8</v>
      </c>
      <c r="H1" s="12" t="s">
        <v>182</v>
      </c>
      <c r="I1" s="12" t="s">
        <v>10</v>
      </c>
    </row>
    <row r="2" spans="1:9" x14ac:dyDescent="0.35">
      <c r="A2" s="15">
        <v>1</v>
      </c>
      <c r="B2" s="15" t="s">
        <v>97</v>
      </c>
      <c r="C2" s="27"/>
      <c r="D2" s="15"/>
      <c r="E2" s="40">
        <v>230000</v>
      </c>
      <c r="F2" s="35">
        <v>32862142889</v>
      </c>
      <c r="G2" s="15" t="s">
        <v>194</v>
      </c>
      <c r="H2" s="15" t="s">
        <v>193</v>
      </c>
      <c r="I2" s="15" t="s">
        <v>148</v>
      </c>
    </row>
    <row r="3" spans="1:9" x14ac:dyDescent="0.35">
      <c r="A3" s="15">
        <v>2</v>
      </c>
      <c r="B3" s="15" t="s">
        <v>105</v>
      </c>
      <c r="C3" s="27">
        <v>22</v>
      </c>
      <c r="D3" s="15">
        <v>1200</v>
      </c>
      <c r="E3" s="40">
        <f>C3*D3</f>
        <v>26400</v>
      </c>
      <c r="F3" s="45" t="s">
        <v>190</v>
      </c>
      <c r="G3" s="15" t="s">
        <v>183</v>
      </c>
      <c r="H3" s="15" t="s">
        <v>184</v>
      </c>
      <c r="I3" s="15" t="s">
        <v>21</v>
      </c>
    </row>
    <row r="4" spans="1:9" x14ac:dyDescent="0.35">
      <c r="A4" s="15">
        <v>3</v>
      </c>
      <c r="B4" s="15" t="s">
        <v>106</v>
      </c>
      <c r="C4" s="27">
        <v>22</v>
      </c>
      <c r="D4" s="15">
        <v>1200</v>
      </c>
      <c r="E4" s="40">
        <f t="shared" ref="E4:E8" si="0">C4*D4</f>
        <v>26400</v>
      </c>
      <c r="F4" s="35">
        <v>653101004326</v>
      </c>
      <c r="G4" s="15" t="s">
        <v>185</v>
      </c>
      <c r="H4" s="15" t="s">
        <v>186</v>
      </c>
      <c r="I4" s="15" t="s">
        <v>21</v>
      </c>
    </row>
    <row r="5" spans="1:9" x14ac:dyDescent="0.35">
      <c r="A5" s="15">
        <v>4</v>
      </c>
      <c r="B5" s="15" t="s">
        <v>107</v>
      </c>
      <c r="C5" s="27">
        <v>30</v>
      </c>
      <c r="D5" s="15">
        <v>1000</v>
      </c>
      <c r="E5" s="40">
        <f t="shared" si="0"/>
        <v>30000</v>
      </c>
      <c r="F5" s="35">
        <v>922020060410761</v>
      </c>
      <c r="G5" s="15" t="s">
        <v>191</v>
      </c>
      <c r="H5" s="15" t="s">
        <v>192</v>
      </c>
      <c r="I5" s="15" t="s">
        <v>172</v>
      </c>
    </row>
    <row r="6" spans="1:9" x14ac:dyDescent="0.35">
      <c r="A6" s="15">
        <v>5</v>
      </c>
      <c r="B6" s="15" t="s">
        <v>108</v>
      </c>
      <c r="C6" s="27">
        <v>30</v>
      </c>
      <c r="D6" s="15">
        <v>1000</v>
      </c>
      <c r="E6" s="40">
        <f t="shared" si="0"/>
        <v>30000</v>
      </c>
      <c r="F6" s="40">
        <v>814649188</v>
      </c>
      <c r="G6" s="15" t="s">
        <v>187</v>
      </c>
      <c r="H6" s="15" t="s">
        <v>188</v>
      </c>
      <c r="I6" s="15" t="s">
        <v>189</v>
      </c>
    </row>
    <row r="7" spans="1:9" x14ac:dyDescent="0.35">
      <c r="A7" s="15">
        <v>6</v>
      </c>
      <c r="B7" s="15" t="s">
        <v>168</v>
      </c>
      <c r="C7" s="27">
        <v>13.5</v>
      </c>
      <c r="D7" s="15">
        <v>1000</v>
      </c>
      <c r="E7" s="40">
        <f t="shared" si="0"/>
        <v>13500</v>
      </c>
      <c r="F7" s="35">
        <v>50100115451901</v>
      </c>
      <c r="G7" s="15" t="s">
        <v>198</v>
      </c>
      <c r="H7" s="15" t="s">
        <v>198</v>
      </c>
      <c r="I7" s="15" t="s">
        <v>162</v>
      </c>
    </row>
    <row r="8" spans="1:9" x14ac:dyDescent="0.35">
      <c r="A8" s="15">
        <v>7</v>
      </c>
      <c r="B8" s="15" t="s">
        <v>169</v>
      </c>
      <c r="C8" s="27">
        <v>19</v>
      </c>
      <c r="D8" s="15">
        <v>800</v>
      </c>
      <c r="E8" s="40">
        <f t="shared" si="0"/>
        <v>15200</v>
      </c>
      <c r="F8" s="40">
        <v>45080524946</v>
      </c>
      <c r="G8" s="15" t="s">
        <v>195</v>
      </c>
      <c r="H8" s="15" t="s">
        <v>196</v>
      </c>
      <c r="I8" s="15" t="s">
        <v>148</v>
      </c>
    </row>
    <row r="9" spans="1:9" ht="42.5" customHeight="1" x14ac:dyDescent="0.35">
      <c r="A9" s="15">
        <v>8</v>
      </c>
      <c r="B9" s="15" t="s">
        <v>203</v>
      </c>
      <c r="C9" s="15"/>
      <c r="D9" s="15"/>
      <c r="E9" s="40">
        <v>160000</v>
      </c>
      <c r="F9" s="35">
        <v>50200062999445</v>
      </c>
      <c r="G9" s="40" t="s">
        <v>199</v>
      </c>
      <c r="H9" s="48" t="s">
        <v>202</v>
      </c>
      <c r="I9" s="40" t="s">
        <v>162</v>
      </c>
    </row>
    <row r="10" spans="1:9" ht="29" customHeight="1" x14ac:dyDescent="0.35">
      <c r="A10" s="15">
        <v>9</v>
      </c>
      <c r="B10" s="49" t="s">
        <v>200</v>
      </c>
      <c r="C10" s="15"/>
      <c r="D10" s="15"/>
      <c r="E10" s="40">
        <v>22583.06</v>
      </c>
      <c r="F10" s="35">
        <v>50200026430541</v>
      </c>
      <c r="G10" s="40" t="s">
        <v>201</v>
      </c>
      <c r="H10" s="49" t="s">
        <v>200</v>
      </c>
      <c r="I10" s="40" t="s">
        <v>162</v>
      </c>
    </row>
    <row r="11" spans="1:9" ht="16.5" customHeight="1" x14ac:dyDescent="0.35">
      <c r="B11" s="51"/>
      <c r="E11" s="47"/>
      <c r="F11" s="36"/>
      <c r="G11" s="47"/>
      <c r="I11" s="47"/>
    </row>
    <row r="12" spans="1:9" x14ac:dyDescent="0.35">
      <c r="B12" s="1" t="s">
        <v>6</v>
      </c>
      <c r="E12" s="50">
        <f>SUM(E2:E10)</f>
        <v>554083.06000000006</v>
      </c>
    </row>
    <row r="13" spans="1:9" x14ac:dyDescent="0.35">
      <c r="G13" s="47"/>
    </row>
    <row r="15" spans="1:9" x14ac:dyDescent="0.35">
      <c r="C15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pane ySplit="1" topLeftCell="A23" activePane="bottomLeft" state="frozen"/>
      <selection pane="bottomLeft" activeCell="G30" sqref="G3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hidden="1" customWidth="1"/>
    <col min="4" max="4" width="16.36328125" hidden="1" customWidth="1"/>
    <col min="5" max="5" width="19.7265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3</v>
      </c>
      <c r="D1" s="12" t="s">
        <v>2</v>
      </c>
      <c r="E1" s="13" t="s">
        <v>7</v>
      </c>
      <c r="F1" s="13" t="s">
        <v>8</v>
      </c>
      <c r="G1" s="13" t="s">
        <v>10</v>
      </c>
      <c r="H1" s="13" t="s">
        <v>29</v>
      </c>
    </row>
    <row r="2" spans="1:8" x14ac:dyDescent="0.35">
      <c r="A2" s="29" t="s">
        <v>50</v>
      </c>
      <c r="B2" s="30" t="s">
        <v>51</v>
      </c>
      <c r="C2" s="31">
        <v>46083</v>
      </c>
      <c r="D2" s="32" t="e">
        <f>VLOOKUP(A2,#REF!,28,0)</f>
        <v>#REF!</v>
      </c>
      <c r="E2" s="32">
        <v>50100565431077</v>
      </c>
      <c r="F2" s="32" t="s">
        <v>84</v>
      </c>
      <c r="G2" s="32" t="s">
        <v>27</v>
      </c>
      <c r="H2" s="33" t="s">
        <v>174</v>
      </c>
    </row>
    <row r="3" spans="1:8" x14ac:dyDescent="0.35">
      <c r="A3" s="14" t="s">
        <v>14</v>
      </c>
      <c r="B3" s="15" t="s">
        <v>28</v>
      </c>
      <c r="C3" s="16">
        <v>46054</v>
      </c>
      <c r="D3" s="17" t="e">
        <f>VLOOKUP(A3,#REF!,8,0)</f>
        <v>#REF!</v>
      </c>
      <c r="E3" s="17">
        <v>50100677371816</v>
      </c>
      <c r="F3" s="15" t="s">
        <v>26</v>
      </c>
      <c r="G3" s="15" t="s">
        <v>27</v>
      </c>
      <c r="H3" s="15"/>
    </row>
    <row r="4" spans="1:8" x14ac:dyDescent="0.35">
      <c r="A4" s="14" t="s">
        <v>13</v>
      </c>
      <c r="B4" s="14" t="s">
        <v>16</v>
      </c>
      <c r="C4" s="16">
        <v>46054</v>
      </c>
      <c r="D4" s="17" t="e">
        <f>VLOOKUP(A4,#REF!,8,0)</f>
        <v>#REF!</v>
      </c>
      <c r="E4" s="17">
        <v>154710100018477</v>
      </c>
      <c r="F4" s="15" t="s">
        <v>18</v>
      </c>
      <c r="G4" s="15" t="s">
        <v>19</v>
      </c>
      <c r="H4" s="15"/>
    </row>
    <row r="5" spans="1:8" x14ac:dyDescent="0.35">
      <c r="A5" s="18" t="s">
        <v>5</v>
      </c>
      <c r="B5" s="18" t="s">
        <v>4</v>
      </c>
      <c r="C5" s="16">
        <v>46062</v>
      </c>
      <c r="D5" s="17" t="e">
        <f>VLOOKUP(A5,#REF!,29,0)</f>
        <v>#REF!</v>
      </c>
      <c r="E5" s="17">
        <v>41280100007853</v>
      </c>
      <c r="F5" s="15" t="s">
        <v>9</v>
      </c>
      <c r="G5" s="15" t="s">
        <v>11</v>
      </c>
      <c r="H5" s="15"/>
    </row>
    <row r="6" spans="1:8" x14ac:dyDescent="0.35">
      <c r="A6" s="6" t="s">
        <v>34</v>
      </c>
      <c r="B6" s="7" t="s">
        <v>35</v>
      </c>
      <c r="C6" s="8">
        <v>46083</v>
      </c>
      <c r="D6" s="17" t="e">
        <f>VLOOKUP(A6,#REF!,28,0)</f>
        <v>#REF!</v>
      </c>
      <c r="E6" s="17">
        <v>62428832885</v>
      </c>
      <c r="F6" s="17" t="s">
        <v>110</v>
      </c>
      <c r="G6" s="17" t="s">
        <v>79</v>
      </c>
      <c r="H6" s="15"/>
    </row>
    <row r="7" spans="1:8" x14ac:dyDescent="0.35">
      <c r="A7" s="6" t="s">
        <v>30</v>
      </c>
      <c r="B7" s="7" t="s">
        <v>31</v>
      </c>
      <c r="C7" s="8">
        <v>46083</v>
      </c>
      <c r="D7" s="17" t="e">
        <f>VLOOKUP(A7,#REF!,28,0)</f>
        <v>#REF!</v>
      </c>
      <c r="E7" s="17">
        <v>3327101004003</v>
      </c>
      <c r="F7" s="17" t="s">
        <v>74</v>
      </c>
      <c r="G7" s="17" t="s">
        <v>75</v>
      </c>
      <c r="H7" s="15"/>
    </row>
    <row r="8" spans="1:8" x14ac:dyDescent="0.35">
      <c r="A8" s="6" t="s">
        <v>46</v>
      </c>
      <c r="B8" s="7" t="s">
        <v>47</v>
      </c>
      <c r="C8" s="8">
        <v>46083</v>
      </c>
      <c r="D8" s="17" t="e">
        <f>VLOOKUP(A8,#REF!,28,0)</f>
        <v>#REF!</v>
      </c>
      <c r="E8" s="17">
        <v>159502740717</v>
      </c>
      <c r="F8" s="17" t="s">
        <v>81</v>
      </c>
      <c r="G8" s="17" t="s">
        <v>82</v>
      </c>
      <c r="H8" s="15"/>
    </row>
    <row r="9" spans="1:8" x14ac:dyDescent="0.35">
      <c r="A9" s="6" t="s">
        <v>38</v>
      </c>
      <c r="B9" s="7" t="s">
        <v>39</v>
      </c>
      <c r="C9" s="8">
        <v>46083</v>
      </c>
      <c r="D9" s="17" t="e">
        <f>VLOOKUP(A9,#REF!,28,0)</f>
        <v>#REF!</v>
      </c>
      <c r="E9" s="17">
        <v>77770116800885</v>
      </c>
      <c r="F9" s="17" t="s">
        <v>77</v>
      </c>
      <c r="G9" s="17" t="s">
        <v>95</v>
      </c>
      <c r="H9" s="15"/>
    </row>
    <row r="10" spans="1:8" x14ac:dyDescent="0.35">
      <c r="A10" s="6" t="s">
        <v>44</v>
      </c>
      <c r="B10" s="7" t="s">
        <v>45</v>
      </c>
      <c r="C10" s="8">
        <v>46083</v>
      </c>
      <c r="D10" s="17" t="e">
        <f>VLOOKUP(A10,#REF!,28,0)</f>
        <v>#REF!</v>
      </c>
      <c r="E10" s="17">
        <v>1446178000009710</v>
      </c>
      <c r="F10" s="17" t="s">
        <v>98</v>
      </c>
      <c r="G10" s="17" t="s">
        <v>99</v>
      </c>
      <c r="H10" s="15"/>
    </row>
    <row r="11" spans="1:8" x14ac:dyDescent="0.35">
      <c r="A11" s="6" t="s">
        <v>42</v>
      </c>
      <c r="B11" s="7" t="s">
        <v>43</v>
      </c>
      <c r="C11" s="8">
        <v>46083</v>
      </c>
      <c r="D11" s="17" t="e">
        <f>VLOOKUP(A11,#REF!,28,0)</f>
        <v>#REF!</v>
      </c>
      <c r="E11" s="17">
        <v>62297418711</v>
      </c>
      <c r="F11" s="17" t="s">
        <v>80</v>
      </c>
      <c r="G11" s="17" t="s">
        <v>79</v>
      </c>
      <c r="H11" s="15"/>
    </row>
    <row r="12" spans="1:8" x14ac:dyDescent="0.35">
      <c r="A12" s="6" t="s">
        <v>40</v>
      </c>
      <c r="B12" s="7" t="s">
        <v>41</v>
      </c>
      <c r="C12" s="8">
        <v>46083</v>
      </c>
      <c r="D12" s="17" t="e">
        <f>VLOOKUP(A12,#REF!,28,0)</f>
        <v>#REF!</v>
      </c>
      <c r="E12" s="17">
        <v>41085488775</v>
      </c>
      <c r="F12" s="17" t="s">
        <v>78</v>
      </c>
      <c r="G12" s="17" t="s">
        <v>79</v>
      </c>
      <c r="H12" s="15"/>
    </row>
    <row r="13" spans="1:8" x14ac:dyDescent="0.35">
      <c r="A13" s="6" t="s">
        <v>32</v>
      </c>
      <c r="B13" s="7" t="s">
        <v>33</v>
      </c>
      <c r="C13" s="8">
        <v>46083</v>
      </c>
      <c r="D13" s="17" t="e">
        <f>VLOOKUP(A13,#REF!,28,0)</f>
        <v>#REF!</v>
      </c>
      <c r="E13" s="17">
        <v>50100595290241</v>
      </c>
      <c r="F13" s="17" t="s">
        <v>76</v>
      </c>
      <c r="G13" s="17" t="s">
        <v>27</v>
      </c>
      <c r="H13" s="15"/>
    </row>
    <row r="14" spans="1:8" x14ac:dyDescent="0.35">
      <c r="A14" s="6" t="s">
        <v>36</v>
      </c>
      <c r="B14" s="7" t="s">
        <v>37</v>
      </c>
      <c r="C14" s="8">
        <v>46083</v>
      </c>
      <c r="D14" s="17" t="e">
        <f>VLOOKUP(A14,#REF!,28,0)</f>
        <v>#REF!</v>
      </c>
      <c r="E14" s="17">
        <v>62442668281</v>
      </c>
      <c r="F14" s="17" t="s">
        <v>111</v>
      </c>
      <c r="G14" s="17" t="s">
        <v>79</v>
      </c>
      <c r="H14" s="15"/>
    </row>
    <row r="15" spans="1:8" x14ac:dyDescent="0.35">
      <c r="A15" s="14" t="s">
        <v>22</v>
      </c>
      <c r="B15" s="14" t="s">
        <v>23</v>
      </c>
      <c r="C15" s="16">
        <v>46066</v>
      </c>
      <c r="D15" s="17" t="e">
        <f>VLOOKUP(A15,#REF!,8,0)</f>
        <v>#REF!</v>
      </c>
      <c r="E15" s="19" t="s">
        <v>24</v>
      </c>
      <c r="F15" s="15" t="s">
        <v>25</v>
      </c>
      <c r="G15" s="15" t="s">
        <v>21</v>
      </c>
      <c r="H15" s="15"/>
    </row>
    <row r="16" spans="1:8" x14ac:dyDescent="0.35">
      <c r="A16" s="6" t="s">
        <v>48</v>
      </c>
      <c r="B16" s="7" t="s">
        <v>49</v>
      </c>
      <c r="C16" s="8">
        <v>46083</v>
      </c>
      <c r="D16" s="17" t="e">
        <f>VLOOKUP(A16,#REF!,28,0)</f>
        <v>#REF!</v>
      </c>
      <c r="E16" s="17">
        <v>39569845546</v>
      </c>
      <c r="F16" s="17" t="s">
        <v>83</v>
      </c>
      <c r="G16" s="17" t="s">
        <v>79</v>
      </c>
      <c r="H16" s="15"/>
    </row>
    <row r="17" spans="1:8" x14ac:dyDescent="0.35">
      <c r="A17" s="6" t="s">
        <v>52</v>
      </c>
      <c r="B17" s="7" t="s">
        <v>53</v>
      </c>
      <c r="C17" s="8">
        <v>46083</v>
      </c>
      <c r="D17" s="17" t="e">
        <f>VLOOKUP(A17,#REF!,28,0)</f>
        <v>#REF!</v>
      </c>
      <c r="E17" s="17">
        <v>41202390653</v>
      </c>
      <c r="F17" s="17" t="s">
        <v>85</v>
      </c>
      <c r="G17" s="17" t="s">
        <v>79</v>
      </c>
      <c r="H17" s="15"/>
    </row>
    <row r="18" spans="1:8" x14ac:dyDescent="0.35">
      <c r="A18" s="14" t="s">
        <v>15</v>
      </c>
      <c r="B18" s="14" t="s">
        <v>17</v>
      </c>
      <c r="C18" s="16">
        <v>46072</v>
      </c>
      <c r="D18" s="17" t="e">
        <f>VLOOKUP(A18,#REF!,8,0)</f>
        <v>#REF!</v>
      </c>
      <c r="E18" s="17">
        <v>770301501355</v>
      </c>
      <c r="F18" s="15" t="s">
        <v>20</v>
      </c>
      <c r="G18" s="15" t="s">
        <v>21</v>
      </c>
      <c r="H18" s="15"/>
    </row>
    <row r="19" spans="1:8" x14ac:dyDescent="0.35">
      <c r="A19" s="10" t="s">
        <v>142</v>
      </c>
      <c r="B19" s="11" t="s">
        <v>143</v>
      </c>
      <c r="C19" s="8">
        <v>46113</v>
      </c>
      <c r="D19" s="17" t="e">
        <f>VLOOKUP(A19,#REF!,28,0)</f>
        <v>#REF!</v>
      </c>
      <c r="E19" s="23">
        <v>44610100006654</v>
      </c>
      <c r="F19" s="22" t="s">
        <v>165</v>
      </c>
      <c r="G19" s="10" t="s">
        <v>164</v>
      </c>
      <c r="H19" s="15"/>
    </row>
    <row r="20" spans="1:8" x14ac:dyDescent="0.35">
      <c r="A20" s="6" t="s">
        <v>54</v>
      </c>
      <c r="B20" s="7" t="s">
        <v>55</v>
      </c>
      <c r="C20" s="8">
        <v>46083</v>
      </c>
      <c r="D20" s="17" t="e">
        <f>VLOOKUP(A20,#REF!,28,0)</f>
        <v>#REF!</v>
      </c>
      <c r="E20" s="17">
        <v>615728726</v>
      </c>
      <c r="F20" s="17" t="s">
        <v>86</v>
      </c>
      <c r="G20" s="17" t="s">
        <v>87</v>
      </c>
      <c r="H20" s="15"/>
    </row>
    <row r="21" spans="1:8" x14ac:dyDescent="0.35">
      <c r="A21" s="6" t="s">
        <v>56</v>
      </c>
      <c r="B21" s="7" t="s">
        <v>57</v>
      </c>
      <c r="C21" s="8">
        <v>46083</v>
      </c>
      <c r="D21" s="17" t="e">
        <f>VLOOKUP(A21,#REF!,28,0)</f>
        <v>#REF!</v>
      </c>
      <c r="E21" s="17">
        <v>9147600708</v>
      </c>
      <c r="F21" s="17" t="s">
        <v>88</v>
      </c>
      <c r="G21" s="17" t="s">
        <v>89</v>
      </c>
      <c r="H21" s="15"/>
    </row>
    <row r="22" spans="1:8" x14ac:dyDescent="0.35">
      <c r="A22" s="6" t="s">
        <v>58</v>
      </c>
      <c r="B22" s="7" t="s">
        <v>59</v>
      </c>
      <c r="C22" s="8">
        <v>46083</v>
      </c>
      <c r="D22" s="17" t="e">
        <f>VLOOKUP(A22,#REF!,28,0)</f>
        <v>#REF!</v>
      </c>
      <c r="E22" s="17">
        <v>7445588605</v>
      </c>
      <c r="F22" s="17" t="s">
        <v>90</v>
      </c>
      <c r="G22" s="17" t="s">
        <v>89</v>
      </c>
      <c r="H22" s="15"/>
    </row>
    <row r="23" spans="1:8" x14ac:dyDescent="0.35">
      <c r="A23" s="6" t="s">
        <v>60</v>
      </c>
      <c r="B23" s="7" t="s">
        <v>61</v>
      </c>
      <c r="C23" s="8">
        <v>46083</v>
      </c>
      <c r="D23" s="17" t="e">
        <f>VLOOKUP(A23,#REF!,28,0)</f>
        <v>#REF!</v>
      </c>
      <c r="E23" s="17">
        <v>4495101004331</v>
      </c>
      <c r="F23" s="17" t="s">
        <v>91</v>
      </c>
      <c r="G23" s="17" t="s">
        <v>75</v>
      </c>
      <c r="H23" s="15"/>
    </row>
    <row r="24" spans="1:8" x14ac:dyDescent="0.35">
      <c r="A24" s="10" t="s">
        <v>132</v>
      </c>
      <c r="B24" s="11" t="s">
        <v>133</v>
      </c>
      <c r="C24" s="8">
        <v>46113</v>
      </c>
      <c r="D24" s="17" t="e">
        <f>VLOOKUP(A24,#REF!,28,0)</f>
        <v>#REF!</v>
      </c>
      <c r="E24" s="24">
        <v>20086309269</v>
      </c>
      <c r="F24" s="22" t="s">
        <v>159</v>
      </c>
      <c r="G24" s="10" t="s">
        <v>79</v>
      </c>
      <c r="H24" s="15"/>
    </row>
    <row r="25" spans="1:8" x14ac:dyDescent="0.35">
      <c r="A25" s="6" t="s">
        <v>62</v>
      </c>
      <c r="B25" s="6" t="s">
        <v>63</v>
      </c>
      <c r="C25" s="8">
        <v>46083</v>
      </c>
      <c r="D25" s="17" t="e">
        <f>VLOOKUP(A25,#REF!,28,0)</f>
        <v>#REF!</v>
      </c>
      <c r="E25" s="17">
        <v>37182972098</v>
      </c>
      <c r="F25" s="17" t="s">
        <v>109</v>
      </c>
      <c r="G25" s="17" t="s">
        <v>79</v>
      </c>
      <c r="H25" s="15"/>
    </row>
    <row r="26" spans="1:8" x14ac:dyDescent="0.35">
      <c r="A26" s="6" t="s">
        <v>64</v>
      </c>
      <c r="B26" s="6" t="s">
        <v>65</v>
      </c>
      <c r="C26" s="8">
        <v>46083</v>
      </c>
      <c r="D26" s="17" t="e">
        <f>VLOOKUP(A26,#REF!,28,0)</f>
        <v>#REF!</v>
      </c>
      <c r="E26" s="17">
        <v>39971511897</v>
      </c>
      <c r="F26" s="17" t="s">
        <v>92</v>
      </c>
      <c r="G26" s="17" t="s">
        <v>79</v>
      </c>
      <c r="H26" s="15"/>
    </row>
    <row r="27" spans="1:8" x14ac:dyDescent="0.35">
      <c r="A27" s="6" t="s">
        <v>66</v>
      </c>
      <c r="B27" s="6" t="s">
        <v>67</v>
      </c>
      <c r="C27" s="8">
        <v>46083</v>
      </c>
      <c r="D27" s="17" t="e">
        <f>VLOOKUP(A27,#REF!,28,0)</f>
        <v>#REF!</v>
      </c>
      <c r="E27" s="17">
        <v>41536691505</v>
      </c>
      <c r="F27" s="17" t="s">
        <v>93</v>
      </c>
      <c r="G27" s="17" t="s">
        <v>79</v>
      </c>
      <c r="H27" s="15"/>
    </row>
    <row r="28" spans="1:8" x14ac:dyDescent="0.35">
      <c r="A28" s="6" t="s">
        <v>68</v>
      </c>
      <c r="B28" s="6" t="s">
        <v>69</v>
      </c>
      <c r="C28" s="8">
        <v>46083</v>
      </c>
      <c r="D28" s="17" t="e">
        <f>VLOOKUP(A28,#REF!,28,0)</f>
        <v>#REF!</v>
      </c>
      <c r="E28" s="17">
        <v>50100141200194</v>
      </c>
      <c r="F28" s="17" t="s">
        <v>94</v>
      </c>
      <c r="G28" s="17" t="s">
        <v>27</v>
      </c>
      <c r="H28" s="15"/>
    </row>
    <row r="29" spans="1:8" x14ac:dyDescent="0.35">
      <c r="A29" s="18" t="s">
        <v>70</v>
      </c>
      <c r="B29" s="18" t="s">
        <v>71</v>
      </c>
      <c r="C29" s="16">
        <v>46086</v>
      </c>
      <c r="D29" s="17" t="e">
        <f>VLOOKUP(A29,#REF!,29,0)</f>
        <v>#REF!</v>
      </c>
      <c r="E29" s="25" t="s">
        <v>170</v>
      </c>
      <c r="F29" s="26" t="s">
        <v>167</v>
      </c>
      <c r="G29" s="14" t="s">
        <v>27</v>
      </c>
      <c r="H29" s="15"/>
    </row>
    <row r="30" spans="1:8" x14ac:dyDescent="0.35">
      <c r="A30" s="10" t="s">
        <v>72</v>
      </c>
      <c r="B30" s="11" t="s">
        <v>73</v>
      </c>
      <c r="C30" s="16">
        <v>46092</v>
      </c>
      <c r="D30" s="17" t="e">
        <f>VLOOKUP(A30,#REF!,8,0)</f>
        <v>#REF!</v>
      </c>
      <c r="E30" s="17">
        <v>50100743220366</v>
      </c>
      <c r="F30" s="17" t="s">
        <v>96</v>
      </c>
      <c r="G30" s="17" t="s">
        <v>27</v>
      </c>
      <c r="H30" s="15"/>
    </row>
    <row r="31" spans="1:8" x14ac:dyDescent="0.35">
      <c r="A31" s="10" t="s">
        <v>112</v>
      </c>
      <c r="B31" s="11" t="s">
        <v>113</v>
      </c>
      <c r="C31" s="8">
        <v>46113</v>
      </c>
      <c r="D31" s="17" t="e">
        <f>VLOOKUP(A31,#REF!,28,0)</f>
        <v>#REF!</v>
      </c>
      <c r="E31" s="17">
        <v>920010070801185</v>
      </c>
      <c r="F31" s="15" t="s">
        <v>171</v>
      </c>
      <c r="G31" s="10" t="s">
        <v>172</v>
      </c>
      <c r="H31" s="15"/>
    </row>
    <row r="32" spans="1:8" x14ac:dyDescent="0.35">
      <c r="A32" s="10" t="s">
        <v>114</v>
      </c>
      <c r="B32" s="11" t="s">
        <v>115</v>
      </c>
      <c r="C32" s="8">
        <v>46113</v>
      </c>
      <c r="D32" s="17" t="e">
        <f>VLOOKUP(A32,#REF!,28,0)</f>
        <v>#REF!</v>
      </c>
      <c r="E32" s="21">
        <v>40590710609</v>
      </c>
      <c r="F32" s="22" t="s">
        <v>149</v>
      </c>
      <c r="G32" s="22" t="s">
        <v>148</v>
      </c>
      <c r="H32" s="15"/>
    </row>
    <row r="33" spans="1:8" x14ac:dyDescent="0.35">
      <c r="A33" s="14" t="s">
        <v>147</v>
      </c>
      <c r="B33" s="9" t="s">
        <v>146</v>
      </c>
      <c r="C33" s="8">
        <v>46113</v>
      </c>
      <c r="D33" s="17" t="e">
        <f>VLOOKUP(A33,#REF!,28,0)</f>
        <v>#REF!</v>
      </c>
      <c r="E33" s="23">
        <v>111101513423</v>
      </c>
      <c r="F33" s="10" t="s">
        <v>173</v>
      </c>
      <c r="G33" s="17" t="s">
        <v>21</v>
      </c>
      <c r="H33" s="15"/>
    </row>
    <row r="34" spans="1:8" x14ac:dyDescent="0.35">
      <c r="A34" s="10" t="s">
        <v>116</v>
      </c>
      <c r="B34" s="11" t="s">
        <v>117</v>
      </c>
      <c r="C34" s="8">
        <v>46113</v>
      </c>
      <c r="D34" s="17" t="e">
        <f>VLOOKUP(A34,#REF!,28,0)</f>
        <v>#REF!</v>
      </c>
      <c r="E34" s="23">
        <v>801663119</v>
      </c>
      <c r="F34" s="22" t="s">
        <v>150</v>
      </c>
      <c r="G34" s="10" t="s">
        <v>21</v>
      </c>
      <c r="H34" s="15"/>
    </row>
    <row r="35" spans="1:8" x14ac:dyDescent="0.35">
      <c r="A35" s="10" t="s">
        <v>118</v>
      </c>
      <c r="B35" s="11" t="s">
        <v>119</v>
      </c>
      <c r="C35" s="8">
        <v>46113</v>
      </c>
      <c r="D35" s="17" t="e">
        <f>VLOOKUP(A35,#REF!,28,0)</f>
        <v>#REF!</v>
      </c>
      <c r="E35" s="23">
        <v>55560103431927</v>
      </c>
      <c r="F35" s="22" t="s">
        <v>152</v>
      </c>
      <c r="G35" s="22" t="s">
        <v>151</v>
      </c>
      <c r="H35" s="15"/>
    </row>
    <row r="36" spans="1:8" x14ac:dyDescent="0.35">
      <c r="A36" s="10" t="s">
        <v>120</v>
      </c>
      <c r="B36" s="11" t="s">
        <v>121</v>
      </c>
      <c r="C36" s="8">
        <v>46113</v>
      </c>
      <c r="D36" s="17" t="e">
        <f>VLOOKUP(A36,#REF!,28,0)</f>
        <v>#REF!</v>
      </c>
      <c r="E36" s="21">
        <v>55560103536675</v>
      </c>
      <c r="F36" s="10" t="s">
        <v>166</v>
      </c>
      <c r="G36" s="22" t="s">
        <v>151</v>
      </c>
      <c r="H36" s="15"/>
    </row>
    <row r="37" spans="1:8" x14ac:dyDescent="0.35">
      <c r="A37" s="10" t="s">
        <v>122</v>
      </c>
      <c r="B37" s="11" t="s">
        <v>123</v>
      </c>
      <c r="C37" s="8">
        <v>46113</v>
      </c>
      <c r="D37" s="17" t="e">
        <f>VLOOKUP(A37,#REF!,28,0)</f>
        <v>#REF!</v>
      </c>
      <c r="E37" s="21">
        <v>110240929810</v>
      </c>
      <c r="F37" s="22" t="s">
        <v>153</v>
      </c>
      <c r="G37" s="10" t="s">
        <v>75</v>
      </c>
      <c r="H37" s="15"/>
    </row>
    <row r="38" spans="1:8" x14ac:dyDescent="0.35">
      <c r="A38" s="10" t="s">
        <v>124</v>
      </c>
      <c r="B38" s="11" t="s">
        <v>125</v>
      </c>
      <c r="C38" s="8">
        <v>46113</v>
      </c>
      <c r="D38" s="17" t="e">
        <f>VLOOKUP(A38,#REF!,28,0)</f>
        <v>#REF!</v>
      </c>
      <c r="E38" s="21">
        <v>386701504229</v>
      </c>
      <c r="F38" s="22" t="s">
        <v>154</v>
      </c>
      <c r="G38" s="10" t="s">
        <v>21</v>
      </c>
      <c r="H38" s="15"/>
    </row>
    <row r="39" spans="1:8" x14ac:dyDescent="0.35">
      <c r="A39" s="10" t="s">
        <v>128</v>
      </c>
      <c r="B39" s="20" t="s">
        <v>129</v>
      </c>
      <c r="C39" s="8">
        <v>46113</v>
      </c>
      <c r="D39" s="17" t="e">
        <f>VLOOKUP(A39,#REF!,28,0)</f>
        <v>#REF!</v>
      </c>
      <c r="E39" s="23">
        <v>520101254028703</v>
      </c>
      <c r="F39" s="22" t="s">
        <v>157</v>
      </c>
      <c r="G39" s="10" t="s">
        <v>156</v>
      </c>
      <c r="H39" s="15"/>
    </row>
    <row r="40" spans="1:8" x14ac:dyDescent="0.35">
      <c r="A40" s="10" t="s">
        <v>130</v>
      </c>
      <c r="B40" s="20" t="s">
        <v>131</v>
      </c>
      <c r="C40" s="8">
        <v>46113</v>
      </c>
      <c r="D40" s="17" t="e">
        <f>VLOOKUP(A40,#REF!,28,0)</f>
        <v>#REF!</v>
      </c>
      <c r="E40" s="23">
        <v>263812010000686</v>
      </c>
      <c r="F40" s="22" t="s">
        <v>157</v>
      </c>
      <c r="G40" s="22" t="s">
        <v>158</v>
      </c>
      <c r="H40" s="15"/>
    </row>
    <row r="41" spans="1:8" x14ac:dyDescent="0.35">
      <c r="A41" s="10" t="s">
        <v>126</v>
      </c>
      <c r="B41" s="11" t="s">
        <v>127</v>
      </c>
      <c r="C41" s="8">
        <v>46113</v>
      </c>
      <c r="D41" s="17" t="e">
        <f>VLOOKUP(A41,#REF!,28,0)</f>
        <v>#REF!</v>
      </c>
      <c r="E41" s="21">
        <v>44652833670</v>
      </c>
      <c r="F41" s="10" t="s">
        <v>155</v>
      </c>
      <c r="G41" s="10" t="s">
        <v>79</v>
      </c>
      <c r="H41" s="15"/>
    </row>
    <row r="42" spans="1:8" x14ac:dyDescent="0.35">
      <c r="A42" s="10" t="s">
        <v>134</v>
      </c>
      <c r="B42" s="11" t="s">
        <v>135</v>
      </c>
      <c r="C42" s="8">
        <v>46113</v>
      </c>
      <c r="D42" s="17" t="e">
        <f>VLOOKUP(A42,#REF!,28,0)</f>
        <v>#REF!</v>
      </c>
      <c r="E42" s="24">
        <v>37097117593</v>
      </c>
      <c r="F42" s="11" t="s">
        <v>160</v>
      </c>
      <c r="G42" s="10" t="s">
        <v>79</v>
      </c>
      <c r="H42" s="15"/>
    </row>
    <row r="43" spans="1:8" x14ac:dyDescent="0.35">
      <c r="A43" s="10" t="s">
        <v>136</v>
      </c>
      <c r="B43" s="11" t="s">
        <v>137</v>
      </c>
      <c r="C43" s="8">
        <v>46113</v>
      </c>
      <c r="D43" s="17" t="e">
        <f>VLOOKUP(A43,#REF!,28,0)</f>
        <v>#REF!</v>
      </c>
      <c r="E43" s="24">
        <v>62478238609</v>
      </c>
      <c r="F43" s="11" t="s">
        <v>161</v>
      </c>
      <c r="G43" s="10" t="s">
        <v>79</v>
      </c>
      <c r="H43" s="15"/>
    </row>
    <row r="44" spans="1:8" x14ac:dyDescent="0.35">
      <c r="A44" s="10" t="s">
        <v>138</v>
      </c>
      <c r="B44" s="11" t="s">
        <v>139</v>
      </c>
      <c r="C44" s="8">
        <v>46113</v>
      </c>
      <c r="D44" s="17" t="e">
        <f>VLOOKUP(A44,#REF!,28,0)</f>
        <v>#REF!</v>
      </c>
      <c r="E44" s="23">
        <v>50100405907963</v>
      </c>
      <c r="F44" s="22" t="s">
        <v>163</v>
      </c>
      <c r="G44" s="11" t="s">
        <v>162</v>
      </c>
      <c r="H44" s="15"/>
    </row>
    <row r="45" spans="1:8" x14ac:dyDescent="0.35">
      <c r="A45" s="10" t="s">
        <v>140</v>
      </c>
      <c r="B45" s="11" t="s">
        <v>141</v>
      </c>
      <c r="C45" s="8">
        <v>46113</v>
      </c>
      <c r="D45" s="17" t="e">
        <f>VLOOKUP(A45,#REF!,28,0)</f>
        <v>#REF!</v>
      </c>
      <c r="E45" s="23">
        <v>55560103507254</v>
      </c>
      <c r="F45" s="22" t="s">
        <v>152</v>
      </c>
      <c r="G45" s="22" t="s">
        <v>151</v>
      </c>
      <c r="H45" s="15"/>
    </row>
    <row r="46" spans="1:8" x14ac:dyDescent="0.35">
      <c r="A46" s="10" t="s">
        <v>144</v>
      </c>
      <c r="B46" s="11" t="s">
        <v>145</v>
      </c>
      <c r="C46" s="8">
        <v>46113</v>
      </c>
      <c r="D46" s="17" t="e">
        <f>VLOOKUP(A46,#REF!,28,0)</f>
        <v>#REF!</v>
      </c>
      <c r="E46" s="23">
        <v>55560103427925</v>
      </c>
      <c r="F46" s="22" t="s">
        <v>152</v>
      </c>
      <c r="G46" s="22" t="s">
        <v>95</v>
      </c>
      <c r="H46" s="15"/>
    </row>
    <row r="47" spans="1:8" x14ac:dyDescent="0.35">
      <c r="A47" s="10" t="s">
        <v>180</v>
      </c>
      <c r="B47" s="11" t="s">
        <v>175</v>
      </c>
      <c r="C47" s="8">
        <v>46113</v>
      </c>
      <c r="D47" s="17" t="e">
        <f>VLOOKUP(A47,#REF!,28,0)</f>
        <v>#REF!</v>
      </c>
      <c r="E47" s="23">
        <v>38613963272</v>
      </c>
      <c r="F47" s="22" t="s">
        <v>176</v>
      </c>
      <c r="G47" s="22" t="s">
        <v>79</v>
      </c>
      <c r="H47" s="15"/>
    </row>
    <row r="48" spans="1:8" x14ac:dyDescent="0.35">
      <c r="A48" s="10" t="s">
        <v>181</v>
      </c>
      <c r="B48" s="11" t="s">
        <v>177</v>
      </c>
      <c r="C48" s="8">
        <v>46113</v>
      </c>
      <c r="D48" s="17" t="e">
        <f>VLOOKUP(A48,#REF!,28,0)</f>
        <v>#REF!</v>
      </c>
      <c r="E48" s="23">
        <v>180701000002091</v>
      </c>
      <c r="F48" s="22" t="s">
        <v>178</v>
      </c>
      <c r="G48" s="22" t="s">
        <v>179</v>
      </c>
      <c r="H48" s="15"/>
    </row>
    <row r="49" spans="1:5" x14ac:dyDescent="0.35">
      <c r="A49" s="5"/>
      <c r="B49" s="5"/>
      <c r="C49" s="2"/>
      <c r="D49" s="3"/>
      <c r="E49" s="3"/>
    </row>
    <row r="50" spans="1:5" x14ac:dyDescent="0.35">
      <c r="B50" s="1" t="s">
        <v>12</v>
      </c>
      <c r="C50" s="1"/>
      <c r="D50" s="4" t="e">
        <f>SUM(D3:D49)</f>
        <v>#REF!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Federal</vt:lpstr>
      <vt:lpstr>Non Fed</vt:lpstr>
      <vt:lpstr>Salaries_30042026</vt:lpstr>
      <vt:lpstr>Payments_30042026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cp:lastPrinted>2026-07-01T08:50:57Z</cp:lastPrinted>
  <dcterms:created xsi:type="dcterms:W3CDTF">2026-02-24T06:22:30Z</dcterms:created>
  <dcterms:modified xsi:type="dcterms:W3CDTF">2026-07-03T07:08:55Z</dcterms:modified>
</cp:coreProperties>
</file>