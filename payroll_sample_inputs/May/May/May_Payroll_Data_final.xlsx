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esktop\May\"/>
    </mc:Choice>
  </mc:AlternateContent>
  <xr:revisionPtr revIDLastSave="0" documentId="13_ncr:1_{C99BDBB2-A270-4E6C-AE90-65F8867FA613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Employees" sheetId="1" r:id="rId1"/>
    <sheet name="Consultant" sheetId="3" r:id="rId2"/>
    <sheet name="Tech Employees" sheetId="5" r:id="rId3"/>
    <sheet name="Salaries_30052026" sheetId="11" r:id="rId4"/>
    <sheet name="Trainers" sheetId="6" r:id="rId5"/>
    <sheet name="Rental Payment" sheetId="8" r:id="rId6"/>
    <sheet name="LOP" sheetId="10" r:id="rId7"/>
    <sheet name="Salaries_30042026" sheetId="7" state="hidden" r:id="rId8"/>
    <sheet name="Payments_30042026" sheetId="9" state="hidden" r:id="rId9"/>
    <sheet name="Payment" sheetId="2" state="hidden" r:id="rId10"/>
  </sheets>
  <definedNames>
    <definedName name="_xlnm._FilterDatabase" localSheetId="6" hidden="1">LOP!$A$1:$C$1</definedName>
    <definedName name="_xlnm._FilterDatabase" localSheetId="9" hidden="1">Payment!$A$1:$H$1</definedName>
    <definedName name="_xlnm._FilterDatabase" localSheetId="7" hidden="1">Salaries_30042026!$A$1:$H$46</definedName>
    <definedName name="_xlnm._FilterDatabase" localSheetId="3" hidden="1">Salaries_30052026!$A$1:$H$57</definedName>
  </definedNames>
  <calcPr calcId="191029"/>
</workbook>
</file>

<file path=xl/calcChain.xml><?xml version="1.0" encoding="utf-8"?>
<calcChain xmlns="http://schemas.openxmlformats.org/spreadsheetml/2006/main">
  <c r="AB50" i="5" l="1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1" i="5"/>
  <c r="D10" i="11" l="1"/>
  <c r="D11" i="11"/>
  <c r="D48" i="11"/>
  <c r="D56" i="11"/>
  <c r="AB2" i="5"/>
  <c r="C54" i="11"/>
  <c r="E11" i="6"/>
  <c r="E8" i="6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9" i="11"/>
  <c r="D50" i="11"/>
  <c r="D51" i="11"/>
  <c r="D52" i="11"/>
  <c r="D53" i="11"/>
  <c r="D54" i="11"/>
  <c r="D55" i="11"/>
  <c r="D57" i="11"/>
  <c r="D9" i="11"/>
  <c r="D5" i="11"/>
  <c r="D6" i="11"/>
  <c r="D7" i="11"/>
  <c r="D8" i="11"/>
  <c r="D4" i="11"/>
  <c r="D3" i="11"/>
  <c r="D2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58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5" i="11"/>
  <c r="C56" i="11"/>
  <c r="C57" i="11"/>
  <c r="C9" i="11"/>
  <c r="C5" i="11"/>
  <c r="C6" i="11"/>
  <c r="C7" i="11"/>
  <c r="C8" i="11"/>
  <c r="C4" i="11"/>
  <c r="C3" i="11"/>
  <c r="C2" i="11"/>
  <c r="D2" i="8" l="1"/>
  <c r="C2" i="8"/>
  <c r="V14" i="5"/>
  <c r="V15" i="5"/>
  <c r="V16" i="5"/>
  <c r="E3" i="3"/>
  <c r="E5" i="3"/>
  <c r="E2" i="3"/>
  <c r="V2" i="1"/>
  <c r="F3" i="1"/>
  <c r="F2" i="1"/>
  <c r="F33" i="5"/>
  <c r="F34" i="5"/>
  <c r="F35" i="5"/>
  <c r="F36" i="5"/>
  <c r="F37" i="5"/>
  <c r="F38" i="5"/>
  <c r="F39" i="5"/>
  <c r="I40" i="5"/>
  <c r="X40" i="5" s="1"/>
  <c r="K43" i="5"/>
  <c r="K45" i="5"/>
  <c r="K46" i="5"/>
  <c r="K47" i="5"/>
  <c r="K48" i="5"/>
  <c r="I49" i="5"/>
  <c r="Z49" i="5" s="1"/>
  <c r="F25" i="5"/>
  <c r="F26" i="5"/>
  <c r="F27" i="5"/>
  <c r="F28" i="5"/>
  <c r="F29" i="5"/>
  <c r="F30" i="5"/>
  <c r="F31" i="5"/>
  <c r="F32" i="5"/>
  <c r="F19" i="5"/>
  <c r="F20" i="5"/>
  <c r="F21" i="5"/>
  <c r="F22" i="5"/>
  <c r="F23" i="5"/>
  <c r="F24" i="5"/>
  <c r="F13" i="5"/>
  <c r="F14" i="5"/>
  <c r="F15" i="5"/>
  <c r="F16" i="5"/>
  <c r="F17" i="5"/>
  <c r="F18" i="5"/>
  <c r="F12" i="5"/>
  <c r="F5" i="5"/>
  <c r="F6" i="5"/>
  <c r="F7" i="5"/>
  <c r="F8" i="5"/>
  <c r="F9" i="5"/>
  <c r="F10" i="5"/>
  <c r="F11" i="5"/>
  <c r="F4" i="5"/>
  <c r="F3" i="5"/>
  <c r="F2" i="5"/>
  <c r="E6" i="3"/>
  <c r="E4" i="3"/>
  <c r="K41" i="5"/>
  <c r="K42" i="5"/>
  <c r="K44" i="5"/>
  <c r="K49" i="5"/>
  <c r="K50" i="5"/>
  <c r="K51" i="5"/>
  <c r="I43" i="5"/>
  <c r="N43" i="5" s="1"/>
  <c r="I44" i="5"/>
  <c r="J44" i="5" s="1"/>
  <c r="I45" i="5"/>
  <c r="Z45" i="5" s="1"/>
  <c r="I46" i="5"/>
  <c r="Z46" i="5" s="1"/>
  <c r="I50" i="5"/>
  <c r="Z50" i="5" s="1"/>
  <c r="I51" i="5"/>
  <c r="X51" i="5" s="1"/>
  <c r="I41" i="5"/>
  <c r="Z41" i="5" s="1"/>
  <c r="I42" i="5"/>
  <c r="N42" i="5" s="1"/>
  <c r="I47" i="5" l="1"/>
  <c r="X47" i="5" s="1"/>
  <c r="I48" i="5"/>
  <c r="X48" i="5" s="1"/>
  <c r="X49" i="5"/>
  <c r="K40" i="5"/>
  <c r="X42" i="5"/>
  <c r="J50" i="5"/>
  <c r="N47" i="5"/>
  <c r="J49" i="5"/>
  <c r="N46" i="5"/>
  <c r="N41" i="5"/>
  <c r="J42" i="5"/>
  <c r="X50" i="5"/>
  <c r="M50" i="5" s="1"/>
  <c r="J46" i="5"/>
  <c r="N49" i="5"/>
  <c r="X46" i="5"/>
  <c r="M46" i="5" s="1"/>
  <c r="J41" i="5"/>
  <c r="X41" i="5"/>
  <c r="M41" i="5" s="1"/>
  <c r="N40" i="5"/>
  <c r="Z40" i="5"/>
  <c r="M40" i="5" s="1"/>
  <c r="J40" i="5"/>
  <c r="N45" i="5"/>
  <c r="X44" i="5"/>
  <c r="N51" i="5"/>
  <c r="N44" i="5"/>
  <c r="Z51" i="5"/>
  <c r="M51" i="5" s="1"/>
  <c r="Z47" i="5"/>
  <c r="M47" i="5" s="1"/>
  <c r="Z43" i="5"/>
  <c r="J51" i="5"/>
  <c r="J43" i="5"/>
  <c r="N50" i="5"/>
  <c r="X43" i="5"/>
  <c r="M49" i="5"/>
  <c r="Z44" i="5"/>
  <c r="Z42" i="5"/>
  <c r="M42" i="5" s="1"/>
  <c r="J45" i="5"/>
  <c r="X45" i="5"/>
  <c r="M45" i="5" s="1"/>
  <c r="J47" i="5" l="1"/>
  <c r="L47" i="5" s="1"/>
  <c r="L46" i="5"/>
  <c r="Y42" i="5"/>
  <c r="O47" i="5"/>
  <c r="T49" i="5"/>
  <c r="N48" i="5"/>
  <c r="J48" i="5"/>
  <c r="Z48" i="5"/>
  <c r="M48" i="5" s="1"/>
  <c r="T41" i="5"/>
  <c r="Y41" i="5"/>
  <c r="O45" i="5"/>
  <c r="O41" i="5"/>
  <c r="AA41" i="5" s="1"/>
  <c r="D47" i="11" s="1"/>
  <c r="D60" i="11" s="1"/>
  <c r="L41" i="5"/>
  <c r="Y46" i="5"/>
  <c r="T46" i="5"/>
  <c r="O49" i="5"/>
  <c r="L45" i="5"/>
  <c r="L50" i="5"/>
  <c r="O46" i="5"/>
  <c r="Y47" i="5"/>
  <c r="T45" i="5"/>
  <c r="L42" i="5"/>
  <c r="T47" i="5"/>
  <c r="M44" i="5"/>
  <c r="Y45" i="5"/>
  <c r="AA45" i="5" s="1"/>
  <c r="O51" i="5"/>
  <c r="Y51" i="5"/>
  <c r="T51" i="5"/>
  <c r="Y49" i="5"/>
  <c r="L51" i="5"/>
  <c r="L49" i="5"/>
  <c r="L40" i="5"/>
  <c r="Y40" i="5"/>
  <c r="T40" i="5"/>
  <c r="O40" i="5"/>
  <c r="O42" i="5"/>
  <c r="T42" i="5"/>
  <c r="O50" i="5"/>
  <c r="M43" i="5"/>
  <c r="Y50" i="5"/>
  <c r="T44" i="5"/>
  <c r="T50" i="5"/>
  <c r="AA46" i="5" l="1"/>
  <c r="Y44" i="5"/>
  <c r="T48" i="5"/>
  <c r="Y48" i="5"/>
  <c r="AA51" i="5"/>
  <c r="L48" i="5"/>
  <c r="O48" i="5"/>
  <c r="O44" i="5"/>
  <c r="L44" i="5"/>
  <c r="AA49" i="5"/>
  <c r="AA47" i="5"/>
  <c r="AA44" i="5"/>
  <c r="AA50" i="5"/>
  <c r="AA42" i="5"/>
  <c r="AA40" i="5"/>
  <c r="L43" i="5"/>
  <c r="T43" i="5"/>
  <c r="Y43" i="5"/>
  <c r="O43" i="5"/>
  <c r="AA48" i="5" l="1"/>
  <c r="AA43" i="5"/>
  <c r="E8" i="9"/>
  <c r="E7" i="9"/>
  <c r="E6" i="9"/>
  <c r="E5" i="9"/>
  <c r="E4" i="9"/>
  <c r="E3" i="9"/>
  <c r="E12" i="9" s="1"/>
  <c r="I38" i="5"/>
  <c r="J38" i="5" s="1"/>
  <c r="K38" i="5"/>
  <c r="I39" i="5"/>
  <c r="Z39" i="5" s="1"/>
  <c r="K39" i="5"/>
  <c r="E5" i="6"/>
  <c r="E6" i="6"/>
  <c r="E7" i="6"/>
  <c r="E9" i="6"/>
  <c r="E4" i="6"/>
  <c r="Z38" i="5" l="1"/>
  <c r="X38" i="5"/>
  <c r="J39" i="5"/>
  <c r="N38" i="5"/>
  <c r="X39" i="5"/>
  <c r="M39" i="5" s="1"/>
  <c r="N3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I20" i="5"/>
  <c r="Z20" i="5" s="1"/>
  <c r="I21" i="5"/>
  <c r="X21" i="5" s="1"/>
  <c r="I22" i="5"/>
  <c r="N22" i="5" s="1"/>
  <c r="I23" i="5"/>
  <c r="Z23" i="5" s="1"/>
  <c r="I24" i="5"/>
  <c r="J24" i="5" s="1"/>
  <c r="I25" i="5"/>
  <c r="Z25" i="5" s="1"/>
  <c r="I26" i="5"/>
  <c r="J26" i="5" s="1"/>
  <c r="I27" i="5"/>
  <c r="X27" i="5" s="1"/>
  <c r="I28" i="5"/>
  <c r="Z28" i="5" s="1"/>
  <c r="I29" i="5"/>
  <c r="J29" i="5" s="1"/>
  <c r="I30" i="5"/>
  <c r="X30" i="5" s="1"/>
  <c r="I31" i="5"/>
  <c r="N31" i="5" s="1"/>
  <c r="I32" i="5"/>
  <c r="X32" i="5" s="1"/>
  <c r="I33" i="5"/>
  <c r="N33" i="5" s="1"/>
  <c r="I34" i="5"/>
  <c r="X34" i="5" s="1"/>
  <c r="I35" i="5"/>
  <c r="N35" i="5" s="1"/>
  <c r="I36" i="5"/>
  <c r="Z36" i="5" s="1"/>
  <c r="I37" i="5"/>
  <c r="Z37" i="5" s="1"/>
  <c r="H3" i="3"/>
  <c r="H6" i="3"/>
  <c r="H4" i="3"/>
  <c r="H5" i="3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I2" i="5"/>
  <c r="Z2" i="5" s="1"/>
  <c r="I3" i="5"/>
  <c r="Z3" i="5" s="1"/>
  <c r="I4" i="5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I13" i="5"/>
  <c r="J13" i="5" s="1"/>
  <c r="I14" i="5"/>
  <c r="J14" i="5" s="1"/>
  <c r="I15" i="5"/>
  <c r="J15" i="5" s="1"/>
  <c r="I16" i="5"/>
  <c r="J16" i="5" s="1"/>
  <c r="I17" i="5"/>
  <c r="J17" i="5" s="1"/>
  <c r="I18" i="5"/>
  <c r="Z18" i="5" s="1"/>
  <c r="I19" i="5"/>
  <c r="V7" i="1"/>
  <c r="W7" i="1"/>
  <c r="Q7" i="1"/>
  <c r="R7" i="1"/>
  <c r="S7" i="1"/>
  <c r="U7" i="1"/>
  <c r="P7" i="1"/>
  <c r="D7" i="1"/>
  <c r="K2" i="1"/>
  <c r="D3" i="2" l="1"/>
  <c r="D2" i="7"/>
  <c r="D30" i="2"/>
  <c r="D28" i="7"/>
  <c r="D4" i="2"/>
  <c r="D3" i="7"/>
  <c r="D14" i="7"/>
  <c r="D15" i="2"/>
  <c r="D18" i="2"/>
  <c r="D17" i="7"/>
  <c r="M38" i="5"/>
  <c r="J28" i="5"/>
  <c r="N20" i="5"/>
  <c r="X33" i="5"/>
  <c r="X20" i="5"/>
  <c r="M20" i="5" s="1"/>
  <c r="L39" i="5"/>
  <c r="O39" i="5"/>
  <c r="T39" i="5"/>
  <c r="Y39" i="5"/>
  <c r="Z19" i="5"/>
  <c r="X12" i="5"/>
  <c r="Z4" i="5"/>
  <c r="N30" i="5"/>
  <c r="Z29" i="5"/>
  <c r="J37" i="5"/>
  <c r="N29" i="5"/>
  <c r="X29" i="5"/>
  <c r="N37" i="5"/>
  <c r="J33" i="5"/>
  <c r="N25" i="5"/>
  <c r="X28" i="5"/>
  <c r="M28" i="5" s="1"/>
  <c r="N21" i="5"/>
  <c r="X25" i="5"/>
  <c r="M25" i="5" s="1"/>
  <c r="Z22" i="5"/>
  <c r="X37" i="5"/>
  <c r="M37" i="5" s="1"/>
  <c r="X22" i="5"/>
  <c r="Z33" i="5"/>
  <c r="J35" i="5"/>
  <c r="Z24" i="5"/>
  <c r="J34" i="5"/>
  <c r="J25" i="5"/>
  <c r="N36" i="5"/>
  <c r="N28" i="5"/>
  <c r="Z32" i="5"/>
  <c r="M32" i="5" s="1"/>
  <c r="X24" i="5"/>
  <c r="J32" i="5"/>
  <c r="J23" i="5"/>
  <c r="N34" i="5"/>
  <c r="Z35" i="5"/>
  <c r="Z31" i="5"/>
  <c r="J31" i="5"/>
  <c r="J22" i="5"/>
  <c r="N24" i="5"/>
  <c r="X35" i="5"/>
  <c r="X31" i="5"/>
  <c r="Z26" i="5"/>
  <c r="Z21" i="5"/>
  <c r="M21" i="5" s="1"/>
  <c r="J30" i="5"/>
  <c r="J21" i="5"/>
  <c r="N32" i="5"/>
  <c r="N23" i="5"/>
  <c r="Z34" i="5"/>
  <c r="M34" i="5" s="1"/>
  <c r="Z30" i="5"/>
  <c r="M30" i="5" s="1"/>
  <c r="X26" i="5"/>
  <c r="M26" i="5" s="1"/>
  <c r="N26" i="5"/>
  <c r="Z27" i="5"/>
  <c r="M27" i="5" s="1"/>
  <c r="X2" i="5"/>
  <c r="J20" i="5"/>
  <c r="J27" i="5"/>
  <c r="N27" i="5"/>
  <c r="X36" i="5"/>
  <c r="M36" i="5" s="1"/>
  <c r="J36" i="5"/>
  <c r="X23" i="5"/>
  <c r="M23" i="5" s="1"/>
  <c r="X4" i="5"/>
  <c r="N5" i="5"/>
  <c r="N3" i="5"/>
  <c r="X3" i="5"/>
  <c r="M3" i="5" s="1"/>
  <c r="N4" i="5"/>
  <c r="N2" i="5"/>
  <c r="J18" i="5"/>
  <c r="N12" i="5"/>
  <c r="J19" i="5"/>
  <c r="N19" i="5"/>
  <c r="N17" i="5"/>
  <c r="X17" i="5"/>
  <c r="N13" i="5"/>
  <c r="X10" i="5"/>
  <c r="M10" i="5" s="1"/>
  <c r="V10" i="5" s="1"/>
  <c r="N10" i="5"/>
  <c r="Z6" i="5"/>
  <c r="X6" i="5"/>
  <c r="N6" i="5"/>
  <c r="N14" i="5"/>
  <c r="N7" i="5"/>
  <c r="X11" i="5"/>
  <c r="M11" i="5" s="1"/>
  <c r="V11" i="5" s="1"/>
  <c r="X9" i="5"/>
  <c r="M9" i="5" s="1"/>
  <c r="V9" i="5" s="1"/>
  <c r="J12" i="5"/>
  <c r="Z17" i="5"/>
  <c r="N18" i="5"/>
  <c r="X15" i="5"/>
  <c r="X8" i="5"/>
  <c r="M8" i="5" s="1"/>
  <c r="V8" i="5" s="1"/>
  <c r="Z13" i="5"/>
  <c r="N11" i="5"/>
  <c r="X14" i="5"/>
  <c r="X7" i="5"/>
  <c r="X16" i="5"/>
  <c r="J5" i="5"/>
  <c r="Z12" i="5"/>
  <c r="X13" i="5"/>
  <c r="N16" i="5"/>
  <c r="N9" i="5"/>
  <c r="X19" i="5"/>
  <c r="X5" i="5"/>
  <c r="M5" i="5" s="1"/>
  <c r="V5" i="5" s="1"/>
  <c r="N15" i="5"/>
  <c r="N8" i="5"/>
  <c r="X18" i="5"/>
  <c r="M18" i="5" s="1"/>
  <c r="J4" i="5"/>
  <c r="J3" i="1"/>
  <c r="X3" i="1"/>
  <c r="H7" i="3"/>
  <c r="J11" i="5"/>
  <c r="J3" i="5"/>
  <c r="J10" i="5"/>
  <c r="J2" i="5"/>
  <c r="Z16" i="5"/>
  <c r="J9" i="5"/>
  <c r="Z15" i="5"/>
  <c r="J8" i="5"/>
  <c r="Z14" i="5"/>
  <c r="J7" i="5"/>
  <c r="Z2" i="1"/>
  <c r="J2" i="1"/>
  <c r="X2" i="1"/>
  <c r="K7" i="1"/>
  <c r="O38" i="5" l="1"/>
  <c r="Y38" i="5"/>
  <c r="AA38" i="5" s="1"/>
  <c r="D45" i="7" s="1"/>
  <c r="L38" i="5"/>
  <c r="M13" i="5"/>
  <c r="M33" i="5"/>
  <c r="M19" i="5"/>
  <c r="T38" i="5"/>
  <c r="M29" i="5"/>
  <c r="T27" i="5"/>
  <c r="AA27" i="5"/>
  <c r="Y20" i="5"/>
  <c r="O20" i="5"/>
  <c r="T25" i="5"/>
  <c r="AA25" i="5"/>
  <c r="D37" i="2" s="1"/>
  <c r="Y5" i="5"/>
  <c r="T23" i="5"/>
  <c r="AA23" i="5"/>
  <c r="T34" i="5"/>
  <c r="AA34" i="5"/>
  <c r="Y10" i="5"/>
  <c r="T30" i="5"/>
  <c r="AA30" i="5"/>
  <c r="M2" i="5"/>
  <c r="V2" i="5" s="1"/>
  <c r="T28" i="5"/>
  <c r="AA28" i="5"/>
  <c r="Y11" i="5"/>
  <c r="Y36" i="5"/>
  <c r="L26" i="5"/>
  <c r="AA26" i="5"/>
  <c r="M12" i="5"/>
  <c r="Y21" i="5"/>
  <c r="Y3" i="5"/>
  <c r="M4" i="5"/>
  <c r="L20" i="5"/>
  <c r="M24" i="5"/>
  <c r="AA39" i="5"/>
  <c r="D46" i="7" s="1"/>
  <c r="D48" i="2"/>
  <c r="L37" i="5"/>
  <c r="Y37" i="5"/>
  <c r="T37" i="5"/>
  <c r="O13" i="5"/>
  <c r="O8" i="5"/>
  <c r="Y8" i="5"/>
  <c r="L28" i="5"/>
  <c r="M31" i="5"/>
  <c r="M22" i="5"/>
  <c r="O9" i="5"/>
  <c r="Y9" i="5"/>
  <c r="M35" i="5"/>
  <c r="O18" i="5"/>
  <c r="Y18" i="5"/>
  <c r="O36" i="5"/>
  <c r="T20" i="5"/>
  <c r="M3" i="1"/>
  <c r="T3" i="1" s="1"/>
  <c r="AA32" i="5"/>
  <c r="L32" i="5"/>
  <c r="T32" i="5"/>
  <c r="L21" i="5"/>
  <c r="O21" i="5"/>
  <c r="T21" i="5"/>
  <c r="T26" i="5"/>
  <c r="O37" i="5"/>
  <c r="L34" i="5"/>
  <c r="L36" i="5"/>
  <c r="L27" i="5"/>
  <c r="L30" i="5"/>
  <c r="T36" i="5"/>
  <c r="L25" i="5"/>
  <c r="L23" i="5"/>
  <c r="M6" i="5"/>
  <c r="V6" i="5" s="1"/>
  <c r="M17" i="5"/>
  <c r="M2" i="1"/>
  <c r="T2" i="1" s="1"/>
  <c r="O11" i="5"/>
  <c r="M7" i="5"/>
  <c r="V7" i="5" s="1"/>
  <c r="M14" i="5"/>
  <c r="O10" i="5"/>
  <c r="T5" i="5"/>
  <c r="O5" i="5"/>
  <c r="O3" i="5"/>
  <c r="M15" i="5"/>
  <c r="L9" i="5"/>
  <c r="T9" i="5"/>
  <c r="L5" i="5"/>
  <c r="T13" i="5"/>
  <c r="L13" i="5"/>
  <c r="M16" i="5"/>
  <c r="L8" i="5"/>
  <c r="T8" i="5"/>
  <c r="T18" i="5"/>
  <c r="L18" i="5"/>
  <c r="L10" i="5"/>
  <c r="T10" i="5"/>
  <c r="L3" i="5"/>
  <c r="T3" i="5"/>
  <c r="L11" i="5"/>
  <c r="T11" i="5"/>
  <c r="J7" i="1"/>
  <c r="I7" i="1"/>
  <c r="X7" i="1"/>
  <c r="N7" i="1"/>
  <c r="AA31" i="5" l="1"/>
  <c r="D40" i="7" s="1"/>
  <c r="L33" i="5"/>
  <c r="Y19" i="5"/>
  <c r="Y13" i="5"/>
  <c r="V13" i="5"/>
  <c r="AA13" i="5" s="1"/>
  <c r="D20" i="2" s="1"/>
  <c r="L12" i="5"/>
  <c r="L4" i="5"/>
  <c r="V4" i="5"/>
  <c r="O19" i="5"/>
  <c r="T29" i="5"/>
  <c r="T19" i="5"/>
  <c r="L19" i="5"/>
  <c r="D47" i="2"/>
  <c r="T33" i="5"/>
  <c r="AA33" i="5"/>
  <c r="D44" i="2" s="1"/>
  <c r="L2" i="5"/>
  <c r="T2" i="5"/>
  <c r="O2" i="5"/>
  <c r="O12" i="5"/>
  <c r="T12" i="5"/>
  <c r="L6" i="5"/>
  <c r="AA10" i="5"/>
  <c r="T4" i="5"/>
  <c r="Y2" i="5"/>
  <c r="D39" i="2"/>
  <c r="D37" i="7"/>
  <c r="AA11" i="5"/>
  <c r="D16" i="2" s="1"/>
  <c r="T35" i="5"/>
  <c r="O4" i="5"/>
  <c r="L29" i="5"/>
  <c r="T17" i="5"/>
  <c r="AA8" i="5"/>
  <c r="D11" i="2" s="1"/>
  <c r="AA29" i="5"/>
  <c r="D38" i="7" s="1"/>
  <c r="AA36" i="5"/>
  <c r="D46" i="2" s="1"/>
  <c r="AA20" i="5"/>
  <c r="AA37" i="5"/>
  <c r="D33" i="2" s="1"/>
  <c r="AA19" i="5"/>
  <c r="AA9" i="5"/>
  <c r="D10" i="2" s="1"/>
  <c r="Y15" i="5"/>
  <c r="AA24" i="5"/>
  <c r="D36" i="2" s="1"/>
  <c r="L24" i="5"/>
  <c r="T24" i="5"/>
  <c r="L22" i="5"/>
  <c r="Y7" i="5"/>
  <c r="D35" i="7"/>
  <c r="Y4" i="5"/>
  <c r="Y12" i="5"/>
  <c r="AA5" i="5"/>
  <c r="D14" i="2" s="1"/>
  <c r="AA14" i="5"/>
  <c r="AA21" i="5"/>
  <c r="D32" i="2" s="1"/>
  <c r="D43" i="2"/>
  <c r="D41" i="7"/>
  <c r="D24" i="2"/>
  <c r="D23" i="7"/>
  <c r="D38" i="2"/>
  <c r="D36" i="7"/>
  <c r="D45" i="2"/>
  <c r="D43" i="7"/>
  <c r="D8" i="2"/>
  <c r="D7" i="7"/>
  <c r="D2" i="2"/>
  <c r="L3" i="1"/>
  <c r="Y3" i="1"/>
  <c r="O3" i="1"/>
  <c r="AA3" i="1" s="1"/>
  <c r="AC3" i="1" s="1"/>
  <c r="L35" i="5"/>
  <c r="Y35" i="5"/>
  <c r="O35" i="5"/>
  <c r="O17" i="5"/>
  <c r="Y17" i="5"/>
  <c r="O16" i="5"/>
  <c r="Y16" i="5"/>
  <c r="O6" i="5"/>
  <c r="Y6" i="5"/>
  <c r="Y22" i="5"/>
  <c r="O22" i="5"/>
  <c r="T22" i="5"/>
  <c r="AA18" i="5"/>
  <c r="T31" i="5"/>
  <c r="L31" i="5"/>
  <c r="L17" i="5"/>
  <c r="T6" i="5"/>
  <c r="L14" i="5"/>
  <c r="T14" i="5"/>
  <c r="O7" i="5"/>
  <c r="L7" i="5"/>
  <c r="T7" i="5"/>
  <c r="O15" i="5"/>
  <c r="AA3" i="5"/>
  <c r="O2" i="1"/>
  <c r="L2" i="1"/>
  <c r="Y2" i="1"/>
  <c r="L15" i="5"/>
  <c r="T15" i="5"/>
  <c r="L16" i="5"/>
  <c r="T16" i="5"/>
  <c r="D9" i="7" l="1"/>
  <c r="D42" i="7"/>
  <c r="D42" i="2"/>
  <c r="D31" i="7"/>
  <c r="AA2" i="5"/>
  <c r="D6" i="7"/>
  <c r="D7" i="2"/>
  <c r="D15" i="7"/>
  <c r="D19" i="7"/>
  <c r="D40" i="2"/>
  <c r="D44" i="7"/>
  <c r="AA12" i="5"/>
  <c r="D17" i="2" s="1"/>
  <c r="AA4" i="5"/>
  <c r="D6" i="2" s="1"/>
  <c r="D13" i="7"/>
  <c r="D10" i="7"/>
  <c r="D31" i="2"/>
  <c r="D29" i="7"/>
  <c r="AA7" i="5"/>
  <c r="D12" i="2" s="1"/>
  <c r="AA15" i="5"/>
  <c r="D21" i="7" s="1"/>
  <c r="AA22" i="5"/>
  <c r="D34" i="2" s="1"/>
  <c r="D20" i="7"/>
  <c r="D21" i="2"/>
  <c r="AA35" i="5"/>
  <c r="D19" i="2" s="1"/>
  <c r="D34" i="7"/>
  <c r="D30" i="7"/>
  <c r="D28" i="2"/>
  <c r="D26" i="7"/>
  <c r="D41" i="2"/>
  <c r="D39" i="7"/>
  <c r="D26" i="2"/>
  <c r="D35" i="2"/>
  <c r="D33" i="7"/>
  <c r="D27" i="2"/>
  <c r="D25" i="7"/>
  <c r="D13" i="2"/>
  <c r="D12" i="7"/>
  <c r="D5" i="7"/>
  <c r="D29" i="2"/>
  <c r="D27" i="7"/>
  <c r="AA16" i="5"/>
  <c r="AA17" i="5"/>
  <c r="AA6" i="5"/>
  <c r="AA2" i="1"/>
  <c r="AC2" i="1" s="1"/>
  <c r="Z7" i="1"/>
  <c r="L7" i="1"/>
  <c r="Y7" i="1"/>
  <c r="O7" i="1"/>
  <c r="D11" i="7" l="1"/>
  <c r="D16" i="7"/>
  <c r="D22" i="2"/>
  <c r="D32" i="7"/>
  <c r="D18" i="7"/>
  <c r="D25" i="2"/>
  <c r="D24" i="7"/>
  <c r="D23" i="2"/>
  <c r="D22" i="7"/>
  <c r="D9" i="2"/>
  <c r="D8" i="7"/>
  <c r="D5" i="2"/>
  <c r="D4" i="7"/>
  <c r="T7" i="1"/>
  <c r="M7" i="1"/>
  <c r="D50" i="2" l="1"/>
  <c r="D48" i="7"/>
  <c r="AA7" i="1"/>
  <c r="AC7" i="1" l="1"/>
</calcChain>
</file>

<file path=xl/sharedStrings.xml><?xml version="1.0" encoding="utf-8"?>
<sst xmlns="http://schemas.openxmlformats.org/spreadsheetml/2006/main" count="942" uniqueCount="274">
  <si>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</si>
  <si>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</si>
  <si>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</si>
  <si>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</si>
  <si>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</si>
  <si>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</si>
  <si>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</si>
  <si>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</si>
  <si>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</si>
  <si>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</si>
  <si>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</si>
  <si>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</si>
  <si>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</si>
  <si>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</si>
  <si>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</si>
  <si>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</si>
  <si>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</si>
  <si>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</si>
  <si>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</si>
  <si>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</si>
  <si>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</si>
  <si>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</si>
  <si>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</si>
  <si>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</si>
  <si>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</si>
  <si>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</si>
  <si>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</si>
  <si>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</si>
  <si>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</si>
  <si>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</si>
  <si>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</si>
  <si>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</si>
  <si>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</si>
  <si>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</si>
  <si>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</si>
  <si>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</si>
  <si>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</si>
  <si>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</si>
  <si>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</si>
  <si>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</si>
  <si>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</si>
  <si>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</si>
  <si>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</si>
  <si>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</si>
  <si>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</si>
  <si>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</si>
  <si>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</si>
  <si>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</si>
  <si>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</si>
  <si>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</si>
  <si>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</si>
  <si>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</si>
  <si>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</si>
  <si>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</si>
  <si>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</si>
  <si>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</si>
  <si>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</si>
  <si>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</si>
  <si>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</si>
  <si>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</si>
  <si>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</si>
  <si>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</si>
  <si>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</si>
  <si>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</si>
  <si>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</si>
  <si>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</si>
  <si>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</si>
  <si>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</si>
  <si>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</si>
  <si>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</si>
  <si>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</si>
  <si>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</si>
  <si>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</si>
  <si>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</si>
  <si>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</si>
  <si>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</si>
  <si>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</si>
  <si>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</si>
  <si>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</si>
  <si>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</si>
  <si>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</si>
  <si>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</si>
  <si>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</si>
  <si>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</si>
  <si>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</si>
  <si>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</si>
  <si>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</si>
  <si>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</si>
  <si>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</si>
  <si>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</si>
  <si>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</si>
  <si>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</si>
  <si>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</si>
  <si>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</si>
  <si>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</si>
  <si>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</si>
  <si>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</si>
  <si>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</si>
  <si>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</si>
  <si>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</si>
  <si>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</si>
  <si>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</si>
  <si>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</si>
  <si>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</si>
  <si>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</si>
  <si>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</si>
  <si>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</si>
  <si>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</si>
  <si>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</si>
  <si>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</si>
  <si>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</si>
  <si>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</si>
  <si>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</si>
  <si>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</si>
  <si>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</si>
  <si>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</si>
  <si>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</si>
  <si>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</si>
  <si>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</si>
  <si>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</si>
  <si>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</si>
  <si>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</si>
  <si>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</si>
  <si>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</si>
  <si>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</si>
  <si>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</si>
  <si>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</si>
  <si>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</si>
  <si>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</si>
  <si>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</si>
  <si>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</si>
  <si>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</si>
  <si>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</si>
  <si>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</si>
  <si>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</si>
  <si>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</si>
  <si>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</si>
  <si>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</si>
  <si>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</si>
  <si>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</si>
  <si>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</si>
  <si>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</si>
  <si>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</si>
  <si>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</si>
  <si>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</si>
  <si>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</si>
  <si>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</si>
  <si>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</si>
  <si>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</si>
  <si>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</si>
  <si>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</si>
  <si>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</si>
  <si>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</si>
  <si>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</si>
  <si>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</si>
  <si>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</si>
  <si>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</si>
  <si>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</si>
  <si>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</si>
  <si>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</si>
  <si>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</si>
  <si>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</si>
  <si>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</si>
  <si>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</si>
  <si>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</si>
  <si>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</si>
  <si>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</si>
  <si>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</si>
  <si>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</si>
  <si>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</si>
  <si>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</si>
  <si>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</si>
  <si>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</si>
  <si>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</si>
  <si>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</si>
  <si>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</si>
  <si>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</si>
  <si>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</si>
  <si>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</si>
  <si>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</si>
  <si>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</si>
  <si>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</si>
  <si>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</si>
  <si>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</si>
  <si>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</si>
  <si>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</si>
  <si>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</si>
  <si>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</si>
  <si>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</si>
  <si>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</si>
  <si>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</si>
  <si>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</si>
  <si>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</si>
  <si>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</si>
  <si>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</si>
  <si>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</si>
  <si>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</si>
  <si>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</si>
  <si>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</si>
  <si>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</si>
  <si>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</si>
  <si>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</si>
  <si>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</si>
  <si>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</si>
  <si>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</si>
  <si>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</si>
  <si>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</si>
  <si>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</si>
  <si>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</si>
  <si>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</si>
  <si>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</si>
  <si>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</si>
  <si>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</si>
  <si>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</si>
  <si>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</si>
  <si>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</si>
  <si>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</si>
  <si>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</si>
  <si>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</si>
  <si>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</si>
  <si>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</si>
  <si>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</si>
  <si>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</si>
  <si>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</si>
  <si>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</si>
  <si>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FDRL0001555</t>
  </si>
  <si>
    <t>HDFC0000485</t>
  </si>
  <si>
    <t>GST</t>
  </si>
  <si>
    <t>HDFC0000364</t>
  </si>
  <si>
    <t>ODCET CONSULTANCY SERVICES PVT LTD
GST Number : 36AADCO5390F1ZD</t>
  </si>
  <si>
    <t>CURRENT</t>
  </si>
  <si>
    <t>Account Type</t>
  </si>
  <si>
    <t>ZOHO Corporation Private Limited</t>
  </si>
  <si>
    <t>HDFC0001225</t>
  </si>
  <si>
    <t xml:space="preserve">ODCET CONSULTANCY SERVICES PVT LTD
</t>
  </si>
  <si>
    <t>ODCET</t>
  </si>
  <si>
    <t>AGS26061</t>
  </si>
  <si>
    <t>Indla Kiran Kumar</t>
  </si>
  <si>
    <t>AGS26062</t>
  </si>
  <si>
    <t>K Tharun Kumar Reddy</t>
  </si>
  <si>
    <t>AGS26063</t>
  </si>
  <si>
    <t>Bondada Jayanth</t>
  </si>
  <si>
    <t>AGS26065</t>
  </si>
  <si>
    <t>Boddupalli Krishna Prasad</t>
  </si>
  <si>
    <t>AGS26066</t>
  </si>
  <si>
    <t>Mohammad Sulthan</t>
  </si>
  <si>
    <t>AGS26067</t>
  </si>
  <si>
    <t>Md Imran Khan</t>
  </si>
  <si>
    <t>AGS26068</t>
  </si>
  <si>
    <t>Narmeta Srujanreddy</t>
  </si>
  <si>
    <t>AGS26069</t>
  </si>
  <si>
    <t>Neetapalli Sreekanth Reddy</t>
  </si>
  <si>
    <t>AGS26070</t>
  </si>
  <si>
    <t>Melath Ashwin</t>
  </si>
  <si>
    <t>AGS26072</t>
  </si>
  <si>
    <t>Mohd Sameer</t>
  </si>
  <si>
    <t>Boya Indrasena Naidu</t>
  </si>
  <si>
    <t>AGS26076</t>
  </si>
  <si>
    <t>Shaik Arif</t>
  </si>
  <si>
    <t>Bonus/
Incentive</t>
  </si>
  <si>
    <t>1 Day</t>
  </si>
  <si>
    <t>Gayathri K</t>
  </si>
  <si>
    <t>SBIN0009047</t>
  </si>
  <si>
    <t>Puttathayamma</t>
  </si>
  <si>
    <t>Actual Cost</t>
  </si>
  <si>
    <t>UNIN0822523</t>
  </si>
  <si>
    <t>PUNB0181410</t>
  </si>
  <si>
    <t>Punjab National Bank</t>
  </si>
  <si>
    <t>SBIN0020248</t>
  </si>
  <si>
    <t>SBIN0020947</t>
  </si>
  <si>
    <t>Kalepu Vijay Kumar</t>
  </si>
  <si>
    <t xml:space="preserve">000801663119	</t>
  </si>
  <si>
    <t>FDRL0002352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</si>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</sst>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15" fontId="6" fillId="0" borderId="1" xfId="0" applyNumberFormat="1" applyFont="1" applyBorder="1" applyAlignment="1">
      <alignment horizontal="left" vertical="top"/>
    </xf>
    <xf numFmtId="1" fontId="6" fillId="0" borderId="1" xfId="0" applyNumberFormat="1" applyFont="1" applyBorder="1"/>
    <xf numFmtId="0" fontId="6" fillId="0" borderId="1" xfId="0" applyFont="1" applyBorder="1"/>
    <xf numFmtId="1" fontId="0" fillId="2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5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2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5" fontId="14" fillId="0" borderId="1" xfId="0" applyNumberFormat="1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" fontId="14" fillId="0" borderId="1" xfId="0" applyNumberFormat="1" applyFont="1" applyBorder="1" applyAlignment="1">
      <alignment horizontal="left" vertical="top"/>
    </xf>
    <xf numFmtId="0" fontId="14" fillId="0" borderId="0" xfId="0" applyFont="1"/>
    <xf numFmtId="0" fontId="14" fillId="0" borderId="1" xfId="0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wrapText="1"/>
    </xf>
    <xf numFmtId="0" fontId="15" fillId="0" borderId="1" xfId="0" applyFont="1" applyBorder="1"/>
    <xf numFmtId="15" fontId="14" fillId="0" borderId="3" xfId="0" applyNumberFormat="1" applyFont="1" applyBorder="1" applyAlignment="1">
      <alignment horizontal="left" vertical="top"/>
    </xf>
    <xf numFmtId="0" fontId="14" fillId="0" borderId="4" xfId="0" applyFont="1" applyBorder="1" applyAlignment="1">
      <alignment horizontal="left" vertical="top"/>
    </xf>
    <xf numFmtId="1" fontId="14" fillId="0" borderId="4" xfId="0" applyNumberFormat="1" applyFont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14" fontId="14" fillId="0" borderId="4" xfId="0" applyNumberFormat="1" applyFont="1" applyBorder="1" applyAlignment="1">
      <alignment horizontal="left" vertical="top"/>
    </xf>
    <xf numFmtId="1" fontId="14" fillId="0" borderId="2" xfId="0" applyNumberFormat="1" applyFont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7" fillId="0" borderId="0" xfId="0" applyFont="1"/>
    <xf numFmtId="0" fontId="13" fillId="0" borderId="0" xfId="0" applyFont="1"/>
    <xf numFmtId="1" fontId="14" fillId="0" borderId="0" xfId="0" applyNumberFormat="1" applyFont="1"/>
    <xf numFmtId="1" fontId="13" fillId="0" borderId="0" xfId="0" applyNumberFormat="1" applyFont="1"/>
    <xf numFmtId="0" fontId="8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wrapText="1"/>
    </xf>
    <xf numFmtId="2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" fontId="10" fillId="5" borderId="1" xfId="0" applyNumberFormat="1" applyFont="1" applyFill="1" applyBorder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0" fontId="9" fillId="0" borderId="0" xfId="0" applyFont="1"/>
    <xf numFmtId="1" fontId="9" fillId="0" borderId="0" xfId="0" applyNumberFormat="1" applyFont="1"/>
    <xf numFmtId="1" fontId="14" fillId="0" borderId="0" xfId="0" applyNumberFormat="1" applyFont="1" applyAlignment="1">
      <alignment horizontal="left" vertical="top"/>
    </xf>
    <xf numFmtId="0" fontId="16" fillId="0" borderId="1" xfId="0" applyFont="1" applyBorder="1" applyAlignment="1">
      <alignment vertical="center" wrapText="1"/>
    </xf>
    <xf numFmtId="15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2" fillId="0" borderId="5" xfId="0" applyFont="1" applyBorder="1"/>
    <xf numFmtId="1" fontId="1" fillId="0" borderId="1" xfId="0" applyNumberFormat="1" applyFont="1" applyBorder="1"/>
    <xf numFmtId="0" fontId="18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19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1" fontId="1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defaultColWidth="11.54296875" defaultRowHeight="14.5" x14ac:dyDescent="0.35"/>
  <cols>
    <col min="1" max="1" width="10.36328125" bestFit="1" customWidth="1"/>
    <col min="2" max="2" width="22.6328125" bestFit="1" customWidth="1"/>
    <col min="3" max="3" width="8.453125" bestFit="1" customWidth="1"/>
    <col min="4" max="4" width="6.26953125" bestFit="1" customWidth="1"/>
    <col min="5" max="5" width="7.6328125" bestFit="1" customWidth="1"/>
    <col min="6" max="6" width="8.26953125" bestFit="1" customWidth="1"/>
    <col min="7" max="7" width="8.1796875" bestFit="1" customWidth="1"/>
    <col min="9" max="10" width="5.36328125" bestFit="1" customWidth="1"/>
    <col min="11" max="12" width="8.7265625" bestFit="1" customWidth="1"/>
    <col min="13" max="13" width="11.08984375" bestFit="1" customWidth="1"/>
    <col min="14" max="14" width="10.54296875" bestFit="1" customWidth="1"/>
    <col min="15" max="15" width="10.90625" bestFit="1" customWidth="1"/>
    <col min="16" max="16" width="10.1796875" bestFit="1" customWidth="1"/>
    <col min="17" max="17" width="6.36328125" bestFit="1" customWidth="1"/>
    <col min="18" max="18" width="11.26953125" bestFit="1" customWidth="1"/>
    <col min="20" max="20" width="7.26953125" bestFit="1" customWidth="1"/>
    <col min="21" max="21" width="3.7265625" bestFit="1" customWidth="1"/>
    <col min="22" max="22" width="8.7265625" bestFit="1" customWidth="1"/>
    <col min="23" max="23" width="9.453125" bestFit="1" customWidth="1"/>
    <col min="24" max="24" width="10.26953125" bestFit="1" customWidth="1"/>
    <col min="25" max="25" width="10.6328125" bestFit="1" customWidth="1"/>
    <col min="26" max="26" width="7.08984375" bestFit="1" customWidth="1"/>
    <col min="27" max="27" width="9.453125" bestFit="1" customWidth="1"/>
    <col min="28" max="28" width="8.81640625" bestFit="1" customWidth="1"/>
    <col min="29" max="29" width="8.54296875" bestFit="1" customWidth="1"/>
  </cols>
  <sheetData>
    <row r="1" spans="1:29" s="91" customFormat="1" ht="26" x14ac:dyDescent="0.3">
      <c r="A1" s="90" t="s">
        <v>1</v>
      </c>
      <c r="B1" s="90" t="s">
        <v>0</v>
      </c>
      <c r="C1" s="90" t="s">
        <v>21</v>
      </c>
      <c r="D1" s="90" t="s">
        <v>25</v>
      </c>
      <c r="E1" s="90" t="s">
        <v>22</v>
      </c>
      <c r="F1" s="90" t="s">
        <v>23</v>
      </c>
      <c r="G1" s="90" t="s">
        <v>24</v>
      </c>
      <c r="H1" s="90"/>
      <c r="I1" s="90" t="s">
        <v>2</v>
      </c>
      <c r="J1" s="90" t="s">
        <v>3</v>
      </c>
      <c r="K1" s="90" t="s">
        <v>4</v>
      </c>
      <c r="L1" s="90" t="s">
        <v>5</v>
      </c>
      <c r="M1" s="90" t="s">
        <v>54</v>
      </c>
      <c r="N1" s="90" t="s">
        <v>10</v>
      </c>
      <c r="O1" s="90" t="s">
        <v>11</v>
      </c>
      <c r="P1" s="90" t="s">
        <v>12</v>
      </c>
      <c r="Q1" s="90" t="s">
        <v>6</v>
      </c>
      <c r="R1" s="90" t="s">
        <v>7</v>
      </c>
      <c r="S1" s="90" t="s">
        <v>8</v>
      </c>
      <c r="T1" s="90" t="s">
        <v>9</v>
      </c>
      <c r="U1" s="90" t="s">
        <v>13</v>
      </c>
      <c r="V1" s="90" t="s">
        <v>14</v>
      </c>
      <c r="W1" s="90" t="s">
        <v>15</v>
      </c>
      <c r="X1" s="90" t="s">
        <v>18</v>
      </c>
      <c r="Y1" s="90" t="s">
        <v>19</v>
      </c>
      <c r="Z1" s="90" t="s">
        <v>20</v>
      </c>
      <c r="AA1" s="90" t="s">
        <v>16</v>
      </c>
      <c r="AB1" s="90" t="s">
        <v>100</v>
      </c>
      <c r="AC1" s="90" t="s">
        <v>17</v>
      </c>
    </row>
    <row r="2" spans="1:29" s="96" customFormat="1" ht="13" x14ac:dyDescent="0.3">
      <c r="A2" s="92" t="s">
        <v>27</v>
      </c>
      <c r="B2" s="92" t="s">
        <v>26</v>
      </c>
      <c r="C2" s="93">
        <v>46062</v>
      </c>
      <c r="D2" s="94">
        <v>70833</v>
      </c>
      <c r="E2" s="94">
        <v>31</v>
      </c>
      <c r="F2" s="94">
        <f>E2-G2</f>
        <v>31</v>
      </c>
      <c r="G2" s="94">
        <v>0</v>
      </c>
      <c r="H2" s="92"/>
      <c r="I2" s="94">
        <f>(+D2*50%)/E2*F2</f>
        <v>35416.5</v>
      </c>
      <c r="J2" s="94">
        <f>(I2*50%)</f>
        <v>17708.25</v>
      </c>
      <c r="K2" s="94">
        <f>(1600/E2)*F2</f>
        <v>1600</v>
      </c>
      <c r="L2" s="94">
        <f>(M2-I2-J2-K2)</f>
        <v>12604.716350000002</v>
      </c>
      <c r="M2" s="94">
        <f>((D2-X2)/E2*F2)-Z2</f>
        <v>67329.466350000002</v>
      </c>
      <c r="N2" s="94">
        <f>IF($I2*0.12&gt;1800,1800,$I2*0.12)</f>
        <v>1800</v>
      </c>
      <c r="O2" s="94">
        <f>IF(M2&lt;=21000,M2*0.75%,0)</f>
        <v>0</v>
      </c>
      <c r="P2" s="94">
        <v>200</v>
      </c>
      <c r="Q2" s="94">
        <v>0</v>
      </c>
      <c r="R2" s="95"/>
      <c r="S2" s="94">
        <v>0</v>
      </c>
      <c r="T2" s="94">
        <f>M2+Q2+R2+S2</f>
        <v>67329.466350000002</v>
      </c>
      <c r="U2" s="94">
        <v>0</v>
      </c>
      <c r="V2" s="94">
        <f>ROUND((M2/E2)*G2,0)</f>
        <v>0</v>
      </c>
      <c r="W2" s="94">
        <v>0</v>
      </c>
      <c r="X2" s="94">
        <f>IF($I2*0.12&gt;1800,1800,$I2*0.12)</f>
        <v>1800</v>
      </c>
      <c r="Y2" s="94">
        <f>IF(M2&lt;=21000,M2*3.25%,0)</f>
        <v>0</v>
      </c>
      <c r="Z2" s="94">
        <f>I2*4.81%</f>
        <v>1703.5336499999999</v>
      </c>
      <c r="AA2" s="94">
        <f>N2+O2+P2+V2+W2+U2+X2+Y2+Z2</f>
        <v>5503.5336499999994</v>
      </c>
      <c r="AB2" s="94"/>
      <c r="AC2" s="94">
        <f>M2-AA2+AB2+N2+Z2+R2</f>
        <v>65329.466350000002</v>
      </c>
    </row>
    <row r="3" spans="1:29" s="98" customFormat="1" ht="13" x14ac:dyDescent="0.3">
      <c r="A3" s="92" t="s">
        <v>96</v>
      </c>
      <c r="B3" s="92" t="s">
        <v>97</v>
      </c>
      <c r="C3" s="93">
        <v>46086</v>
      </c>
      <c r="D3" s="97">
        <v>100000</v>
      </c>
      <c r="E3" s="97">
        <v>31</v>
      </c>
      <c r="F3" s="94">
        <f>E3-G3</f>
        <v>30</v>
      </c>
      <c r="G3" s="97">
        <v>1</v>
      </c>
      <c r="H3" s="97"/>
      <c r="I3" s="94">
        <f t="shared" ref="I3" si="0">(+D3*49.99999%)/E3*F3</f>
        <v>48387.087096774179</v>
      </c>
      <c r="J3" s="94">
        <f>(I3*50%)</f>
        <v>24193.54354838709</v>
      </c>
      <c r="K3" s="94">
        <f>(1600/E3)*F3</f>
        <v>1548.3870967741934</v>
      </c>
      <c r="L3" s="94">
        <f>(M3-I3-J3-K3)</f>
        <v>18498.240322580659</v>
      </c>
      <c r="M3" s="94">
        <f>(D3-X3)/E3*F3-Z3</f>
        <v>92627.258064516122</v>
      </c>
      <c r="N3" s="94">
        <f>IF($I3*0.12&gt;1800,1800,$I3*0.12)</f>
        <v>1800</v>
      </c>
      <c r="O3" s="94">
        <f>IF(M3&lt;=21000,M3*0.75%,0)</f>
        <v>0</v>
      </c>
      <c r="P3" s="94">
        <v>200</v>
      </c>
      <c r="Q3" s="94">
        <v>0</v>
      </c>
      <c r="R3" s="94"/>
      <c r="S3" s="94">
        <v>0</v>
      </c>
      <c r="T3" s="94">
        <f>M3+Q3+R3+S3</f>
        <v>92627.258064516122</v>
      </c>
      <c r="U3" s="94">
        <v>0</v>
      </c>
      <c r="V3" s="94">
        <v>0</v>
      </c>
      <c r="W3" s="94">
        <v>0</v>
      </c>
      <c r="X3" s="94">
        <f>IF($I3*0.12&gt;1800,1800,$I3*0.12)</f>
        <v>1800</v>
      </c>
      <c r="Y3" s="94">
        <f>IF(M3&lt;=21000,M3*3.25%,0)</f>
        <v>0</v>
      </c>
      <c r="Z3" s="94">
        <v>2405</v>
      </c>
      <c r="AA3" s="94">
        <f>N3+O3+P3+V3+W3+U3+X3+Y3+Z3</f>
        <v>6205</v>
      </c>
      <c r="AB3" s="94"/>
      <c r="AC3" s="94">
        <f>M3-AA3+AB3+N3+Z3</f>
        <v>90627.258064516122</v>
      </c>
    </row>
    <row r="4" spans="1:29" s="69" customFormat="1" ht="12" x14ac:dyDescent="0.3">
      <c r="I4" s="88"/>
    </row>
    <row r="5" spans="1:29" s="69" customFormat="1" ht="12" x14ac:dyDescent="0.3"/>
    <row r="6" spans="1:29" s="69" customFormat="1" ht="12" x14ac:dyDescent="0.3"/>
    <row r="7" spans="1:29" s="69" customFormat="1" ht="12" x14ac:dyDescent="0.3">
      <c r="C7" s="87" t="s">
        <v>28</v>
      </c>
      <c r="D7" s="88">
        <f>SUM(D2:D6)</f>
        <v>170833</v>
      </c>
      <c r="I7" s="88">
        <f t="shared" ref="I7:AC7" si="1">SUM(I2:I6)</f>
        <v>83803.587096774179</v>
      </c>
      <c r="J7" s="88">
        <f t="shared" si="1"/>
        <v>41901.79354838709</v>
      </c>
      <c r="K7" s="88">
        <f t="shared" si="1"/>
        <v>3148.3870967741932</v>
      </c>
      <c r="L7" s="88">
        <f t="shared" si="1"/>
        <v>31102.956672580662</v>
      </c>
      <c r="M7" s="88">
        <f t="shared" si="1"/>
        <v>159956.72441451612</v>
      </c>
      <c r="N7" s="88">
        <f t="shared" si="1"/>
        <v>3600</v>
      </c>
      <c r="O7" s="88">
        <f t="shared" si="1"/>
        <v>0</v>
      </c>
      <c r="P7" s="88">
        <f t="shared" si="1"/>
        <v>400</v>
      </c>
      <c r="Q7" s="88">
        <f t="shared" si="1"/>
        <v>0</v>
      </c>
      <c r="R7" s="88">
        <f>SUM(R2:R6)</f>
        <v>0</v>
      </c>
      <c r="S7" s="88">
        <f t="shared" si="1"/>
        <v>0</v>
      </c>
      <c r="T7" s="88">
        <f t="shared" si="1"/>
        <v>159956.72441451612</v>
      </c>
      <c r="U7" s="88">
        <f t="shared" si="1"/>
        <v>0</v>
      </c>
      <c r="V7" s="88">
        <f t="shared" si="1"/>
        <v>0</v>
      </c>
      <c r="W7" s="88">
        <f t="shared" si="1"/>
        <v>0</v>
      </c>
      <c r="X7" s="88">
        <f t="shared" si="1"/>
        <v>3600</v>
      </c>
      <c r="Y7" s="88">
        <f t="shared" si="1"/>
        <v>0</v>
      </c>
      <c r="Z7" s="88">
        <f t="shared" si="1"/>
        <v>4108.5336499999994</v>
      </c>
      <c r="AA7" s="88">
        <f t="shared" si="1"/>
        <v>11708.533649999999</v>
      </c>
      <c r="AB7" s="88"/>
      <c r="AC7" s="89">
        <f t="shared" si="1"/>
        <v>155956.72441451612</v>
      </c>
    </row>
    <row r="8" spans="1:29" ht="15.5" x14ac:dyDescent="0.35">
      <c r="B8" s="86"/>
    </row>
    <row r="9" spans="1:29" x14ac:dyDescent="0.35">
      <c r="B9" s="6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A2" sqref="A2:A6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90" t="s">
        <v>1</v>
      </c>
      <c r="B1" s="90" t="s">
        <v>0</v>
      </c>
      <c r="C1" s="90" t="s">
        <v>21</v>
      </c>
      <c r="D1" s="90" t="s">
        <v>25</v>
      </c>
      <c r="E1" s="90" t="s">
        <v>53</v>
      </c>
      <c r="F1" s="90" t="s">
        <v>13</v>
      </c>
      <c r="G1" s="90" t="s">
        <v>40</v>
      </c>
      <c r="H1" s="90" t="s">
        <v>41</v>
      </c>
      <c r="I1" s="90" t="s">
        <v>123</v>
      </c>
    </row>
    <row r="2" spans="1:9" x14ac:dyDescent="0.35">
      <c r="A2" s="59" t="s">
        <v>36</v>
      </c>
      <c r="B2" s="99" t="s">
        <v>52</v>
      </c>
      <c r="C2" s="100">
        <v>46055</v>
      </c>
      <c r="D2" s="99">
        <v>80000</v>
      </c>
      <c r="E2" s="101">
        <f>D2/31*31</f>
        <v>80000</v>
      </c>
      <c r="F2" s="99">
        <v>0</v>
      </c>
      <c r="G2" s="99">
        <v>200</v>
      </c>
      <c r="H2" s="101">
        <f>E2-G2</f>
        <v>79800</v>
      </c>
      <c r="I2" s="101"/>
    </row>
    <row r="3" spans="1:9" x14ac:dyDescent="0.35">
      <c r="A3" s="59" t="s">
        <v>35</v>
      </c>
      <c r="B3" s="59" t="s">
        <v>38</v>
      </c>
      <c r="C3" s="100">
        <v>46055</v>
      </c>
      <c r="D3" s="99">
        <v>70000</v>
      </c>
      <c r="E3" s="101">
        <f>D3/31*31</f>
        <v>70000</v>
      </c>
      <c r="F3" s="99">
        <v>0</v>
      </c>
      <c r="G3" s="99">
        <v>200</v>
      </c>
      <c r="H3" s="101">
        <f>E3-G3</f>
        <v>69800</v>
      </c>
      <c r="I3" s="101"/>
    </row>
    <row r="4" spans="1:9" x14ac:dyDescent="0.35">
      <c r="A4" s="59" t="s">
        <v>46</v>
      </c>
      <c r="B4" s="59" t="s">
        <v>47</v>
      </c>
      <c r="C4" s="100">
        <v>46066</v>
      </c>
      <c r="D4" s="99">
        <v>60000</v>
      </c>
      <c r="E4" s="101">
        <f>D4/31*30</f>
        <v>58064.516129032258</v>
      </c>
      <c r="F4" s="99">
        <v>0</v>
      </c>
      <c r="G4" s="99">
        <v>200</v>
      </c>
      <c r="H4" s="101">
        <f>E4-G4</f>
        <v>57864.516129032258</v>
      </c>
      <c r="I4" s="101" t="s">
        <v>260</v>
      </c>
    </row>
    <row r="5" spans="1:9" x14ac:dyDescent="0.35">
      <c r="A5" s="59" t="s">
        <v>37</v>
      </c>
      <c r="B5" s="59" t="s">
        <v>39</v>
      </c>
      <c r="C5" s="100">
        <v>46072</v>
      </c>
      <c r="D5" s="99">
        <v>80000</v>
      </c>
      <c r="E5" s="101">
        <f>D5/31*31</f>
        <v>80000</v>
      </c>
      <c r="F5" s="99">
        <v>0</v>
      </c>
      <c r="G5" s="99">
        <v>200</v>
      </c>
      <c r="H5" s="101">
        <f>E5-G5</f>
        <v>79800</v>
      </c>
      <c r="I5" s="101"/>
    </row>
    <row r="6" spans="1:9" x14ac:dyDescent="0.35">
      <c r="A6" s="57" t="s">
        <v>98</v>
      </c>
      <c r="B6" s="58" t="s">
        <v>99</v>
      </c>
      <c r="C6" s="100">
        <v>46092</v>
      </c>
      <c r="D6" s="99">
        <v>20000</v>
      </c>
      <c r="E6" s="101">
        <f>D6/31*30</f>
        <v>19354.838709677417</v>
      </c>
      <c r="F6" s="99">
        <v>0</v>
      </c>
      <c r="G6" s="99">
        <v>200</v>
      </c>
      <c r="H6" s="101">
        <f>E6-G6</f>
        <v>19154.838709677417</v>
      </c>
      <c r="I6" s="101" t="s">
        <v>260</v>
      </c>
    </row>
    <row r="7" spans="1:9" x14ac:dyDescent="0.35">
      <c r="A7" s="56"/>
      <c r="B7" s="56"/>
      <c r="C7" s="56"/>
      <c r="D7" s="56"/>
      <c r="E7" s="56"/>
      <c r="F7" s="56"/>
      <c r="G7" s="102" t="s">
        <v>28</v>
      </c>
      <c r="H7" s="103">
        <f>SUM(H2:H6)</f>
        <v>306419.35483870964</v>
      </c>
      <c r="I7" s="56"/>
    </row>
  </sheetData>
  <pageMargins left="0.7" right="0.7" top="0.75" bottom="0.75" header="0.3" footer="0.3"/>
  <ignoredErrors>
    <ignoredError sqref="E4: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C52"/>
  <sheetViews>
    <sheetView zoomScale="133" zoomScaleNormal="133" workbookViewId="0">
      <pane xSplit="4" ySplit="1" topLeftCell="I23" activePane="bottomRight" state="frozen"/>
      <selection pane="topRight" activeCell="E1" sqref="E1"/>
      <selection pane="bottomLeft" activeCell="A2" sqref="A2"/>
      <selection pane="bottomRight" activeCell="AB27" sqref="J27:AB27"/>
    </sheetView>
  </sheetViews>
  <sheetFormatPr defaultRowHeight="12" x14ac:dyDescent="0.35"/>
  <cols>
    <col min="1" max="1" width="11.26953125" style="62" bestFit="1" customWidth="1"/>
    <col min="2" max="2" width="20.36328125" style="62" customWidth="1"/>
    <col min="3" max="3" width="9.54296875" style="62" customWidth="1"/>
    <col min="4" max="4" width="8.36328125" style="62" customWidth="1"/>
    <col min="5" max="5" width="6.90625" style="62" customWidth="1"/>
    <col min="6" max="6" width="4.26953125" style="62" customWidth="1"/>
    <col min="7" max="7" width="4.1796875" style="62" customWidth="1"/>
    <col min="8" max="8" width="5.36328125" style="62" customWidth="1"/>
    <col min="9" max="10" width="8.36328125" style="62" customWidth="1"/>
    <col min="11" max="12" width="8" style="62" customWidth="1"/>
    <col min="13" max="13" width="6.7265625" style="62" customWidth="1"/>
    <col min="14" max="14" width="9.26953125" style="62" customWidth="1"/>
    <col min="15" max="15" width="8" style="62" customWidth="1"/>
    <col min="16" max="16" width="9.26953125" style="62" customWidth="1"/>
    <col min="17" max="17" width="5.90625" style="62" customWidth="1"/>
    <col min="18" max="18" width="12.1796875" style="62" customWidth="1"/>
    <col min="19" max="19" width="7.08984375" style="62" customWidth="1"/>
    <col min="20" max="20" width="6.7265625" style="62" customWidth="1"/>
    <col min="21" max="21" width="5" style="62" customWidth="1"/>
    <col min="22" max="22" width="7.81640625" style="62" customWidth="1"/>
    <col min="23" max="23" width="8.54296875" style="62" customWidth="1"/>
    <col min="24" max="24" width="8.7265625" style="62" customWidth="1"/>
    <col min="25" max="25" width="8.08984375" style="62" customWidth="1"/>
    <col min="26" max="26" width="7.36328125" style="62" customWidth="1"/>
    <col min="27" max="27" width="8.453125" style="62" customWidth="1"/>
    <col min="28" max="28" width="7.54296875" style="62" customWidth="1"/>
    <col min="29" max="16384" width="8.7265625" style="62"/>
  </cols>
  <sheetData>
    <row r="1" spans="1:29" ht="36" x14ac:dyDescent="0.35">
      <c r="A1" s="60" t="s">
        <v>1</v>
      </c>
      <c r="B1" s="60" t="s">
        <v>0</v>
      </c>
      <c r="C1" s="60" t="s">
        <v>21</v>
      </c>
      <c r="D1" s="60" t="s">
        <v>25</v>
      </c>
      <c r="E1" s="79" t="s">
        <v>22</v>
      </c>
      <c r="F1" s="78" t="s">
        <v>23</v>
      </c>
      <c r="G1" s="78" t="s">
        <v>24</v>
      </c>
      <c r="H1" s="60"/>
      <c r="I1" s="60" t="s">
        <v>2</v>
      </c>
      <c r="J1" s="60" t="s">
        <v>3</v>
      </c>
      <c r="K1" s="78" t="s">
        <v>4</v>
      </c>
      <c r="L1" s="78" t="s">
        <v>5</v>
      </c>
      <c r="M1" s="78" t="s">
        <v>54</v>
      </c>
      <c r="N1" s="78" t="s">
        <v>10</v>
      </c>
      <c r="O1" s="78" t="s">
        <v>11</v>
      </c>
      <c r="P1" s="78" t="s">
        <v>12</v>
      </c>
      <c r="Q1" s="61" t="s">
        <v>6</v>
      </c>
      <c r="R1" s="61" t="s">
        <v>7</v>
      </c>
      <c r="S1" s="79" t="s">
        <v>259</v>
      </c>
      <c r="T1" s="79" t="s">
        <v>9</v>
      </c>
      <c r="U1" s="60" t="s">
        <v>13</v>
      </c>
      <c r="V1" s="78" t="s">
        <v>14</v>
      </c>
      <c r="W1" s="78" t="s">
        <v>15</v>
      </c>
      <c r="X1" s="78" t="s">
        <v>18</v>
      </c>
      <c r="Y1" s="78" t="s">
        <v>19</v>
      </c>
      <c r="Z1" s="78" t="s">
        <v>20</v>
      </c>
      <c r="AA1" s="78" t="s">
        <v>16</v>
      </c>
      <c r="AB1" s="78" t="s">
        <v>17</v>
      </c>
    </row>
    <row r="2" spans="1:29" x14ac:dyDescent="0.3">
      <c r="A2" s="63" t="s">
        <v>56</v>
      </c>
      <c r="B2" s="64" t="s">
        <v>57</v>
      </c>
      <c r="C2" s="65">
        <v>46083</v>
      </c>
      <c r="D2" s="66">
        <v>45000</v>
      </c>
      <c r="E2" s="67">
        <v>31</v>
      </c>
      <c r="F2" s="67">
        <f>E2-G2</f>
        <v>31</v>
      </c>
      <c r="G2" s="67">
        <v>0</v>
      </c>
      <c r="H2" s="67"/>
      <c r="I2" s="68">
        <f t="shared" ref="I2:I39" si="0">(+D2*49.99999%)/E2*F2</f>
        <v>22499.995499999997</v>
      </c>
      <c r="J2" s="68">
        <f t="shared" ref="J2:J37" si="1">(I2*50%)</f>
        <v>11249.997749999999</v>
      </c>
      <c r="K2" s="68">
        <f t="shared" ref="K2:K39" si="2">(1600/E2)*F2</f>
        <v>1600</v>
      </c>
      <c r="L2" s="68">
        <f t="shared" ref="L2:L37" si="3">(M2-I2-J2-K2)</f>
        <v>6767.7569664500079</v>
      </c>
      <c r="M2" s="68">
        <f t="shared" ref="M2:M33" si="4">(D2-X2)/E2*F2-Z2</f>
        <v>42117.750216450004</v>
      </c>
      <c r="N2" s="68">
        <f t="shared" ref="N2:N39" si="5">IF($I2*0.12&gt;1800,1800,$I2*0.12)</f>
        <v>1800</v>
      </c>
      <c r="O2" s="68">
        <f>IF(M2&lt;=21000,M2*0.75%,0)</f>
        <v>0</v>
      </c>
      <c r="P2" s="68">
        <v>200</v>
      </c>
      <c r="Q2" s="68">
        <v>0</v>
      </c>
      <c r="R2" s="68">
        <v>0</v>
      </c>
      <c r="S2" s="68">
        <v>0</v>
      </c>
      <c r="T2" s="68">
        <f t="shared" ref="T2:T37" si="6">M2+Q2+R2+S2</f>
        <v>42117.750216450004</v>
      </c>
      <c r="U2" s="68">
        <v>0</v>
      </c>
      <c r="V2" s="69">
        <f t="shared" ref="V2:V16" si="7">ROUND((M2/E2)*G2,0)</f>
        <v>0</v>
      </c>
      <c r="W2" s="68">
        <v>0</v>
      </c>
      <c r="X2" s="68">
        <f t="shared" ref="X2:X39" si="8">IF($I2*0.12&gt;1800,1800,$I2*0.12)</f>
        <v>1800</v>
      </c>
      <c r="Y2" s="68">
        <f t="shared" ref="Y2:Y13" si="9">IF(M2&lt;=21000,M2*3.25%,0)</f>
        <v>0</v>
      </c>
      <c r="Z2" s="68">
        <f t="shared" ref="Z2:Z33" si="10">I2*4.81%</f>
        <v>1082.2497835499998</v>
      </c>
      <c r="AA2" s="68">
        <f t="shared" ref="AA2:AA33" si="11">N2+O2+P2+V2+W2+U2+X2+Y2+Z2</f>
        <v>4882.2497835499998</v>
      </c>
      <c r="AB2" s="68">
        <f>M2-AA2+Z2+X2+Y2</f>
        <v>40117.750216450004</v>
      </c>
    </row>
    <row r="3" spans="1:29" x14ac:dyDescent="0.3">
      <c r="A3" s="63" t="s">
        <v>58</v>
      </c>
      <c r="B3" s="64" t="s">
        <v>59</v>
      </c>
      <c r="C3" s="65">
        <v>46083</v>
      </c>
      <c r="D3" s="66">
        <v>45000</v>
      </c>
      <c r="E3" s="67">
        <v>31</v>
      </c>
      <c r="F3" s="67">
        <f>E3-G3</f>
        <v>29</v>
      </c>
      <c r="G3" s="83">
        <v>2</v>
      </c>
      <c r="H3" s="67"/>
      <c r="I3" s="68">
        <f t="shared" si="0"/>
        <v>21048.382887096774</v>
      </c>
      <c r="J3" s="68">
        <f t="shared" si="1"/>
        <v>10524.191443548387</v>
      </c>
      <c r="K3" s="68">
        <f t="shared" si="2"/>
        <v>1496.7741935483871</v>
      </c>
      <c r="L3" s="68">
        <f t="shared" si="3"/>
        <v>6331.1274847435425</v>
      </c>
      <c r="M3" s="68">
        <f t="shared" si="4"/>
        <v>39400.47600893709</v>
      </c>
      <c r="N3" s="68">
        <f t="shared" si="5"/>
        <v>1800</v>
      </c>
      <c r="O3" s="68">
        <f t="shared" ref="O3:O37" si="12">IF(M3&lt;=21000,M3*0.75%,0)</f>
        <v>0</v>
      </c>
      <c r="P3" s="68">
        <v>200</v>
      </c>
      <c r="Q3" s="68">
        <v>0</v>
      </c>
      <c r="R3" s="68">
        <v>0</v>
      </c>
      <c r="S3" s="68">
        <v>0</v>
      </c>
      <c r="T3" s="68">
        <f t="shared" si="6"/>
        <v>39400.47600893709</v>
      </c>
      <c r="U3" s="68">
        <v>0</v>
      </c>
      <c r="V3" s="69">
        <v>0</v>
      </c>
      <c r="W3" s="68">
        <v>0</v>
      </c>
      <c r="X3" s="68">
        <f t="shared" si="8"/>
        <v>1800</v>
      </c>
      <c r="Y3" s="68">
        <f t="shared" si="9"/>
        <v>0</v>
      </c>
      <c r="Z3" s="68">
        <f t="shared" si="10"/>
        <v>1012.4272168693548</v>
      </c>
      <c r="AA3" s="68">
        <f t="shared" si="11"/>
        <v>4812.4272168693551</v>
      </c>
      <c r="AB3" s="68">
        <f t="shared" ref="AB3:AB33" si="13">M3-AA3+Z3+X3</f>
        <v>37400.47600893709</v>
      </c>
      <c r="AC3" s="104"/>
    </row>
    <row r="4" spans="1:29" x14ac:dyDescent="0.3">
      <c r="A4" s="63" t="s">
        <v>60</v>
      </c>
      <c r="B4" s="64" t="s">
        <v>61</v>
      </c>
      <c r="C4" s="65">
        <v>46083</v>
      </c>
      <c r="D4" s="66">
        <v>60000</v>
      </c>
      <c r="E4" s="67">
        <v>31</v>
      </c>
      <c r="F4" s="67">
        <f>E4-G4</f>
        <v>31</v>
      </c>
      <c r="G4" s="67">
        <v>0</v>
      </c>
      <c r="H4" s="67"/>
      <c r="I4" s="68">
        <f t="shared" si="0"/>
        <v>29999.993999999995</v>
      </c>
      <c r="J4" s="68">
        <f t="shared" si="1"/>
        <v>14999.996999999998</v>
      </c>
      <c r="K4" s="68">
        <f t="shared" si="2"/>
        <v>1600</v>
      </c>
      <c r="L4" s="68">
        <f t="shared" si="3"/>
        <v>10157.009288600007</v>
      </c>
      <c r="M4" s="68">
        <f t="shared" si="4"/>
        <v>56757.0002886</v>
      </c>
      <c r="N4" s="68">
        <f t="shared" si="5"/>
        <v>1800</v>
      </c>
      <c r="O4" s="68">
        <f t="shared" si="12"/>
        <v>0</v>
      </c>
      <c r="P4" s="68">
        <v>200</v>
      </c>
      <c r="Q4" s="68">
        <v>0</v>
      </c>
      <c r="R4" s="68">
        <v>0</v>
      </c>
      <c r="S4" s="68">
        <v>0</v>
      </c>
      <c r="T4" s="68">
        <f t="shared" si="6"/>
        <v>56757.0002886</v>
      </c>
      <c r="U4" s="68">
        <v>0</v>
      </c>
      <c r="V4" s="69">
        <f t="shared" si="7"/>
        <v>0</v>
      </c>
      <c r="W4" s="68">
        <v>0</v>
      </c>
      <c r="X4" s="68">
        <f t="shared" si="8"/>
        <v>1800</v>
      </c>
      <c r="Y4" s="68">
        <f t="shared" si="9"/>
        <v>0</v>
      </c>
      <c r="Z4" s="68">
        <f t="shared" si="10"/>
        <v>1442.9997113999996</v>
      </c>
      <c r="AA4" s="68">
        <f t="shared" si="11"/>
        <v>5242.9997113999998</v>
      </c>
      <c r="AB4" s="68">
        <f t="shared" si="13"/>
        <v>54757.0002886</v>
      </c>
    </row>
    <row r="5" spans="1:29" x14ac:dyDescent="0.3">
      <c r="A5" s="63" t="s">
        <v>62</v>
      </c>
      <c r="B5" s="64" t="s">
        <v>63</v>
      </c>
      <c r="C5" s="65">
        <v>46083</v>
      </c>
      <c r="D5" s="66">
        <v>23000</v>
      </c>
      <c r="E5" s="67">
        <v>31</v>
      </c>
      <c r="F5" s="67">
        <f t="shared" ref="F5:F11" si="14">E5-G5</f>
        <v>31</v>
      </c>
      <c r="G5" s="67">
        <v>0</v>
      </c>
      <c r="H5" s="67"/>
      <c r="I5" s="68">
        <f t="shared" si="0"/>
        <v>11499.997699999998</v>
      </c>
      <c r="J5" s="68">
        <f t="shared" si="1"/>
        <v>5749.998849999999</v>
      </c>
      <c r="K5" s="68">
        <f t="shared" si="2"/>
        <v>1600</v>
      </c>
      <c r="L5" s="68">
        <f t="shared" si="3"/>
        <v>2216.8538366300008</v>
      </c>
      <c r="M5" s="68">
        <f t="shared" si="4"/>
        <v>21066.850386629998</v>
      </c>
      <c r="N5" s="68">
        <f t="shared" si="5"/>
        <v>1379.9997239999998</v>
      </c>
      <c r="O5" s="68">
        <f t="shared" si="12"/>
        <v>0</v>
      </c>
      <c r="P5" s="68">
        <v>200</v>
      </c>
      <c r="Q5" s="68">
        <v>0</v>
      </c>
      <c r="R5" s="68">
        <v>0</v>
      </c>
      <c r="S5" s="68">
        <v>0</v>
      </c>
      <c r="T5" s="68">
        <f t="shared" si="6"/>
        <v>21066.850386629998</v>
      </c>
      <c r="U5" s="68">
        <v>0</v>
      </c>
      <c r="V5" s="69">
        <f t="shared" si="7"/>
        <v>0</v>
      </c>
      <c r="W5" s="68">
        <v>0</v>
      </c>
      <c r="X5" s="68">
        <f t="shared" si="8"/>
        <v>1379.9997239999998</v>
      </c>
      <c r="Y5" s="68">
        <f t="shared" si="9"/>
        <v>0</v>
      </c>
      <c r="Z5" s="68">
        <f t="shared" si="10"/>
        <v>553.14988936999987</v>
      </c>
      <c r="AA5" s="68">
        <f t="shared" si="11"/>
        <v>3513.1493373699996</v>
      </c>
      <c r="AB5" s="68">
        <f t="shared" si="13"/>
        <v>19486.85066263</v>
      </c>
    </row>
    <row r="6" spans="1:29" x14ac:dyDescent="0.3">
      <c r="A6" s="63" t="s">
        <v>64</v>
      </c>
      <c r="B6" s="64" t="s">
        <v>65</v>
      </c>
      <c r="C6" s="65">
        <v>46083</v>
      </c>
      <c r="D6" s="68">
        <v>50000</v>
      </c>
      <c r="E6" s="67">
        <v>31</v>
      </c>
      <c r="F6" s="67">
        <f t="shared" si="14"/>
        <v>31</v>
      </c>
      <c r="G6" s="67">
        <v>0</v>
      </c>
      <c r="H6" s="67"/>
      <c r="I6" s="68">
        <f t="shared" si="0"/>
        <v>24999.994999999995</v>
      </c>
      <c r="J6" s="68">
        <f t="shared" si="1"/>
        <v>12499.997499999998</v>
      </c>
      <c r="K6" s="68">
        <f t="shared" si="2"/>
        <v>1600</v>
      </c>
      <c r="L6" s="68">
        <f t="shared" si="3"/>
        <v>7897.5077405000047</v>
      </c>
      <c r="M6" s="68">
        <f t="shared" si="4"/>
        <v>46997.500240499998</v>
      </c>
      <c r="N6" s="68">
        <f t="shared" si="5"/>
        <v>1800</v>
      </c>
      <c r="O6" s="68">
        <f t="shared" si="12"/>
        <v>0</v>
      </c>
      <c r="P6" s="68">
        <v>200</v>
      </c>
      <c r="Q6" s="68">
        <v>0</v>
      </c>
      <c r="R6" s="68">
        <v>0</v>
      </c>
      <c r="S6" s="68">
        <v>0</v>
      </c>
      <c r="T6" s="68">
        <f t="shared" si="6"/>
        <v>46997.500240499998</v>
      </c>
      <c r="U6" s="68">
        <v>0</v>
      </c>
      <c r="V6" s="69">
        <f t="shared" si="7"/>
        <v>0</v>
      </c>
      <c r="W6" s="68">
        <v>0</v>
      </c>
      <c r="X6" s="68">
        <f t="shared" si="8"/>
        <v>1800</v>
      </c>
      <c r="Y6" s="68">
        <f t="shared" si="9"/>
        <v>0</v>
      </c>
      <c r="Z6" s="68">
        <f t="shared" si="10"/>
        <v>1202.4997594999998</v>
      </c>
      <c r="AA6" s="68">
        <f t="shared" si="11"/>
        <v>5002.4997594999995</v>
      </c>
      <c r="AB6" s="68">
        <f t="shared" si="13"/>
        <v>44997.500240499998</v>
      </c>
    </row>
    <row r="7" spans="1:29" x14ac:dyDescent="0.3">
      <c r="A7" s="63" t="s">
        <v>66</v>
      </c>
      <c r="B7" s="64" t="s">
        <v>67</v>
      </c>
      <c r="C7" s="65">
        <v>46083</v>
      </c>
      <c r="D7" s="66">
        <v>45000</v>
      </c>
      <c r="E7" s="67">
        <v>31</v>
      </c>
      <c r="F7" s="67">
        <f t="shared" si="14"/>
        <v>31</v>
      </c>
      <c r="G7" s="67">
        <v>0</v>
      </c>
      <c r="H7" s="67"/>
      <c r="I7" s="68">
        <f t="shared" si="0"/>
        <v>22499.995499999997</v>
      </c>
      <c r="J7" s="68">
        <f t="shared" si="1"/>
        <v>11249.997749999999</v>
      </c>
      <c r="K7" s="68">
        <f t="shared" si="2"/>
        <v>1600</v>
      </c>
      <c r="L7" s="68">
        <f t="shared" si="3"/>
        <v>6767.7569664500079</v>
      </c>
      <c r="M7" s="68">
        <f t="shared" si="4"/>
        <v>42117.750216450004</v>
      </c>
      <c r="N7" s="68">
        <f t="shared" si="5"/>
        <v>1800</v>
      </c>
      <c r="O7" s="68">
        <f t="shared" si="12"/>
        <v>0</v>
      </c>
      <c r="P7" s="68">
        <v>200</v>
      </c>
      <c r="Q7" s="68">
        <v>0</v>
      </c>
      <c r="R7" s="68">
        <v>0</v>
      </c>
      <c r="S7" s="68">
        <v>0</v>
      </c>
      <c r="T7" s="68">
        <f t="shared" si="6"/>
        <v>42117.750216450004</v>
      </c>
      <c r="U7" s="68">
        <v>0</v>
      </c>
      <c r="V7" s="69">
        <f t="shared" si="7"/>
        <v>0</v>
      </c>
      <c r="W7" s="68">
        <v>0</v>
      </c>
      <c r="X7" s="68">
        <f t="shared" si="8"/>
        <v>1800</v>
      </c>
      <c r="Y7" s="68">
        <f t="shared" si="9"/>
        <v>0</v>
      </c>
      <c r="Z7" s="68">
        <f t="shared" si="10"/>
        <v>1082.2497835499998</v>
      </c>
      <c r="AA7" s="68">
        <f t="shared" si="11"/>
        <v>4882.2497835499998</v>
      </c>
      <c r="AB7" s="68">
        <f t="shared" si="13"/>
        <v>40117.750216450004</v>
      </c>
    </row>
    <row r="8" spans="1:29" x14ac:dyDescent="0.3">
      <c r="A8" s="63" t="s">
        <v>68</v>
      </c>
      <c r="B8" s="64" t="s">
        <v>69</v>
      </c>
      <c r="C8" s="65">
        <v>46083</v>
      </c>
      <c r="D8" s="66">
        <v>45000</v>
      </c>
      <c r="E8" s="67">
        <v>31</v>
      </c>
      <c r="F8" s="67">
        <f t="shared" si="14"/>
        <v>31</v>
      </c>
      <c r="G8" s="67">
        <v>0</v>
      </c>
      <c r="H8" s="67"/>
      <c r="I8" s="68">
        <f t="shared" si="0"/>
        <v>22499.995499999997</v>
      </c>
      <c r="J8" s="68">
        <f t="shared" si="1"/>
        <v>11249.997749999999</v>
      </c>
      <c r="K8" s="68">
        <f t="shared" si="2"/>
        <v>1600</v>
      </c>
      <c r="L8" s="68">
        <f t="shared" si="3"/>
        <v>6767.7569664500079</v>
      </c>
      <c r="M8" s="68">
        <f t="shared" si="4"/>
        <v>42117.750216450004</v>
      </c>
      <c r="N8" s="68">
        <f t="shared" si="5"/>
        <v>1800</v>
      </c>
      <c r="O8" s="68">
        <f t="shared" si="12"/>
        <v>0</v>
      </c>
      <c r="P8" s="68">
        <v>200</v>
      </c>
      <c r="Q8" s="68">
        <v>0</v>
      </c>
      <c r="R8" s="68">
        <v>0</v>
      </c>
      <c r="S8" s="68">
        <v>0</v>
      </c>
      <c r="T8" s="68">
        <f t="shared" si="6"/>
        <v>42117.750216450004</v>
      </c>
      <c r="U8" s="68">
        <v>0</v>
      </c>
      <c r="V8" s="69">
        <f t="shared" si="7"/>
        <v>0</v>
      </c>
      <c r="W8" s="68">
        <v>0</v>
      </c>
      <c r="X8" s="68">
        <f t="shared" si="8"/>
        <v>1800</v>
      </c>
      <c r="Y8" s="68">
        <f t="shared" si="9"/>
        <v>0</v>
      </c>
      <c r="Z8" s="68">
        <f t="shared" si="10"/>
        <v>1082.2497835499998</v>
      </c>
      <c r="AA8" s="68">
        <f t="shared" si="11"/>
        <v>4882.2497835499998</v>
      </c>
      <c r="AB8" s="68">
        <f t="shared" si="13"/>
        <v>40117.750216450004</v>
      </c>
    </row>
    <row r="9" spans="1:29" x14ac:dyDescent="0.3">
      <c r="A9" s="63" t="s">
        <v>70</v>
      </c>
      <c r="B9" s="64" t="s">
        <v>71</v>
      </c>
      <c r="C9" s="65">
        <v>46083</v>
      </c>
      <c r="D9" s="66">
        <v>45000</v>
      </c>
      <c r="E9" s="67">
        <v>31</v>
      </c>
      <c r="F9" s="67">
        <f t="shared" si="14"/>
        <v>31</v>
      </c>
      <c r="G9" s="67">
        <v>0</v>
      </c>
      <c r="H9" s="67"/>
      <c r="I9" s="68">
        <f t="shared" si="0"/>
        <v>22499.995499999997</v>
      </c>
      <c r="J9" s="68">
        <f t="shared" si="1"/>
        <v>11249.997749999999</v>
      </c>
      <c r="K9" s="68">
        <f t="shared" si="2"/>
        <v>1600</v>
      </c>
      <c r="L9" s="68">
        <f t="shared" si="3"/>
        <v>6767.7569664500079</v>
      </c>
      <c r="M9" s="68">
        <f t="shared" si="4"/>
        <v>42117.750216450004</v>
      </c>
      <c r="N9" s="68">
        <f t="shared" si="5"/>
        <v>1800</v>
      </c>
      <c r="O9" s="68">
        <f t="shared" si="12"/>
        <v>0</v>
      </c>
      <c r="P9" s="68">
        <v>200</v>
      </c>
      <c r="Q9" s="68">
        <v>0</v>
      </c>
      <c r="R9" s="68">
        <v>0</v>
      </c>
      <c r="S9" s="68">
        <v>0</v>
      </c>
      <c r="T9" s="68">
        <f t="shared" si="6"/>
        <v>42117.750216450004</v>
      </c>
      <c r="U9" s="68">
        <v>0</v>
      </c>
      <c r="V9" s="69">
        <f t="shared" si="7"/>
        <v>0</v>
      </c>
      <c r="W9" s="68">
        <v>0</v>
      </c>
      <c r="X9" s="68">
        <f t="shared" si="8"/>
        <v>1800</v>
      </c>
      <c r="Y9" s="68">
        <f t="shared" si="9"/>
        <v>0</v>
      </c>
      <c r="Z9" s="68">
        <f t="shared" si="10"/>
        <v>1082.2497835499998</v>
      </c>
      <c r="AA9" s="68">
        <f t="shared" si="11"/>
        <v>4882.2497835499998</v>
      </c>
      <c r="AB9" s="68">
        <f t="shared" si="13"/>
        <v>40117.750216450004</v>
      </c>
    </row>
    <row r="10" spans="1:29" x14ac:dyDescent="0.3">
      <c r="A10" s="63" t="s">
        <v>72</v>
      </c>
      <c r="B10" s="64" t="s">
        <v>73</v>
      </c>
      <c r="C10" s="65">
        <v>46083</v>
      </c>
      <c r="D10" s="66">
        <v>45000</v>
      </c>
      <c r="E10" s="67">
        <v>31</v>
      </c>
      <c r="F10" s="67">
        <f t="shared" si="14"/>
        <v>31</v>
      </c>
      <c r="G10" s="67">
        <v>0</v>
      </c>
      <c r="H10" s="67"/>
      <c r="I10" s="68">
        <f t="shared" si="0"/>
        <v>22499.995499999997</v>
      </c>
      <c r="J10" s="68">
        <f t="shared" si="1"/>
        <v>11249.997749999999</v>
      </c>
      <c r="K10" s="68">
        <f t="shared" si="2"/>
        <v>1600</v>
      </c>
      <c r="L10" s="68">
        <f t="shared" si="3"/>
        <v>6767.7569664500079</v>
      </c>
      <c r="M10" s="68">
        <f t="shared" si="4"/>
        <v>42117.750216450004</v>
      </c>
      <c r="N10" s="68">
        <f t="shared" si="5"/>
        <v>1800</v>
      </c>
      <c r="O10" s="68">
        <f t="shared" si="12"/>
        <v>0</v>
      </c>
      <c r="P10" s="68">
        <v>200</v>
      </c>
      <c r="Q10" s="68">
        <v>0</v>
      </c>
      <c r="R10" s="68">
        <v>0</v>
      </c>
      <c r="S10" s="68">
        <v>0</v>
      </c>
      <c r="T10" s="68">
        <f t="shared" si="6"/>
        <v>42117.750216450004</v>
      </c>
      <c r="U10" s="68">
        <v>0</v>
      </c>
      <c r="V10" s="69">
        <f t="shared" si="7"/>
        <v>0</v>
      </c>
      <c r="W10" s="68">
        <v>0</v>
      </c>
      <c r="X10" s="68">
        <f t="shared" si="8"/>
        <v>1800</v>
      </c>
      <c r="Y10" s="68">
        <f t="shared" si="9"/>
        <v>0</v>
      </c>
      <c r="Z10" s="68">
        <f t="shared" si="10"/>
        <v>1082.2497835499998</v>
      </c>
      <c r="AA10" s="68">
        <f t="shared" si="11"/>
        <v>4882.2497835499998</v>
      </c>
      <c r="AB10" s="68">
        <f t="shared" si="13"/>
        <v>40117.750216450004</v>
      </c>
    </row>
    <row r="11" spans="1:29" x14ac:dyDescent="0.3">
      <c r="A11" s="63" t="s">
        <v>74</v>
      </c>
      <c r="B11" s="64" t="s">
        <v>75</v>
      </c>
      <c r="C11" s="65">
        <v>46083</v>
      </c>
      <c r="D11" s="66">
        <v>50000</v>
      </c>
      <c r="E11" s="67">
        <v>31</v>
      </c>
      <c r="F11" s="67">
        <f t="shared" si="14"/>
        <v>31</v>
      </c>
      <c r="G11" s="67">
        <v>0</v>
      </c>
      <c r="H11" s="67"/>
      <c r="I11" s="68">
        <f t="shared" si="0"/>
        <v>24999.994999999995</v>
      </c>
      <c r="J11" s="68">
        <f t="shared" si="1"/>
        <v>12499.997499999998</v>
      </c>
      <c r="K11" s="68">
        <f t="shared" si="2"/>
        <v>1600</v>
      </c>
      <c r="L11" s="68">
        <f t="shared" si="3"/>
        <v>7897.5077405000047</v>
      </c>
      <c r="M11" s="68">
        <f t="shared" si="4"/>
        <v>46997.500240499998</v>
      </c>
      <c r="N11" s="68">
        <f t="shared" si="5"/>
        <v>1800</v>
      </c>
      <c r="O11" s="68">
        <f t="shared" si="12"/>
        <v>0</v>
      </c>
      <c r="P11" s="68">
        <v>200</v>
      </c>
      <c r="Q11" s="68">
        <v>0</v>
      </c>
      <c r="R11" s="68">
        <v>0</v>
      </c>
      <c r="S11" s="68">
        <v>0</v>
      </c>
      <c r="T11" s="68">
        <f t="shared" si="6"/>
        <v>46997.500240499998</v>
      </c>
      <c r="U11" s="68">
        <v>0</v>
      </c>
      <c r="V11" s="69">
        <f t="shared" si="7"/>
        <v>0</v>
      </c>
      <c r="W11" s="68">
        <v>0</v>
      </c>
      <c r="X11" s="68">
        <f t="shared" si="8"/>
        <v>1800</v>
      </c>
      <c r="Y11" s="68">
        <f t="shared" si="9"/>
        <v>0</v>
      </c>
      <c r="Z11" s="68">
        <f t="shared" si="10"/>
        <v>1202.4997594999998</v>
      </c>
      <c r="AA11" s="68">
        <f t="shared" si="11"/>
        <v>5002.4997594999995</v>
      </c>
      <c r="AB11" s="68">
        <f t="shared" si="13"/>
        <v>44997.500240499998</v>
      </c>
    </row>
    <row r="12" spans="1:29" x14ac:dyDescent="0.3">
      <c r="A12" s="63" t="s">
        <v>78</v>
      </c>
      <c r="B12" s="64" t="s">
        <v>79</v>
      </c>
      <c r="C12" s="65">
        <v>46083</v>
      </c>
      <c r="D12" s="66">
        <v>60000</v>
      </c>
      <c r="E12" s="67">
        <v>31</v>
      </c>
      <c r="F12" s="67">
        <f>E12-G12</f>
        <v>30</v>
      </c>
      <c r="G12" s="83">
        <v>1</v>
      </c>
      <c r="H12" s="67"/>
      <c r="I12" s="68">
        <f t="shared" si="0"/>
        <v>29032.252258064509</v>
      </c>
      <c r="J12" s="68">
        <f t="shared" si="1"/>
        <v>14516.126129032255</v>
      </c>
      <c r="K12" s="68">
        <f t="shared" si="2"/>
        <v>1548.3870967741934</v>
      </c>
      <c r="L12" s="68">
        <f t="shared" si="3"/>
        <v>9829.3638276774363</v>
      </c>
      <c r="M12" s="68">
        <f t="shared" si="4"/>
        <v>54926.129311548393</v>
      </c>
      <c r="N12" s="68">
        <f t="shared" si="5"/>
        <v>1800</v>
      </c>
      <c r="O12" s="68">
        <f t="shared" si="12"/>
        <v>0</v>
      </c>
      <c r="P12" s="68">
        <v>200</v>
      </c>
      <c r="Q12" s="68">
        <v>0</v>
      </c>
      <c r="R12" s="68">
        <v>0</v>
      </c>
      <c r="S12" s="68">
        <v>0</v>
      </c>
      <c r="T12" s="68">
        <f t="shared" si="6"/>
        <v>54926.129311548393</v>
      </c>
      <c r="U12" s="68">
        <v>0</v>
      </c>
      <c r="V12" s="69">
        <v>0</v>
      </c>
      <c r="W12" s="68">
        <v>0</v>
      </c>
      <c r="X12" s="68">
        <f t="shared" si="8"/>
        <v>1800</v>
      </c>
      <c r="Y12" s="68">
        <f t="shared" si="9"/>
        <v>0</v>
      </c>
      <c r="Z12" s="68">
        <f t="shared" si="10"/>
        <v>1396.4513336129028</v>
      </c>
      <c r="AA12" s="68">
        <f t="shared" si="11"/>
        <v>5196.451333612903</v>
      </c>
      <c r="AB12" s="68">
        <f t="shared" si="13"/>
        <v>52926.129311548393</v>
      </c>
    </row>
    <row r="13" spans="1:29" x14ac:dyDescent="0.3">
      <c r="A13" s="63" t="s">
        <v>80</v>
      </c>
      <c r="B13" s="64" t="s">
        <v>81</v>
      </c>
      <c r="C13" s="65">
        <v>46083</v>
      </c>
      <c r="D13" s="66">
        <v>60000</v>
      </c>
      <c r="E13" s="67">
        <v>31</v>
      </c>
      <c r="F13" s="67">
        <f>E13-G13</f>
        <v>31</v>
      </c>
      <c r="G13" s="67">
        <v>0</v>
      </c>
      <c r="H13" s="67"/>
      <c r="I13" s="68">
        <f t="shared" si="0"/>
        <v>29999.993999999995</v>
      </c>
      <c r="J13" s="68">
        <f t="shared" si="1"/>
        <v>14999.996999999998</v>
      </c>
      <c r="K13" s="68">
        <f t="shared" si="2"/>
        <v>1600</v>
      </c>
      <c r="L13" s="68">
        <f t="shared" si="3"/>
        <v>10157.009288600007</v>
      </c>
      <c r="M13" s="68">
        <f t="shared" si="4"/>
        <v>56757.0002886</v>
      </c>
      <c r="N13" s="68">
        <f t="shared" si="5"/>
        <v>1800</v>
      </c>
      <c r="O13" s="68">
        <f t="shared" si="12"/>
        <v>0</v>
      </c>
      <c r="P13" s="68">
        <v>200</v>
      </c>
      <c r="Q13" s="68">
        <v>0</v>
      </c>
      <c r="R13" s="68">
        <v>0</v>
      </c>
      <c r="S13" s="68">
        <v>0</v>
      </c>
      <c r="T13" s="68">
        <f t="shared" si="6"/>
        <v>56757.0002886</v>
      </c>
      <c r="U13" s="68">
        <v>0</v>
      </c>
      <c r="V13" s="69">
        <f t="shared" si="7"/>
        <v>0</v>
      </c>
      <c r="W13" s="68">
        <v>0</v>
      </c>
      <c r="X13" s="68">
        <f t="shared" si="8"/>
        <v>1800</v>
      </c>
      <c r="Y13" s="68">
        <f t="shared" si="9"/>
        <v>0</v>
      </c>
      <c r="Z13" s="68">
        <f t="shared" si="10"/>
        <v>1442.9997113999996</v>
      </c>
      <c r="AA13" s="68">
        <f t="shared" si="11"/>
        <v>5242.9997113999998</v>
      </c>
      <c r="AB13" s="68">
        <f t="shared" si="13"/>
        <v>54757.0002886</v>
      </c>
    </row>
    <row r="14" spans="1:29" x14ac:dyDescent="0.3">
      <c r="A14" s="63" t="s">
        <v>82</v>
      </c>
      <c r="B14" s="64" t="s">
        <v>83</v>
      </c>
      <c r="C14" s="65">
        <v>46083</v>
      </c>
      <c r="D14" s="66">
        <v>15000</v>
      </c>
      <c r="E14" s="67">
        <v>31</v>
      </c>
      <c r="F14" s="67">
        <f>E14-G14</f>
        <v>31</v>
      </c>
      <c r="G14" s="67">
        <v>0</v>
      </c>
      <c r="H14" s="67"/>
      <c r="I14" s="68">
        <f t="shared" si="0"/>
        <v>7499.9984999999988</v>
      </c>
      <c r="J14" s="68">
        <f t="shared" si="1"/>
        <v>3749.9992499999994</v>
      </c>
      <c r="K14" s="68">
        <f t="shared" si="2"/>
        <v>1600</v>
      </c>
      <c r="L14" s="68">
        <f t="shared" si="3"/>
        <v>889.25250215000278</v>
      </c>
      <c r="M14" s="68">
        <f t="shared" si="4"/>
        <v>13739.250252150001</v>
      </c>
      <c r="N14" s="68">
        <f t="shared" si="5"/>
        <v>899.99981999999977</v>
      </c>
      <c r="O14" s="68">
        <v>0</v>
      </c>
      <c r="P14" s="68">
        <v>200</v>
      </c>
      <c r="Q14" s="68">
        <v>0</v>
      </c>
      <c r="R14" s="68">
        <v>0</v>
      </c>
      <c r="S14" s="68">
        <v>0</v>
      </c>
      <c r="T14" s="68">
        <f t="shared" si="6"/>
        <v>13739.250252150001</v>
      </c>
      <c r="U14" s="68">
        <v>0</v>
      </c>
      <c r="V14" s="69">
        <f t="shared" si="7"/>
        <v>0</v>
      </c>
      <c r="W14" s="68">
        <v>0</v>
      </c>
      <c r="X14" s="68">
        <f t="shared" si="8"/>
        <v>899.99981999999977</v>
      </c>
      <c r="Y14" s="68">
        <v>0</v>
      </c>
      <c r="Z14" s="68">
        <f t="shared" si="10"/>
        <v>360.74992784999989</v>
      </c>
      <c r="AA14" s="68">
        <f t="shared" si="11"/>
        <v>2360.7495678499995</v>
      </c>
      <c r="AB14" s="68">
        <f t="shared" si="13"/>
        <v>12639.25043215</v>
      </c>
    </row>
    <row r="15" spans="1:29" x14ac:dyDescent="0.3">
      <c r="A15" s="63" t="s">
        <v>84</v>
      </c>
      <c r="B15" s="64" t="s">
        <v>85</v>
      </c>
      <c r="C15" s="65">
        <v>46083</v>
      </c>
      <c r="D15" s="66">
        <v>35000</v>
      </c>
      <c r="E15" s="67">
        <v>31</v>
      </c>
      <c r="F15" s="67">
        <f>E15-G15</f>
        <v>31</v>
      </c>
      <c r="G15" s="67">
        <v>0</v>
      </c>
      <c r="H15" s="67"/>
      <c r="I15" s="68">
        <f t="shared" si="0"/>
        <v>17499.996499999997</v>
      </c>
      <c r="J15" s="68">
        <f t="shared" si="1"/>
        <v>8749.9982499999987</v>
      </c>
      <c r="K15" s="68">
        <f t="shared" si="2"/>
        <v>1600</v>
      </c>
      <c r="L15" s="68">
        <f t="shared" si="3"/>
        <v>4508.2554183500051</v>
      </c>
      <c r="M15" s="68">
        <f t="shared" si="4"/>
        <v>32358.250168350001</v>
      </c>
      <c r="N15" s="68">
        <f t="shared" si="5"/>
        <v>1800</v>
      </c>
      <c r="O15" s="68">
        <f t="shared" si="12"/>
        <v>0</v>
      </c>
      <c r="P15" s="68">
        <v>200</v>
      </c>
      <c r="Q15" s="68">
        <v>0</v>
      </c>
      <c r="R15" s="68">
        <v>0</v>
      </c>
      <c r="S15" s="68">
        <v>0</v>
      </c>
      <c r="T15" s="68">
        <f t="shared" si="6"/>
        <v>32358.250168350001</v>
      </c>
      <c r="U15" s="68">
        <v>0</v>
      </c>
      <c r="V15" s="69">
        <f t="shared" si="7"/>
        <v>0</v>
      </c>
      <c r="W15" s="68">
        <v>0</v>
      </c>
      <c r="X15" s="68">
        <f t="shared" si="8"/>
        <v>1800</v>
      </c>
      <c r="Y15" s="68">
        <f t="shared" ref="Y15:Y22" si="15">IF(M15&lt;=21000,M15*3.25%,0)</f>
        <v>0</v>
      </c>
      <c r="Z15" s="68">
        <f t="shared" si="10"/>
        <v>841.74983164999981</v>
      </c>
      <c r="AA15" s="68">
        <f t="shared" si="11"/>
        <v>4641.7498316499996</v>
      </c>
      <c r="AB15" s="68">
        <f t="shared" si="13"/>
        <v>30358.250168350001</v>
      </c>
    </row>
    <row r="16" spans="1:29" x14ac:dyDescent="0.3">
      <c r="A16" s="63" t="s">
        <v>86</v>
      </c>
      <c r="B16" s="64" t="s">
        <v>87</v>
      </c>
      <c r="C16" s="65">
        <v>46083</v>
      </c>
      <c r="D16" s="66">
        <v>35000</v>
      </c>
      <c r="E16" s="67">
        <v>31</v>
      </c>
      <c r="F16" s="67">
        <f t="shared" ref="F16:F18" si="16">E16-G16</f>
        <v>31</v>
      </c>
      <c r="G16" s="67">
        <v>0</v>
      </c>
      <c r="H16" s="67"/>
      <c r="I16" s="68">
        <f t="shared" si="0"/>
        <v>17499.996499999997</v>
      </c>
      <c r="J16" s="68">
        <f t="shared" si="1"/>
        <v>8749.9982499999987</v>
      </c>
      <c r="K16" s="68">
        <f t="shared" si="2"/>
        <v>1600</v>
      </c>
      <c r="L16" s="68">
        <f t="shared" si="3"/>
        <v>4508.2554183500051</v>
      </c>
      <c r="M16" s="68">
        <f t="shared" si="4"/>
        <v>32358.250168350001</v>
      </c>
      <c r="N16" s="68">
        <f t="shared" si="5"/>
        <v>1800</v>
      </c>
      <c r="O16" s="68">
        <f t="shared" si="12"/>
        <v>0</v>
      </c>
      <c r="P16" s="68">
        <v>200</v>
      </c>
      <c r="Q16" s="68">
        <v>0</v>
      </c>
      <c r="R16" s="68">
        <v>0</v>
      </c>
      <c r="S16" s="68">
        <v>0</v>
      </c>
      <c r="T16" s="68">
        <f t="shared" si="6"/>
        <v>32358.250168350001</v>
      </c>
      <c r="U16" s="68">
        <v>0</v>
      </c>
      <c r="V16" s="69">
        <f t="shared" si="7"/>
        <v>0</v>
      </c>
      <c r="W16" s="68">
        <v>0</v>
      </c>
      <c r="X16" s="68">
        <f t="shared" si="8"/>
        <v>1800</v>
      </c>
      <c r="Y16" s="68">
        <f t="shared" si="15"/>
        <v>0</v>
      </c>
      <c r="Z16" s="68">
        <f t="shared" si="10"/>
        <v>841.74983164999981</v>
      </c>
      <c r="AA16" s="68">
        <f t="shared" si="11"/>
        <v>4641.7498316499996</v>
      </c>
      <c r="AB16" s="68">
        <f t="shared" si="13"/>
        <v>30358.250168350001</v>
      </c>
    </row>
    <row r="17" spans="1:29" x14ac:dyDescent="0.3">
      <c r="A17" s="63" t="s">
        <v>88</v>
      </c>
      <c r="B17" s="63" t="s">
        <v>89</v>
      </c>
      <c r="C17" s="65">
        <v>46083</v>
      </c>
      <c r="D17" s="66">
        <v>23000</v>
      </c>
      <c r="E17" s="67">
        <v>31</v>
      </c>
      <c r="F17" s="67">
        <f t="shared" si="16"/>
        <v>30</v>
      </c>
      <c r="G17" s="83">
        <v>1</v>
      </c>
      <c r="H17" s="67"/>
      <c r="I17" s="68">
        <f t="shared" si="0"/>
        <v>11129.030032258062</v>
      </c>
      <c r="J17" s="68">
        <f t="shared" si="1"/>
        <v>5564.5150161290312</v>
      </c>
      <c r="K17" s="68">
        <f t="shared" si="2"/>
        <v>1548.3870967741934</v>
      </c>
      <c r="L17" s="68">
        <f t="shared" si="3"/>
        <v>2188.4225387990682</v>
      </c>
      <c r="M17" s="68">
        <f t="shared" si="4"/>
        <v>20430.354683960355</v>
      </c>
      <c r="N17" s="68">
        <f t="shared" si="5"/>
        <v>1335.4836038709675</v>
      </c>
      <c r="O17" s="68">
        <f t="shared" si="12"/>
        <v>153.22766012970266</v>
      </c>
      <c r="P17" s="68">
        <v>200</v>
      </c>
      <c r="Q17" s="68">
        <v>0</v>
      </c>
      <c r="R17" s="68">
        <v>0</v>
      </c>
      <c r="S17" s="68">
        <v>0</v>
      </c>
      <c r="T17" s="68">
        <f t="shared" si="6"/>
        <v>20430.354683960355</v>
      </c>
      <c r="U17" s="68">
        <v>0</v>
      </c>
      <c r="V17" s="69">
        <v>0</v>
      </c>
      <c r="W17" s="68">
        <v>0</v>
      </c>
      <c r="X17" s="68">
        <f t="shared" si="8"/>
        <v>1335.4836038709675</v>
      </c>
      <c r="Y17" s="68">
        <f t="shared" si="15"/>
        <v>663.98652722871157</v>
      </c>
      <c r="Z17" s="68">
        <f t="shared" si="10"/>
        <v>535.30634455161282</v>
      </c>
      <c r="AA17" s="68">
        <f t="shared" si="11"/>
        <v>4223.4877396519623</v>
      </c>
      <c r="AB17" s="68">
        <f t="shared" si="13"/>
        <v>18077.656892730975</v>
      </c>
    </row>
    <row r="18" spans="1:29" x14ac:dyDescent="0.3">
      <c r="A18" s="63" t="s">
        <v>92</v>
      </c>
      <c r="B18" s="63" t="s">
        <v>93</v>
      </c>
      <c r="C18" s="65">
        <v>46083</v>
      </c>
      <c r="D18" s="66">
        <v>60000</v>
      </c>
      <c r="E18" s="67">
        <v>31</v>
      </c>
      <c r="F18" s="67">
        <f t="shared" si="16"/>
        <v>29</v>
      </c>
      <c r="G18" s="83">
        <v>2</v>
      </c>
      <c r="H18" s="67"/>
      <c r="I18" s="68">
        <f t="shared" si="0"/>
        <v>28064.510516129027</v>
      </c>
      <c r="J18" s="68">
        <f t="shared" si="1"/>
        <v>14032.255258064513</v>
      </c>
      <c r="K18" s="68">
        <f t="shared" si="2"/>
        <v>1496.7741935483871</v>
      </c>
      <c r="L18" s="68">
        <f t="shared" si="3"/>
        <v>9501.7183667548525</v>
      </c>
      <c r="M18" s="68">
        <f t="shared" si="4"/>
        <v>53095.258334496779</v>
      </c>
      <c r="N18" s="68">
        <f t="shared" si="5"/>
        <v>1800</v>
      </c>
      <c r="O18" s="68">
        <f t="shared" si="12"/>
        <v>0</v>
      </c>
      <c r="P18" s="68">
        <v>200</v>
      </c>
      <c r="Q18" s="68">
        <v>0</v>
      </c>
      <c r="R18" s="68">
        <v>0</v>
      </c>
      <c r="S18" s="68">
        <v>0</v>
      </c>
      <c r="T18" s="68">
        <f t="shared" si="6"/>
        <v>53095.258334496779</v>
      </c>
      <c r="U18" s="68">
        <v>0</v>
      </c>
      <c r="V18" s="69">
        <v>0</v>
      </c>
      <c r="W18" s="68">
        <v>0</v>
      </c>
      <c r="X18" s="68">
        <f t="shared" si="8"/>
        <v>1800</v>
      </c>
      <c r="Y18" s="68">
        <f t="shared" si="15"/>
        <v>0</v>
      </c>
      <c r="Z18" s="68">
        <f t="shared" si="10"/>
        <v>1349.9029558258062</v>
      </c>
      <c r="AA18" s="68">
        <f t="shared" si="11"/>
        <v>5149.9029558258062</v>
      </c>
      <c r="AB18" s="68">
        <f t="shared" si="13"/>
        <v>51095.258334496779</v>
      </c>
      <c r="AC18" s="104"/>
    </row>
    <row r="19" spans="1:29" ht="22" customHeight="1" x14ac:dyDescent="0.3">
      <c r="A19" s="63" t="s">
        <v>94</v>
      </c>
      <c r="B19" s="63" t="s">
        <v>95</v>
      </c>
      <c r="C19" s="65">
        <v>46083</v>
      </c>
      <c r="D19" s="66">
        <v>60000</v>
      </c>
      <c r="E19" s="67">
        <v>31</v>
      </c>
      <c r="F19" s="67">
        <f>E19-G19</f>
        <v>31</v>
      </c>
      <c r="G19" s="67">
        <v>0</v>
      </c>
      <c r="H19" s="67"/>
      <c r="I19" s="68">
        <f t="shared" si="0"/>
        <v>29999.993999999995</v>
      </c>
      <c r="J19" s="68">
        <f t="shared" si="1"/>
        <v>14999.996999999998</v>
      </c>
      <c r="K19" s="68">
        <f t="shared" si="2"/>
        <v>1600</v>
      </c>
      <c r="L19" s="68">
        <f t="shared" si="3"/>
        <v>10157.009288600007</v>
      </c>
      <c r="M19" s="68">
        <f t="shared" si="4"/>
        <v>56757.0002886</v>
      </c>
      <c r="N19" s="68">
        <f t="shared" si="5"/>
        <v>1800</v>
      </c>
      <c r="O19" s="68">
        <f t="shared" si="12"/>
        <v>0</v>
      </c>
      <c r="P19" s="68">
        <v>200</v>
      </c>
      <c r="Q19" s="68">
        <v>0</v>
      </c>
      <c r="R19" s="68">
        <v>0</v>
      </c>
      <c r="S19" s="68">
        <v>0</v>
      </c>
      <c r="T19" s="68">
        <f t="shared" si="6"/>
        <v>56757.0002886</v>
      </c>
      <c r="U19" s="68">
        <v>0</v>
      </c>
      <c r="V19" s="69">
        <v>0</v>
      </c>
      <c r="W19" s="68">
        <v>0</v>
      </c>
      <c r="X19" s="68">
        <f t="shared" si="8"/>
        <v>1800</v>
      </c>
      <c r="Y19" s="68">
        <f t="shared" si="15"/>
        <v>0</v>
      </c>
      <c r="Z19" s="68">
        <f t="shared" si="10"/>
        <v>1442.9997113999996</v>
      </c>
      <c r="AA19" s="68">
        <f t="shared" si="11"/>
        <v>5242.9997113999998</v>
      </c>
      <c r="AB19" s="68">
        <f t="shared" si="13"/>
        <v>54757.0002886</v>
      </c>
    </row>
    <row r="20" spans="1:29" x14ac:dyDescent="0.3">
      <c r="A20" s="70" t="s">
        <v>140</v>
      </c>
      <c r="B20" s="71" t="s">
        <v>141</v>
      </c>
      <c r="C20" s="65">
        <v>46113</v>
      </c>
      <c r="D20" s="66">
        <v>35000</v>
      </c>
      <c r="E20" s="67">
        <v>31</v>
      </c>
      <c r="F20" s="67">
        <f>E20-G20</f>
        <v>30</v>
      </c>
      <c r="G20" s="83">
        <v>1</v>
      </c>
      <c r="H20" s="72"/>
      <c r="I20" s="68">
        <f t="shared" si="0"/>
        <v>16935.480483870968</v>
      </c>
      <c r="J20" s="68">
        <f t="shared" si="1"/>
        <v>8467.7402419354839</v>
      </c>
      <c r="K20" s="68">
        <f t="shared" si="2"/>
        <v>1548.3870967741934</v>
      </c>
      <c r="L20" s="68">
        <f t="shared" si="3"/>
        <v>4362.8278242096749</v>
      </c>
      <c r="M20" s="68">
        <f t="shared" si="4"/>
        <v>31314.43564679032</v>
      </c>
      <c r="N20" s="68">
        <f t="shared" si="5"/>
        <v>1800</v>
      </c>
      <c r="O20" s="68">
        <f t="shared" si="12"/>
        <v>0</v>
      </c>
      <c r="P20" s="68">
        <v>200</v>
      </c>
      <c r="Q20" s="68">
        <v>0</v>
      </c>
      <c r="R20" s="68">
        <v>0</v>
      </c>
      <c r="S20" s="68">
        <v>0</v>
      </c>
      <c r="T20" s="68">
        <f t="shared" si="6"/>
        <v>31314.43564679032</v>
      </c>
      <c r="U20" s="68">
        <v>0</v>
      </c>
      <c r="V20" s="69">
        <v>0</v>
      </c>
      <c r="W20" s="68">
        <v>0</v>
      </c>
      <c r="X20" s="68">
        <f t="shared" si="8"/>
        <v>1800</v>
      </c>
      <c r="Y20" s="68">
        <f t="shared" si="15"/>
        <v>0</v>
      </c>
      <c r="Z20" s="68">
        <f t="shared" si="10"/>
        <v>814.59661127419349</v>
      </c>
      <c r="AA20" s="68">
        <f t="shared" si="11"/>
        <v>4614.5966112741935</v>
      </c>
      <c r="AB20" s="68">
        <f t="shared" si="13"/>
        <v>29314.43564679032</v>
      </c>
    </row>
    <row r="21" spans="1:29" x14ac:dyDescent="0.3">
      <c r="A21" s="70" t="s">
        <v>142</v>
      </c>
      <c r="B21" s="71" t="s">
        <v>143</v>
      </c>
      <c r="C21" s="65">
        <v>46113</v>
      </c>
      <c r="D21" s="67">
        <v>30000</v>
      </c>
      <c r="E21" s="67">
        <v>31</v>
      </c>
      <c r="F21" s="67">
        <f>E21-G21</f>
        <v>31</v>
      </c>
      <c r="G21" s="67">
        <v>0</v>
      </c>
      <c r="H21" s="67"/>
      <c r="I21" s="68">
        <f t="shared" si="0"/>
        <v>14999.996999999998</v>
      </c>
      <c r="J21" s="68">
        <f t="shared" si="1"/>
        <v>7499.9984999999988</v>
      </c>
      <c r="K21" s="68">
        <f t="shared" si="2"/>
        <v>1600</v>
      </c>
      <c r="L21" s="68">
        <f t="shared" si="3"/>
        <v>3378.5050043000056</v>
      </c>
      <c r="M21" s="68">
        <f t="shared" si="4"/>
        <v>27478.500504300002</v>
      </c>
      <c r="N21" s="68">
        <f t="shared" si="5"/>
        <v>1799.9996399999995</v>
      </c>
      <c r="O21" s="68">
        <f t="shared" si="12"/>
        <v>0</v>
      </c>
      <c r="P21" s="68">
        <v>200</v>
      </c>
      <c r="Q21" s="68">
        <v>0</v>
      </c>
      <c r="R21" s="68">
        <v>0</v>
      </c>
      <c r="S21" s="68">
        <v>0</v>
      </c>
      <c r="T21" s="68">
        <f t="shared" si="6"/>
        <v>27478.500504300002</v>
      </c>
      <c r="U21" s="68">
        <v>0</v>
      </c>
      <c r="V21" s="69">
        <v>0</v>
      </c>
      <c r="W21" s="68">
        <v>0</v>
      </c>
      <c r="X21" s="68">
        <f t="shared" si="8"/>
        <v>1799.9996399999995</v>
      </c>
      <c r="Y21" s="68">
        <f t="shared" si="15"/>
        <v>0</v>
      </c>
      <c r="Z21" s="68">
        <f t="shared" si="10"/>
        <v>721.49985569999978</v>
      </c>
      <c r="AA21" s="68">
        <f t="shared" si="11"/>
        <v>4521.499135699999</v>
      </c>
      <c r="AB21" s="68">
        <f t="shared" si="13"/>
        <v>25478.5008643</v>
      </c>
    </row>
    <row r="22" spans="1:29" x14ac:dyDescent="0.3">
      <c r="A22" s="70" t="s">
        <v>144</v>
      </c>
      <c r="B22" s="71" t="s">
        <v>145</v>
      </c>
      <c r="C22" s="65">
        <v>46113</v>
      </c>
      <c r="D22" s="67">
        <v>50000</v>
      </c>
      <c r="E22" s="67">
        <v>31</v>
      </c>
      <c r="F22" s="67">
        <f t="shared" ref="F22:F24" si="17">E22-G22</f>
        <v>31</v>
      </c>
      <c r="G22" s="67">
        <v>0</v>
      </c>
      <c r="H22" s="67"/>
      <c r="I22" s="68">
        <f t="shared" si="0"/>
        <v>24999.994999999995</v>
      </c>
      <c r="J22" s="68">
        <f t="shared" si="1"/>
        <v>12499.997499999998</v>
      </c>
      <c r="K22" s="68">
        <f t="shared" si="2"/>
        <v>1600</v>
      </c>
      <c r="L22" s="68">
        <f t="shared" si="3"/>
        <v>7897.5077405000047</v>
      </c>
      <c r="M22" s="68">
        <f t="shared" si="4"/>
        <v>46997.500240499998</v>
      </c>
      <c r="N22" s="68">
        <f t="shared" si="5"/>
        <v>1800</v>
      </c>
      <c r="O22" s="68">
        <f t="shared" si="12"/>
        <v>0</v>
      </c>
      <c r="P22" s="68">
        <v>200</v>
      </c>
      <c r="Q22" s="68">
        <v>0</v>
      </c>
      <c r="R22" s="68">
        <v>0</v>
      </c>
      <c r="S22" s="68">
        <v>0</v>
      </c>
      <c r="T22" s="68">
        <f t="shared" si="6"/>
        <v>46997.500240499998</v>
      </c>
      <c r="U22" s="68">
        <v>0</v>
      </c>
      <c r="V22" s="69">
        <v>0</v>
      </c>
      <c r="W22" s="68">
        <v>0</v>
      </c>
      <c r="X22" s="68">
        <f t="shared" si="8"/>
        <v>1800</v>
      </c>
      <c r="Y22" s="68">
        <f t="shared" si="15"/>
        <v>0</v>
      </c>
      <c r="Z22" s="68">
        <f t="shared" si="10"/>
        <v>1202.4997594999998</v>
      </c>
      <c r="AA22" s="68">
        <f t="shared" si="11"/>
        <v>5002.4997594999995</v>
      </c>
      <c r="AB22" s="68">
        <f t="shared" si="13"/>
        <v>44997.500240499998</v>
      </c>
    </row>
    <row r="23" spans="1:29" ht="24" x14ac:dyDescent="0.3">
      <c r="A23" s="70" t="s">
        <v>146</v>
      </c>
      <c r="B23" s="71" t="s">
        <v>147</v>
      </c>
      <c r="C23" s="65">
        <v>46114</v>
      </c>
      <c r="D23" s="67">
        <v>23000</v>
      </c>
      <c r="E23" s="67">
        <v>31</v>
      </c>
      <c r="F23" s="67">
        <f t="shared" si="17"/>
        <v>30</v>
      </c>
      <c r="G23" s="83">
        <v>1</v>
      </c>
      <c r="H23" s="67"/>
      <c r="I23" s="68">
        <f t="shared" si="0"/>
        <v>11129.030032258062</v>
      </c>
      <c r="J23" s="68">
        <f t="shared" si="1"/>
        <v>5564.5150161290312</v>
      </c>
      <c r="K23" s="68">
        <f t="shared" si="2"/>
        <v>1548.3870967741934</v>
      </c>
      <c r="L23" s="68">
        <f t="shared" si="3"/>
        <v>2188.4225387990682</v>
      </c>
      <c r="M23" s="68">
        <f t="shared" si="4"/>
        <v>20430.354683960355</v>
      </c>
      <c r="N23" s="68">
        <f t="shared" si="5"/>
        <v>1335.4836038709675</v>
      </c>
      <c r="O23" s="68">
        <v>0</v>
      </c>
      <c r="P23" s="68">
        <v>200</v>
      </c>
      <c r="Q23" s="68">
        <v>0</v>
      </c>
      <c r="R23" s="68">
        <v>0</v>
      </c>
      <c r="S23" s="68">
        <v>0</v>
      </c>
      <c r="T23" s="68">
        <f t="shared" si="6"/>
        <v>20430.354683960355</v>
      </c>
      <c r="U23" s="68">
        <v>0</v>
      </c>
      <c r="V23" s="69">
        <v>0</v>
      </c>
      <c r="W23" s="68">
        <v>0</v>
      </c>
      <c r="X23" s="68">
        <f t="shared" si="8"/>
        <v>1335.4836038709675</v>
      </c>
      <c r="Y23" s="68">
        <v>0</v>
      </c>
      <c r="Z23" s="68">
        <f t="shared" si="10"/>
        <v>535.30634455161282</v>
      </c>
      <c r="AA23" s="68">
        <f t="shared" si="11"/>
        <v>3406.2735522935477</v>
      </c>
      <c r="AB23" s="68">
        <f t="shared" si="13"/>
        <v>18894.87108008939</v>
      </c>
    </row>
    <row r="24" spans="1:29" x14ac:dyDescent="0.3">
      <c r="A24" s="70" t="s">
        <v>148</v>
      </c>
      <c r="B24" s="71" t="s">
        <v>149</v>
      </c>
      <c r="C24" s="65">
        <v>46113</v>
      </c>
      <c r="D24" s="67">
        <v>15000</v>
      </c>
      <c r="E24" s="67">
        <v>31</v>
      </c>
      <c r="F24" s="67">
        <f t="shared" si="17"/>
        <v>31</v>
      </c>
      <c r="G24" s="67">
        <v>0</v>
      </c>
      <c r="H24" s="67"/>
      <c r="I24" s="68">
        <f t="shared" si="0"/>
        <v>7499.9984999999988</v>
      </c>
      <c r="J24" s="68">
        <f t="shared" si="1"/>
        <v>3749.9992499999994</v>
      </c>
      <c r="K24" s="68">
        <f t="shared" si="2"/>
        <v>1600</v>
      </c>
      <c r="L24" s="68">
        <f t="shared" si="3"/>
        <v>889.25250215000278</v>
      </c>
      <c r="M24" s="68">
        <f t="shared" si="4"/>
        <v>13739.250252150001</v>
      </c>
      <c r="N24" s="68">
        <f t="shared" si="5"/>
        <v>899.99981999999977</v>
      </c>
      <c r="O24" s="68">
        <v>0</v>
      </c>
      <c r="P24" s="68">
        <v>150</v>
      </c>
      <c r="Q24" s="68">
        <v>0</v>
      </c>
      <c r="R24" s="68">
        <v>0</v>
      </c>
      <c r="S24" s="68">
        <v>0</v>
      </c>
      <c r="T24" s="68">
        <f t="shared" si="6"/>
        <v>13739.250252150001</v>
      </c>
      <c r="U24" s="68">
        <v>0</v>
      </c>
      <c r="V24" s="69">
        <v>0</v>
      </c>
      <c r="W24" s="68">
        <v>0</v>
      </c>
      <c r="X24" s="68">
        <f t="shared" si="8"/>
        <v>899.99981999999977</v>
      </c>
      <c r="Y24" s="68">
        <v>0</v>
      </c>
      <c r="Z24" s="68">
        <f t="shared" si="10"/>
        <v>360.74992784999989</v>
      </c>
      <c r="AA24" s="68">
        <f t="shared" si="11"/>
        <v>2310.7495678499995</v>
      </c>
      <c r="AB24" s="68">
        <f t="shared" si="13"/>
        <v>12689.25043215</v>
      </c>
    </row>
    <row r="25" spans="1:29" x14ac:dyDescent="0.3">
      <c r="A25" s="70" t="s">
        <v>150</v>
      </c>
      <c r="B25" s="71" t="s">
        <v>151</v>
      </c>
      <c r="C25" s="65">
        <v>46113</v>
      </c>
      <c r="D25" s="67">
        <v>15000</v>
      </c>
      <c r="E25" s="67">
        <v>31</v>
      </c>
      <c r="F25" s="67">
        <f>E25-G25</f>
        <v>31</v>
      </c>
      <c r="G25" s="67">
        <v>0</v>
      </c>
      <c r="H25" s="67"/>
      <c r="I25" s="68">
        <f t="shared" si="0"/>
        <v>7499.9984999999988</v>
      </c>
      <c r="J25" s="68">
        <f t="shared" si="1"/>
        <v>3749.9992499999994</v>
      </c>
      <c r="K25" s="68">
        <f t="shared" si="2"/>
        <v>1600</v>
      </c>
      <c r="L25" s="68">
        <f t="shared" si="3"/>
        <v>889.25250215000278</v>
      </c>
      <c r="M25" s="68">
        <f t="shared" si="4"/>
        <v>13739.250252150001</v>
      </c>
      <c r="N25" s="68">
        <f t="shared" si="5"/>
        <v>899.99981999999977</v>
      </c>
      <c r="O25" s="68">
        <v>0</v>
      </c>
      <c r="P25" s="68">
        <v>150</v>
      </c>
      <c r="Q25" s="68">
        <v>0</v>
      </c>
      <c r="R25" s="68">
        <v>0</v>
      </c>
      <c r="S25" s="68">
        <v>0</v>
      </c>
      <c r="T25" s="68">
        <f t="shared" si="6"/>
        <v>13739.250252150001</v>
      </c>
      <c r="U25" s="68">
        <v>0</v>
      </c>
      <c r="V25" s="69">
        <v>0</v>
      </c>
      <c r="W25" s="68">
        <v>0</v>
      </c>
      <c r="X25" s="68">
        <f t="shared" si="8"/>
        <v>899.99981999999977</v>
      </c>
      <c r="Y25" s="68">
        <v>0</v>
      </c>
      <c r="Z25" s="68">
        <f t="shared" si="10"/>
        <v>360.74992784999989</v>
      </c>
      <c r="AA25" s="68">
        <f t="shared" si="11"/>
        <v>2310.7495678499995</v>
      </c>
      <c r="AB25" s="68">
        <f t="shared" si="13"/>
        <v>12689.25043215</v>
      </c>
    </row>
    <row r="26" spans="1:29" x14ac:dyDescent="0.3">
      <c r="A26" s="70" t="s">
        <v>152</v>
      </c>
      <c r="B26" s="71" t="s">
        <v>153</v>
      </c>
      <c r="C26" s="65">
        <v>46113</v>
      </c>
      <c r="D26" s="67">
        <v>15000</v>
      </c>
      <c r="E26" s="67">
        <v>31</v>
      </c>
      <c r="F26" s="67">
        <f>E26-G26</f>
        <v>31</v>
      </c>
      <c r="G26" s="67">
        <v>0</v>
      </c>
      <c r="H26" s="67"/>
      <c r="I26" s="68">
        <f t="shared" si="0"/>
        <v>7499.9984999999988</v>
      </c>
      <c r="J26" s="68">
        <f t="shared" si="1"/>
        <v>3749.9992499999994</v>
      </c>
      <c r="K26" s="68">
        <f t="shared" si="2"/>
        <v>1600</v>
      </c>
      <c r="L26" s="68">
        <f t="shared" si="3"/>
        <v>889.25250215000278</v>
      </c>
      <c r="M26" s="68">
        <f t="shared" si="4"/>
        <v>13739.250252150001</v>
      </c>
      <c r="N26" s="68">
        <f t="shared" si="5"/>
        <v>899.99981999999977</v>
      </c>
      <c r="O26" s="68">
        <v>0</v>
      </c>
      <c r="P26" s="68">
        <v>150</v>
      </c>
      <c r="Q26" s="68">
        <v>0</v>
      </c>
      <c r="R26" s="68">
        <v>0</v>
      </c>
      <c r="S26" s="68">
        <v>0</v>
      </c>
      <c r="T26" s="68">
        <f t="shared" si="6"/>
        <v>13739.250252150001</v>
      </c>
      <c r="U26" s="68">
        <v>0</v>
      </c>
      <c r="V26" s="69">
        <v>0</v>
      </c>
      <c r="W26" s="68">
        <v>0</v>
      </c>
      <c r="X26" s="68">
        <f t="shared" si="8"/>
        <v>899.99981999999977</v>
      </c>
      <c r="Y26" s="68">
        <v>0</v>
      </c>
      <c r="Z26" s="68">
        <f t="shared" si="10"/>
        <v>360.74992784999989</v>
      </c>
      <c r="AA26" s="68">
        <f t="shared" si="11"/>
        <v>2310.7495678499995</v>
      </c>
      <c r="AB26" s="68">
        <f t="shared" si="13"/>
        <v>12689.25043215</v>
      </c>
    </row>
    <row r="27" spans="1:29" x14ac:dyDescent="0.3">
      <c r="A27" s="105" t="s">
        <v>154</v>
      </c>
      <c r="B27" s="84" t="s">
        <v>155</v>
      </c>
      <c r="C27" s="106">
        <v>46113</v>
      </c>
      <c r="D27" s="107">
        <v>15000</v>
      </c>
      <c r="E27" s="107">
        <v>31</v>
      </c>
      <c r="F27" s="107">
        <f>E27-G27</f>
        <v>14</v>
      </c>
      <c r="G27" s="83">
        <v>17</v>
      </c>
      <c r="H27" s="67"/>
      <c r="I27" s="68">
        <f t="shared" si="0"/>
        <v>3387.096096774193</v>
      </c>
      <c r="J27" s="68">
        <f t="shared" si="1"/>
        <v>1693.5480483870965</v>
      </c>
      <c r="K27" s="68">
        <f t="shared" si="2"/>
        <v>722.58064516129025</v>
      </c>
      <c r="L27" s="68">
        <f t="shared" si="3"/>
        <v>624.49067959739932</v>
      </c>
      <c r="M27" s="68">
        <f t="shared" si="4"/>
        <v>6427.7154699199791</v>
      </c>
      <c r="N27" s="68">
        <f t="shared" si="5"/>
        <v>406.45153161290312</v>
      </c>
      <c r="O27" s="68">
        <v>0</v>
      </c>
      <c r="P27" s="68">
        <v>150</v>
      </c>
      <c r="Q27" s="68">
        <v>0</v>
      </c>
      <c r="R27" s="68">
        <v>0</v>
      </c>
      <c r="S27" s="68">
        <v>0</v>
      </c>
      <c r="T27" s="68">
        <f t="shared" si="6"/>
        <v>6427.7154699199791</v>
      </c>
      <c r="U27" s="68">
        <v>0</v>
      </c>
      <c r="V27" s="69">
        <v>0</v>
      </c>
      <c r="W27" s="68">
        <v>0</v>
      </c>
      <c r="X27" s="68">
        <f t="shared" si="8"/>
        <v>406.45153161290312</v>
      </c>
      <c r="Y27" s="68">
        <v>0</v>
      </c>
      <c r="Z27" s="68">
        <f t="shared" si="10"/>
        <v>162.91932225483868</v>
      </c>
      <c r="AA27" s="68">
        <f t="shared" si="11"/>
        <v>1125.8223854806452</v>
      </c>
      <c r="AB27" s="68">
        <f t="shared" si="13"/>
        <v>5871.2639383070755</v>
      </c>
    </row>
    <row r="28" spans="1:29" x14ac:dyDescent="0.3">
      <c r="A28" s="70" t="s">
        <v>156</v>
      </c>
      <c r="B28" s="73" t="s">
        <v>157</v>
      </c>
      <c r="C28" s="65">
        <v>46113</v>
      </c>
      <c r="D28" s="67">
        <v>15000</v>
      </c>
      <c r="E28" s="67">
        <v>31</v>
      </c>
      <c r="F28" s="67">
        <f t="shared" ref="F28:F32" si="18">E28-G28</f>
        <v>31</v>
      </c>
      <c r="G28" s="67">
        <v>0</v>
      </c>
      <c r="H28" s="67"/>
      <c r="I28" s="68">
        <f t="shared" si="0"/>
        <v>7499.9984999999988</v>
      </c>
      <c r="J28" s="68">
        <f t="shared" si="1"/>
        <v>3749.9992499999994</v>
      </c>
      <c r="K28" s="68">
        <f t="shared" si="2"/>
        <v>1600</v>
      </c>
      <c r="L28" s="68">
        <f t="shared" si="3"/>
        <v>889.25250215000278</v>
      </c>
      <c r="M28" s="68">
        <f t="shared" si="4"/>
        <v>13739.250252150001</v>
      </c>
      <c r="N28" s="68">
        <f t="shared" si="5"/>
        <v>899.99981999999977</v>
      </c>
      <c r="O28" s="68">
        <v>0</v>
      </c>
      <c r="P28" s="68">
        <v>150</v>
      </c>
      <c r="Q28" s="68">
        <v>0</v>
      </c>
      <c r="R28" s="68">
        <v>0</v>
      </c>
      <c r="S28" s="68">
        <v>0</v>
      </c>
      <c r="T28" s="68">
        <f t="shared" si="6"/>
        <v>13739.250252150001</v>
      </c>
      <c r="U28" s="68">
        <v>0</v>
      </c>
      <c r="V28" s="69">
        <v>0</v>
      </c>
      <c r="W28" s="68">
        <v>0</v>
      </c>
      <c r="X28" s="68">
        <f t="shared" si="8"/>
        <v>899.99981999999977</v>
      </c>
      <c r="Y28" s="68">
        <v>0</v>
      </c>
      <c r="Z28" s="68">
        <f t="shared" si="10"/>
        <v>360.74992784999989</v>
      </c>
      <c r="AA28" s="68">
        <f t="shared" si="11"/>
        <v>2310.7495678499995</v>
      </c>
      <c r="AB28" s="68">
        <f t="shared" si="13"/>
        <v>12689.25043215</v>
      </c>
    </row>
    <row r="29" spans="1:29" x14ac:dyDescent="0.3">
      <c r="A29" s="70" t="s">
        <v>158</v>
      </c>
      <c r="B29" s="73" t="s">
        <v>159</v>
      </c>
      <c r="C29" s="65">
        <v>46113</v>
      </c>
      <c r="D29" s="67">
        <v>15000</v>
      </c>
      <c r="E29" s="67">
        <v>31</v>
      </c>
      <c r="F29" s="67">
        <f t="shared" si="18"/>
        <v>31</v>
      </c>
      <c r="G29" s="67">
        <v>0</v>
      </c>
      <c r="H29" s="67"/>
      <c r="I29" s="68">
        <f t="shared" si="0"/>
        <v>7499.9984999999988</v>
      </c>
      <c r="J29" s="68">
        <f t="shared" si="1"/>
        <v>3749.9992499999994</v>
      </c>
      <c r="K29" s="68">
        <f t="shared" si="2"/>
        <v>1600</v>
      </c>
      <c r="L29" s="68">
        <f t="shared" si="3"/>
        <v>889.25250215000278</v>
      </c>
      <c r="M29" s="68">
        <f t="shared" si="4"/>
        <v>13739.250252150001</v>
      </c>
      <c r="N29" s="68">
        <f t="shared" si="5"/>
        <v>899.99981999999977</v>
      </c>
      <c r="O29" s="68">
        <v>0</v>
      </c>
      <c r="P29" s="68">
        <v>150</v>
      </c>
      <c r="Q29" s="68">
        <v>0</v>
      </c>
      <c r="R29" s="68">
        <v>0</v>
      </c>
      <c r="S29" s="68">
        <v>0</v>
      </c>
      <c r="T29" s="68">
        <f t="shared" si="6"/>
        <v>13739.250252150001</v>
      </c>
      <c r="U29" s="68">
        <v>0</v>
      </c>
      <c r="V29" s="69">
        <v>0</v>
      </c>
      <c r="W29" s="68">
        <v>0</v>
      </c>
      <c r="X29" s="68">
        <f t="shared" si="8"/>
        <v>899.99981999999977</v>
      </c>
      <c r="Y29" s="68">
        <v>0</v>
      </c>
      <c r="Z29" s="68">
        <f t="shared" si="10"/>
        <v>360.74992784999989</v>
      </c>
      <c r="AA29" s="68">
        <f t="shared" si="11"/>
        <v>2310.7495678499995</v>
      </c>
      <c r="AB29" s="68">
        <f t="shared" si="13"/>
        <v>12689.25043215</v>
      </c>
    </row>
    <row r="30" spans="1:29" x14ac:dyDescent="0.3">
      <c r="A30" s="70" t="s">
        <v>160</v>
      </c>
      <c r="B30" s="71" t="s">
        <v>161</v>
      </c>
      <c r="C30" s="65">
        <v>46113</v>
      </c>
      <c r="D30" s="67">
        <v>45000</v>
      </c>
      <c r="E30" s="67">
        <v>31</v>
      </c>
      <c r="F30" s="67">
        <f t="shared" si="18"/>
        <v>31</v>
      </c>
      <c r="G30" s="67">
        <v>0</v>
      </c>
      <c r="H30" s="67"/>
      <c r="I30" s="68">
        <f t="shared" si="0"/>
        <v>22499.995499999997</v>
      </c>
      <c r="J30" s="68">
        <f t="shared" si="1"/>
        <v>11249.997749999999</v>
      </c>
      <c r="K30" s="68">
        <f t="shared" si="2"/>
        <v>1600</v>
      </c>
      <c r="L30" s="68">
        <f t="shared" si="3"/>
        <v>6767.7569664500079</v>
      </c>
      <c r="M30" s="68">
        <f t="shared" si="4"/>
        <v>42117.750216450004</v>
      </c>
      <c r="N30" s="68">
        <f t="shared" si="5"/>
        <v>1800</v>
      </c>
      <c r="O30" s="68">
        <v>0</v>
      </c>
      <c r="P30" s="68">
        <v>200</v>
      </c>
      <c r="Q30" s="68">
        <v>0</v>
      </c>
      <c r="R30" s="68">
        <v>0</v>
      </c>
      <c r="S30" s="68">
        <v>0</v>
      </c>
      <c r="T30" s="68">
        <f t="shared" si="6"/>
        <v>42117.750216450004</v>
      </c>
      <c r="U30" s="68">
        <v>0</v>
      </c>
      <c r="V30" s="69">
        <v>0</v>
      </c>
      <c r="W30" s="68">
        <v>0</v>
      </c>
      <c r="X30" s="68">
        <f t="shared" si="8"/>
        <v>1800</v>
      </c>
      <c r="Y30" s="68">
        <v>0</v>
      </c>
      <c r="Z30" s="68">
        <f t="shared" si="10"/>
        <v>1082.2497835499998</v>
      </c>
      <c r="AA30" s="68">
        <f t="shared" si="11"/>
        <v>4882.2497835499998</v>
      </c>
      <c r="AB30" s="68">
        <f t="shared" si="13"/>
        <v>40117.750216450004</v>
      </c>
    </row>
    <row r="31" spans="1:29" x14ac:dyDescent="0.3">
      <c r="A31" s="70" t="s">
        <v>162</v>
      </c>
      <c r="B31" s="71" t="s">
        <v>163</v>
      </c>
      <c r="C31" s="65">
        <v>46113</v>
      </c>
      <c r="D31" s="67">
        <v>45000</v>
      </c>
      <c r="E31" s="67">
        <v>31</v>
      </c>
      <c r="F31" s="67">
        <f t="shared" si="18"/>
        <v>31</v>
      </c>
      <c r="G31" s="67">
        <v>0</v>
      </c>
      <c r="H31" s="67"/>
      <c r="I31" s="68">
        <f t="shared" si="0"/>
        <v>22499.995499999997</v>
      </c>
      <c r="J31" s="68">
        <f t="shared" si="1"/>
        <v>11249.997749999999</v>
      </c>
      <c r="K31" s="68">
        <f t="shared" si="2"/>
        <v>1600</v>
      </c>
      <c r="L31" s="68">
        <f t="shared" si="3"/>
        <v>6767.7569664500079</v>
      </c>
      <c r="M31" s="68">
        <f t="shared" si="4"/>
        <v>42117.750216450004</v>
      </c>
      <c r="N31" s="68">
        <f t="shared" si="5"/>
        <v>1800</v>
      </c>
      <c r="O31" s="68">
        <v>0</v>
      </c>
      <c r="P31" s="68">
        <v>200</v>
      </c>
      <c r="Q31" s="68">
        <v>0</v>
      </c>
      <c r="R31" s="68">
        <v>0</v>
      </c>
      <c r="S31" s="68">
        <v>0</v>
      </c>
      <c r="T31" s="68">
        <f t="shared" si="6"/>
        <v>42117.750216450004</v>
      </c>
      <c r="U31" s="68">
        <v>0</v>
      </c>
      <c r="V31" s="69">
        <v>0</v>
      </c>
      <c r="W31" s="68">
        <v>0</v>
      </c>
      <c r="X31" s="68">
        <f t="shared" si="8"/>
        <v>1800</v>
      </c>
      <c r="Y31" s="68">
        <v>0</v>
      </c>
      <c r="Z31" s="68">
        <f t="shared" si="10"/>
        <v>1082.2497835499998</v>
      </c>
      <c r="AA31" s="68">
        <f t="shared" si="11"/>
        <v>4882.2497835499998</v>
      </c>
      <c r="AB31" s="68">
        <f t="shared" si="13"/>
        <v>40117.750216450004</v>
      </c>
    </row>
    <row r="32" spans="1:29" x14ac:dyDescent="0.3">
      <c r="A32" s="70" t="s">
        <v>164</v>
      </c>
      <c r="B32" s="71" t="s">
        <v>165</v>
      </c>
      <c r="C32" s="65">
        <v>46113</v>
      </c>
      <c r="D32" s="67">
        <v>30000</v>
      </c>
      <c r="E32" s="67">
        <v>31</v>
      </c>
      <c r="F32" s="67">
        <f t="shared" si="18"/>
        <v>31</v>
      </c>
      <c r="G32" s="67">
        <v>0</v>
      </c>
      <c r="H32" s="67"/>
      <c r="I32" s="68">
        <f t="shared" si="0"/>
        <v>14999.996999999998</v>
      </c>
      <c r="J32" s="68">
        <f t="shared" si="1"/>
        <v>7499.9984999999988</v>
      </c>
      <c r="K32" s="68">
        <f t="shared" si="2"/>
        <v>1600</v>
      </c>
      <c r="L32" s="68">
        <f t="shared" si="3"/>
        <v>3378.5050043000056</v>
      </c>
      <c r="M32" s="68">
        <f t="shared" si="4"/>
        <v>27478.500504300002</v>
      </c>
      <c r="N32" s="68">
        <f t="shared" si="5"/>
        <v>1799.9996399999995</v>
      </c>
      <c r="O32" s="68">
        <v>0</v>
      </c>
      <c r="P32" s="68">
        <v>200</v>
      </c>
      <c r="Q32" s="68">
        <v>0</v>
      </c>
      <c r="R32" s="68">
        <v>0</v>
      </c>
      <c r="S32" s="68">
        <v>0</v>
      </c>
      <c r="T32" s="68">
        <f t="shared" si="6"/>
        <v>27478.500504300002</v>
      </c>
      <c r="U32" s="68">
        <v>0</v>
      </c>
      <c r="V32" s="69">
        <v>0</v>
      </c>
      <c r="W32" s="68">
        <v>0</v>
      </c>
      <c r="X32" s="68">
        <f t="shared" si="8"/>
        <v>1799.9996399999995</v>
      </c>
      <c r="Y32" s="68">
        <v>0</v>
      </c>
      <c r="Z32" s="68">
        <f t="shared" si="10"/>
        <v>721.49985569999978</v>
      </c>
      <c r="AA32" s="68">
        <f t="shared" si="11"/>
        <v>4521.499135699999</v>
      </c>
      <c r="AB32" s="68">
        <f t="shared" si="13"/>
        <v>25478.5008643</v>
      </c>
    </row>
    <row r="33" spans="1:28" x14ac:dyDescent="0.3">
      <c r="A33" s="70" t="s">
        <v>166</v>
      </c>
      <c r="B33" s="71" t="s">
        <v>167</v>
      </c>
      <c r="C33" s="65">
        <v>46113</v>
      </c>
      <c r="D33" s="67">
        <v>15000</v>
      </c>
      <c r="E33" s="67">
        <v>31</v>
      </c>
      <c r="F33" s="67">
        <f>E33-G33</f>
        <v>30</v>
      </c>
      <c r="G33" s="83">
        <v>1</v>
      </c>
      <c r="H33" s="67"/>
      <c r="I33" s="68">
        <f t="shared" si="0"/>
        <v>7258.0630645161273</v>
      </c>
      <c r="J33" s="68">
        <f t="shared" si="1"/>
        <v>3629.0315322580636</v>
      </c>
      <c r="K33" s="68">
        <f t="shared" si="2"/>
        <v>1548.3870967741934</v>
      </c>
      <c r="L33" s="68">
        <f t="shared" si="3"/>
        <v>888.66266555619654</v>
      </c>
      <c r="M33" s="68">
        <f t="shared" si="4"/>
        <v>13324.144359104581</v>
      </c>
      <c r="N33" s="68">
        <f t="shared" si="5"/>
        <v>870.96756774193523</v>
      </c>
      <c r="O33" s="68">
        <v>0</v>
      </c>
      <c r="P33" s="68">
        <v>150</v>
      </c>
      <c r="Q33" s="68">
        <v>0</v>
      </c>
      <c r="R33" s="68">
        <v>0</v>
      </c>
      <c r="S33" s="68">
        <v>0</v>
      </c>
      <c r="T33" s="68">
        <f t="shared" si="6"/>
        <v>13324.144359104581</v>
      </c>
      <c r="U33" s="68">
        <v>0</v>
      </c>
      <c r="V33" s="69">
        <v>0</v>
      </c>
      <c r="W33" s="68">
        <v>0</v>
      </c>
      <c r="X33" s="68">
        <f t="shared" si="8"/>
        <v>870.96756774193523</v>
      </c>
      <c r="Y33" s="68">
        <v>0</v>
      </c>
      <c r="Z33" s="68">
        <f t="shared" si="10"/>
        <v>349.11283340322569</v>
      </c>
      <c r="AA33" s="68">
        <f t="shared" si="11"/>
        <v>2241.047968887096</v>
      </c>
      <c r="AB33" s="68">
        <f t="shared" si="13"/>
        <v>12303.176791362645</v>
      </c>
    </row>
    <row r="34" spans="1:28" x14ac:dyDescent="0.3">
      <c r="A34" s="70" t="s">
        <v>168</v>
      </c>
      <c r="B34" s="71" t="s">
        <v>169</v>
      </c>
      <c r="C34" s="65">
        <v>46113</v>
      </c>
      <c r="D34" s="67">
        <v>15000</v>
      </c>
      <c r="E34" s="67">
        <v>31</v>
      </c>
      <c r="F34" s="67">
        <f>E34-G34</f>
        <v>31</v>
      </c>
      <c r="G34" s="67">
        <v>0</v>
      </c>
      <c r="H34" s="67"/>
      <c r="I34" s="68">
        <f t="shared" si="0"/>
        <v>7499.9984999999988</v>
      </c>
      <c r="J34" s="68">
        <f t="shared" si="1"/>
        <v>3749.9992499999994</v>
      </c>
      <c r="K34" s="68">
        <f t="shared" si="2"/>
        <v>1600</v>
      </c>
      <c r="L34" s="68">
        <f t="shared" si="3"/>
        <v>889.25250215000278</v>
      </c>
      <c r="M34" s="68">
        <f t="shared" ref="M34:M51" si="19">(D34-X34)/E34*F34-Z34</f>
        <v>13739.250252150001</v>
      </c>
      <c r="N34" s="68">
        <f t="shared" si="5"/>
        <v>899.99981999999977</v>
      </c>
      <c r="O34" s="68">
        <v>0</v>
      </c>
      <c r="P34" s="68">
        <v>150</v>
      </c>
      <c r="Q34" s="68">
        <v>0</v>
      </c>
      <c r="R34" s="68">
        <v>0</v>
      </c>
      <c r="S34" s="68">
        <v>0</v>
      </c>
      <c r="T34" s="68">
        <f t="shared" si="6"/>
        <v>13739.250252150001</v>
      </c>
      <c r="U34" s="68">
        <v>0</v>
      </c>
      <c r="V34" s="69">
        <v>0</v>
      </c>
      <c r="W34" s="68">
        <v>0</v>
      </c>
      <c r="X34" s="68">
        <f t="shared" si="8"/>
        <v>899.99981999999977</v>
      </c>
      <c r="Y34" s="68">
        <v>0</v>
      </c>
      <c r="Z34" s="68">
        <f t="shared" ref="Z34:Z51" si="20">I34*4.81%</f>
        <v>360.74992784999989</v>
      </c>
      <c r="AA34" s="68">
        <f t="shared" ref="AA34:AA51" si="21">N34+O34+P34+V34+W34+U34+X34+Y34+Z34</f>
        <v>2310.7495678499995</v>
      </c>
      <c r="AB34" s="68">
        <f t="shared" ref="AB34:AB51" si="22">M34-AA34+Z34+X34</f>
        <v>12689.25043215</v>
      </c>
    </row>
    <row r="35" spans="1:28" x14ac:dyDescent="0.3">
      <c r="A35" s="70" t="s">
        <v>170</v>
      </c>
      <c r="B35" s="71" t="s">
        <v>171</v>
      </c>
      <c r="C35" s="65">
        <v>46113</v>
      </c>
      <c r="D35" s="67">
        <v>23000</v>
      </c>
      <c r="E35" s="67">
        <v>31</v>
      </c>
      <c r="F35" s="67">
        <f>E35-G35</f>
        <v>31</v>
      </c>
      <c r="G35" s="67">
        <v>0</v>
      </c>
      <c r="H35" s="67"/>
      <c r="I35" s="68">
        <f t="shared" si="0"/>
        <v>11499.997699999998</v>
      </c>
      <c r="J35" s="68">
        <f t="shared" si="1"/>
        <v>5749.998849999999</v>
      </c>
      <c r="K35" s="68">
        <f t="shared" si="2"/>
        <v>1600</v>
      </c>
      <c r="L35" s="68">
        <f t="shared" si="3"/>
        <v>2216.8538366300008</v>
      </c>
      <c r="M35" s="68">
        <f t="shared" si="19"/>
        <v>21066.850386629998</v>
      </c>
      <c r="N35" s="68">
        <f t="shared" si="5"/>
        <v>1379.9997239999998</v>
      </c>
      <c r="O35" s="68">
        <f t="shared" si="12"/>
        <v>0</v>
      </c>
      <c r="P35" s="68">
        <v>200</v>
      </c>
      <c r="Q35" s="68">
        <v>0</v>
      </c>
      <c r="R35" s="68">
        <v>0</v>
      </c>
      <c r="S35" s="68">
        <v>0</v>
      </c>
      <c r="T35" s="68">
        <f t="shared" si="6"/>
        <v>21066.850386629998</v>
      </c>
      <c r="U35" s="68">
        <v>0</v>
      </c>
      <c r="V35" s="69">
        <v>0</v>
      </c>
      <c r="W35" s="68">
        <v>0</v>
      </c>
      <c r="X35" s="68">
        <f t="shared" si="8"/>
        <v>1379.9997239999998</v>
      </c>
      <c r="Y35" s="68">
        <f t="shared" ref="Y35:Y51" si="23">IF(M35&lt;=21000,M35*3.25%,0)</f>
        <v>0</v>
      </c>
      <c r="Z35" s="68">
        <f t="shared" si="20"/>
        <v>553.14988936999987</v>
      </c>
      <c r="AA35" s="68">
        <f t="shared" si="21"/>
        <v>3513.1493373699996</v>
      </c>
      <c r="AB35" s="68">
        <f t="shared" si="22"/>
        <v>19486.85066263</v>
      </c>
    </row>
    <row r="36" spans="1:28" x14ac:dyDescent="0.3">
      <c r="A36" s="70" t="s">
        <v>172</v>
      </c>
      <c r="B36" s="70" t="s">
        <v>173</v>
      </c>
      <c r="C36" s="65">
        <v>46114</v>
      </c>
      <c r="D36" s="67">
        <v>24000</v>
      </c>
      <c r="E36" s="67">
        <v>31</v>
      </c>
      <c r="F36" s="67">
        <f t="shared" ref="F36:F39" si="24">E36-G36</f>
        <v>31</v>
      </c>
      <c r="G36" s="67">
        <v>0</v>
      </c>
      <c r="H36" s="67"/>
      <c r="I36" s="68">
        <f t="shared" si="0"/>
        <v>11999.997599999999</v>
      </c>
      <c r="J36" s="68">
        <f t="shared" si="1"/>
        <v>5999.9987999999994</v>
      </c>
      <c r="K36" s="68">
        <f t="shared" si="2"/>
        <v>1600</v>
      </c>
      <c r="L36" s="68">
        <f t="shared" si="3"/>
        <v>2382.8040034400019</v>
      </c>
      <c r="M36" s="68">
        <f t="shared" si="19"/>
        <v>21982.80040344</v>
      </c>
      <c r="N36" s="68">
        <f t="shared" si="5"/>
        <v>1439.9997119999998</v>
      </c>
      <c r="O36" s="68">
        <f t="shared" si="12"/>
        <v>0</v>
      </c>
      <c r="P36" s="68">
        <v>200</v>
      </c>
      <c r="Q36" s="68">
        <v>0</v>
      </c>
      <c r="R36" s="68">
        <v>0</v>
      </c>
      <c r="S36" s="68">
        <v>0</v>
      </c>
      <c r="T36" s="68">
        <f t="shared" si="6"/>
        <v>21982.80040344</v>
      </c>
      <c r="U36" s="68">
        <v>0</v>
      </c>
      <c r="V36" s="69">
        <v>0</v>
      </c>
      <c r="W36" s="68">
        <v>0</v>
      </c>
      <c r="X36" s="68">
        <f t="shared" si="8"/>
        <v>1439.9997119999998</v>
      </c>
      <c r="Y36" s="68">
        <f t="shared" si="23"/>
        <v>0</v>
      </c>
      <c r="Z36" s="68">
        <f t="shared" si="20"/>
        <v>577.19988455999987</v>
      </c>
      <c r="AA36" s="68">
        <f t="shared" si="21"/>
        <v>3657.1993085599997</v>
      </c>
      <c r="AB36" s="68">
        <f t="shared" si="22"/>
        <v>20342.800691439999</v>
      </c>
    </row>
    <row r="37" spans="1:28" x14ac:dyDescent="0.3">
      <c r="A37" s="74" t="s">
        <v>175</v>
      </c>
      <c r="B37" s="67" t="s">
        <v>174</v>
      </c>
      <c r="C37" s="65">
        <v>46113</v>
      </c>
      <c r="D37" s="67">
        <v>35000</v>
      </c>
      <c r="E37" s="67">
        <v>31</v>
      </c>
      <c r="F37" s="67">
        <f t="shared" si="24"/>
        <v>28.5</v>
      </c>
      <c r="G37" s="83">
        <v>2.5</v>
      </c>
      <c r="H37" s="67"/>
      <c r="I37" s="68">
        <f t="shared" si="0"/>
        <v>16088.706459677418</v>
      </c>
      <c r="J37" s="68">
        <f t="shared" si="1"/>
        <v>8044.353229838709</v>
      </c>
      <c r="K37" s="68">
        <f t="shared" si="2"/>
        <v>1470.9677419354837</v>
      </c>
      <c r="L37" s="68">
        <f t="shared" si="3"/>
        <v>4144.6864329991977</v>
      </c>
      <c r="M37" s="68">
        <f t="shared" si="19"/>
        <v>29748.713864450809</v>
      </c>
      <c r="N37" s="68">
        <f t="shared" si="5"/>
        <v>1800</v>
      </c>
      <c r="O37" s="68">
        <f t="shared" si="12"/>
        <v>0</v>
      </c>
      <c r="P37" s="68">
        <v>200</v>
      </c>
      <c r="Q37" s="68">
        <v>0</v>
      </c>
      <c r="R37" s="68">
        <v>0</v>
      </c>
      <c r="S37" s="68">
        <v>0</v>
      </c>
      <c r="T37" s="68">
        <f t="shared" si="6"/>
        <v>29748.713864450809</v>
      </c>
      <c r="U37" s="68">
        <v>0</v>
      </c>
      <c r="V37" s="69">
        <v>0</v>
      </c>
      <c r="W37" s="68">
        <v>0</v>
      </c>
      <c r="X37" s="68">
        <f t="shared" si="8"/>
        <v>1800</v>
      </c>
      <c r="Y37" s="68">
        <f t="shared" si="23"/>
        <v>0</v>
      </c>
      <c r="Z37" s="68">
        <f t="shared" si="20"/>
        <v>773.86678071048379</v>
      </c>
      <c r="AA37" s="68">
        <f t="shared" si="21"/>
        <v>4573.8667807104839</v>
      </c>
      <c r="AB37" s="68">
        <f t="shared" si="22"/>
        <v>27748.713864450809</v>
      </c>
    </row>
    <row r="38" spans="1:28" x14ac:dyDescent="0.3">
      <c r="A38" s="70" t="s">
        <v>208</v>
      </c>
      <c r="B38" s="85" t="s">
        <v>203</v>
      </c>
      <c r="C38" s="65">
        <v>46113</v>
      </c>
      <c r="D38" s="62">
        <v>100000</v>
      </c>
      <c r="E38" s="67">
        <v>31</v>
      </c>
      <c r="F38" s="67">
        <f t="shared" si="24"/>
        <v>31</v>
      </c>
      <c r="G38" s="67">
        <v>0</v>
      </c>
      <c r="I38" s="68">
        <f t="shared" si="0"/>
        <v>49999.989999999991</v>
      </c>
      <c r="J38" s="68">
        <f t="shared" ref="J38:J39" si="25">(I38*50%)</f>
        <v>24999.994999999995</v>
      </c>
      <c r="K38" s="68">
        <f t="shared" si="2"/>
        <v>1600</v>
      </c>
      <c r="L38" s="68">
        <f t="shared" ref="L38:L39" si="26">(M38-I38-J38-K38)</f>
        <v>19195.015481000009</v>
      </c>
      <c r="M38" s="68">
        <f t="shared" si="19"/>
        <v>95795.000480999995</v>
      </c>
      <c r="N38" s="68">
        <f t="shared" si="5"/>
        <v>1800</v>
      </c>
      <c r="O38" s="68">
        <f t="shared" ref="O38:O39" si="27">IF(M38&lt;=21000,M38*0.75%,0)</f>
        <v>0</v>
      </c>
      <c r="P38" s="68">
        <v>200</v>
      </c>
      <c r="Q38" s="68">
        <v>0</v>
      </c>
      <c r="R38" s="68">
        <v>0</v>
      </c>
      <c r="S38" s="68">
        <v>0</v>
      </c>
      <c r="T38" s="68">
        <f t="shared" ref="T38:T39" si="28">M38+Q38+R38+S38</f>
        <v>95795.000480999995</v>
      </c>
      <c r="U38" s="68">
        <v>0</v>
      </c>
      <c r="V38" s="69">
        <v>0</v>
      </c>
      <c r="W38" s="68">
        <v>0</v>
      </c>
      <c r="X38" s="68">
        <f t="shared" si="8"/>
        <v>1800</v>
      </c>
      <c r="Y38" s="68">
        <f t="shared" si="23"/>
        <v>0</v>
      </c>
      <c r="Z38" s="68">
        <f t="shared" si="20"/>
        <v>2404.9995189999995</v>
      </c>
      <c r="AA38" s="68">
        <f t="shared" si="21"/>
        <v>6204.9995189999991</v>
      </c>
      <c r="AB38" s="68">
        <f t="shared" si="22"/>
        <v>93795.000480999995</v>
      </c>
    </row>
    <row r="39" spans="1:28" ht="24" x14ac:dyDescent="0.3">
      <c r="A39" s="70" t="s">
        <v>209</v>
      </c>
      <c r="B39" s="85" t="s">
        <v>205</v>
      </c>
      <c r="C39" s="75">
        <v>46113</v>
      </c>
      <c r="D39" s="62">
        <v>33333</v>
      </c>
      <c r="E39" s="67">
        <v>31</v>
      </c>
      <c r="F39" s="67">
        <f t="shared" si="24"/>
        <v>31</v>
      </c>
      <c r="G39" s="76">
        <v>0</v>
      </c>
      <c r="I39" s="77">
        <f t="shared" si="0"/>
        <v>16666.496666699997</v>
      </c>
      <c r="J39" s="77">
        <f t="shared" si="25"/>
        <v>8333.2483333499986</v>
      </c>
      <c r="K39" s="77">
        <f t="shared" si="2"/>
        <v>1600</v>
      </c>
      <c r="L39" s="77">
        <f t="shared" si="26"/>
        <v>4131.5965102817354</v>
      </c>
      <c r="M39" s="77">
        <f t="shared" si="19"/>
        <v>30731.341510331731</v>
      </c>
      <c r="N39" s="77">
        <f t="shared" si="5"/>
        <v>1800</v>
      </c>
      <c r="O39" s="77">
        <f t="shared" si="27"/>
        <v>0</v>
      </c>
      <c r="P39" s="77">
        <v>200</v>
      </c>
      <c r="Q39" s="77">
        <v>0</v>
      </c>
      <c r="R39" s="77">
        <v>0</v>
      </c>
      <c r="S39" s="77">
        <v>0</v>
      </c>
      <c r="T39" s="77">
        <f t="shared" si="28"/>
        <v>30731.341510331731</v>
      </c>
      <c r="U39" s="77">
        <v>0</v>
      </c>
      <c r="V39" s="69">
        <v>0</v>
      </c>
      <c r="W39" s="77">
        <v>0</v>
      </c>
      <c r="X39" s="77">
        <f t="shared" si="8"/>
        <v>1800</v>
      </c>
      <c r="Y39" s="77">
        <f t="shared" si="23"/>
        <v>0</v>
      </c>
      <c r="Z39" s="77">
        <f t="shared" si="20"/>
        <v>801.65848966826979</v>
      </c>
      <c r="AA39" s="77">
        <f t="shared" si="21"/>
        <v>4601.6584896682698</v>
      </c>
      <c r="AB39" s="77">
        <f t="shared" si="22"/>
        <v>28731.341510331731</v>
      </c>
    </row>
    <row r="40" spans="1:28" x14ac:dyDescent="0.3">
      <c r="A40" s="67" t="s">
        <v>236</v>
      </c>
      <c r="B40" s="67" t="s">
        <v>237</v>
      </c>
      <c r="C40" s="80">
        <v>46146</v>
      </c>
      <c r="D40" s="67">
        <v>35000</v>
      </c>
      <c r="E40" s="67">
        <v>31</v>
      </c>
      <c r="F40" s="67">
        <v>28</v>
      </c>
      <c r="G40" s="76">
        <v>0</v>
      </c>
      <c r="H40" s="67"/>
      <c r="I40" s="77">
        <f t="shared" ref="I40:I51" si="29">(+D40*49.99999%)/E40*F40</f>
        <v>15806.448451612901</v>
      </c>
      <c r="J40" s="77">
        <f t="shared" ref="J40:J51" si="30">(I40*50%)</f>
        <v>7903.2242258064507</v>
      </c>
      <c r="K40" s="77">
        <f t="shared" ref="K40:K51" si="31">(1600/E40)*F40</f>
        <v>1445.1612903225805</v>
      </c>
      <c r="L40" s="77">
        <f t="shared" ref="L40:L51" si="32">(M40-I40-J40-K40)</f>
        <v>4071.9726359290353</v>
      </c>
      <c r="M40" s="77">
        <f t="shared" si="19"/>
        <v>29226.806603670968</v>
      </c>
      <c r="N40" s="77">
        <f t="shared" ref="N40:N51" si="33">IF($I40*0.12&gt;1800,1800,$I40*0.12)</f>
        <v>1800</v>
      </c>
      <c r="O40" s="77">
        <f t="shared" ref="O40:O51" si="34">IF(M40&lt;=21000,M40*0.75%,0)</f>
        <v>0</v>
      </c>
      <c r="P40" s="77">
        <v>200</v>
      </c>
      <c r="Q40" s="77">
        <v>0</v>
      </c>
      <c r="R40" s="77">
        <v>0</v>
      </c>
      <c r="S40" s="77">
        <v>0</v>
      </c>
      <c r="T40" s="77">
        <f t="shared" ref="T40:T51" si="35">M40+Q40+R40+S40</f>
        <v>29226.806603670968</v>
      </c>
      <c r="U40" s="77">
        <v>0</v>
      </c>
      <c r="V40" s="69">
        <v>0</v>
      </c>
      <c r="W40" s="77">
        <v>0</v>
      </c>
      <c r="X40" s="77">
        <f t="shared" ref="X40:X51" si="36">IF($I40*0.12&gt;1800,1800,$I40*0.12)</f>
        <v>1800</v>
      </c>
      <c r="Y40" s="77">
        <f t="shared" si="23"/>
        <v>0</v>
      </c>
      <c r="Z40" s="77">
        <f t="shared" si="20"/>
        <v>760.29017052258052</v>
      </c>
      <c r="AA40" s="77">
        <f t="shared" si="21"/>
        <v>4560.2901705225804</v>
      </c>
      <c r="AB40" s="77">
        <f t="shared" si="22"/>
        <v>27226.806603670968</v>
      </c>
    </row>
    <row r="41" spans="1:28" x14ac:dyDescent="0.3">
      <c r="A41" s="67" t="s">
        <v>238</v>
      </c>
      <c r="B41" s="67" t="s">
        <v>239</v>
      </c>
      <c r="C41" s="80">
        <v>46146</v>
      </c>
      <c r="D41" s="67">
        <v>15000</v>
      </c>
      <c r="E41" s="67">
        <v>31</v>
      </c>
      <c r="F41" s="67">
        <v>25</v>
      </c>
      <c r="G41" s="83">
        <v>3</v>
      </c>
      <c r="H41" s="67"/>
      <c r="I41" s="77">
        <f t="shared" si="29"/>
        <v>6048.3858870967733</v>
      </c>
      <c r="J41" s="77">
        <f t="shared" si="30"/>
        <v>3024.1929435483867</v>
      </c>
      <c r="K41" s="77">
        <f t="shared" si="31"/>
        <v>1290.3225806451612</v>
      </c>
      <c r="L41" s="77">
        <f t="shared" si="32"/>
        <v>857.61775459547357</v>
      </c>
      <c r="M41" s="77">
        <f t="shared" si="19"/>
        <v>11220.519165885795</v>
      </c>
      <c r="N41" s="77">
        <f t="shared" si="33"/>
        <v>725.80630645161273</v>
      </c>
      <c r="O41" s="77">
        <f t="shared" si="34"/>
        <v>84.15389374414346</v>
      </c>
      <c r="P41" s="77">
        <v>150</v>
      </c>
      <c r="Q41" s="77">
        <v>0</v>
      </c>
      <c r="R41" s="77">
        <v>0</v>
      </c>
      <c r="S41" s="77">
        <v>0</v>
      </c>
      <c r="T41" s="77">
        <f t="shared" si="35"/>
        <v>11220.519165885795</v>
      </c>
      <c r="U41" s="77">
        <v>0</v>
      </c>
      <c r="V41" s="69">
        <v>0</v>
      </c>
      <c r="W41" s="77">
        <v>0</v>
      </c>
      <c r="X41" s="77">
        <f t="shared" si="36"/>
        <v>725.80630645161273</v>
      </c>
      <c r="Y41" s="77">
        <f t="shared" si="23"/>
        <v>364.66687289128834</v>
      </c>
      <c r="Z41" s="77">
        <f t="shared" si="20"/>
        <v>290.92736116935475</v>
      </c>
      <c r="AA41" s="77">
        <f t="shared" si="21"/>
        <v>2341.3607407080121</v>
      </c>
      <c r="AB41" s="77">
        <f>M41-AA41+Z41+X41+Y41</f>
        <v>10260.558965690037</v>
      </c>
    </row>
    <row r="42" spans="1:28" x14ac:dyDescent="0.3">
      <c r="A42" s="67" t="s">
        <v>240</v>
      </c>
      <c r="B42" s="67" t="s">
        <v>241</v>
      </c>
      <c r="C42" s="80">
        <v>46146</v>
      </c>
      <c r="D42" s="67">
        <v>23000</v>
      </c>
      <c r="E42" s="67">
        <v>31</v>
      </c>
      <c r="F42" s="67">
        <v>28</v>
      </c>
      <c r="G42" s="67">
        <v>0</v>
      </c>
      <c r="H42" s="67"/>
      <c r="I42" s="77">
        <f t="shared" si="29"/>
        <v>10387.094696774191</v>
      </c>
      <c r="J42" s="77">
        <f t="shared" si="30"/>
        <v>5193.5473483870956</v>
      </c>
      <c r="K42" s="77">
        <f t="shared" si="31"/>
        <v>1445.1612903225805</v>
      </c>
      <c r="L42" s="77">
        <f t="shared" si="32"/>
        <v>2122.9439198864156</v>
      </c>
      <c r="M42" s="77">
        <f t="shared" si="19"/>
        <v>19148.747255370283</v>
      </c>
      <c r="N42" s="77">
        <f t="shared" si="33"/>
        <v>1246.4513636129029</v>
      </c>
      <c r="O42" s="77">
        <f t="shared" si="34"/>
        <v>143.61560441527712</v>
      </c>
      <c r="P42" s="77">
        <v>200</v>
      </c>
      <c r="Q42" s="77">
        <v>0</v>
      </c>
      <c r="R42" s="77">
        <v>0</v>
      </c>
      <c r="S42" s="77">
        <v>0</v>
      </c>
      <c r="T42" s="77">
        <f t="shared" si="35"/>
        <v>19148.747255370283</v>
      </c>
      <c r="U42" s="77">
        <v>0</v>
      </c>
      <c r="V42" s="69">
        <v>0</v>
      </c>
      <c r="W42" s="77">
        <v>0</v>
      </c>
      <c r="X42" s="77">
        <f t="shared" si="36"/>
        <v>1246.4513636129029</v>
      </c>
      <c r="Y42" s="77">
        <f t="shared" si="23"/>
        <v>622.3342857995342</v>
      </c>
      <c r="Z42" s="77">
        <f t="shared" si="20"/>
        <v>499.61925491483856</v>
      </c>
      <c r="AA42" s="77">
        <f t="shared" si="21"/>
        <v>3958.4718723554556</v>
      </c>
      <c r="AB42" s="77">
        <f t="shared" si="22"/>
        <v>16936.346001542566</v>
      </c>
    </row>
    <row r="43" spans="1:28" x14ac:dyDescent="0.3">
      <c r="A43" s="67" t="s">
        <v>242</v>
      </c>
      <c r="B43" s="67" t="s">
        <v>243</v>
      </c>
      <c r="C43" s="80">
        <v>46146</v>
      </c>
      <c r="D43" s="67">
        <v>30000</v>
      </c>
      <c r="E43" s="67">
        <v>31</v>
      </c>
      <c r="F43" s="67">
        <v>28</v>
      </c>
      <c r="G43" s="67">
        <v>0</v>
      </c>
      <c r="H43" s="67"/>
      <c r="I43" s="77">
        <f t="shared" si="29"/>
        <v>13548.384387096772</v>
      </c>
      <c r="J43" s="77">
        <f t="shared" si="30"/>
        <v>6774.1921935483861</v>
      </c>
      <c r="K43" s="77">
        <f t="shared" si="31"/>
        <v>1445.1612903225805</v>
      </c>
      <c r="L43" s="77">
        <f t="shared" si="32"/>
        <v>3208.8889838630648</v>
      </c>
      <c r="M43" s="77">
        <f t="shared" si="19"/>
        <v>24976.626854830803</v>
      </c>
      <c r="N43" s="77">
        <f t="shared" si="33"/>
        <v>1625.8061264516125</v>
      </c>
      <c r="O43" s="77">
        <f t="shared" si="34"/>
        <v>0</v>
      </c>
      <c r="P43" s="77">
        <v>200</v>
      </c>
      <c r="Q43" s="77">
        <v>0</v>
      </c>
      <c r="R43" s="77">
        <v>0</v>
      </c>
      <c r="S43" s="77">
        <v>0</v>
      </c>
      <c r="T43" s="77">
        <f t="shared" si="35"/>
        <v>24976.626854830803</v>
      </c>
      <c r="U43" s="77">
        <v>0</v>
      </c>
      <c r="V43" s="69">
        <v>0</v>
      </c>
      <c r="W43" s="77">
        <v>0</v>
      </c>
      <c r="X43" s="77">
        <f t="shared" si="36"/>
        <v>1625.8061264516125</v>
      </c>
      <c r="Y43" s="77">
        <f t="shared" si="23"/>
        <v>0</v>
      </c>
      <c r="Z43" s="77">
        <f t="shared" si="20"/>
        <v>651.6772890193547</v>
      </c>
      <c r="AA43" s="77">
        <f t="shared" si="21"/>
        <v>4103.2895419225797</v>
      </c>
      <c r="AB43" s="77">
        <f t="shared" si="22"/>
        <v>23150.820728379189</v>
      </c>
    </row>
    <row r="44" spans="1:28" x14ac:dyDescent="0.3">
      <c r="A44" s="67" t="s">
        <v>244</v>
      </c>
      <c r="B44" s="67" t="s">
        <v>245</v>
      </c>
      <c r="C44" s="80">
        <v>46146</v>
      </c>
      <c r="D44" s="67">
        <v>45000</v>
      </c>
      <c r="E44" s="67">
        <v>31</v>
      </c>
      <c r="F44" s="67">
        <v>28</v>
      </c>
      <c r="G44" s="67">
        <v>0</v>
      </c>
      <c r="H44" s="67"/>
      <c r="I44" s="77">
        <f t="shared" si="29"/>
        <v>20322.57658064516</v>
      </c>
      <c r="J44" s="77">
        <f t="shared" si="30"/>
        <v>10161.28829032258</v>
      </c>
      <c r="K44" s="77">
        <f t="shared" si="31"/>
        <v>1445.1612903225805</v>
      </c>
      <c r="L44" s="77">
        <f t="shared" si="32"/>
        <v>6112.8127438903239</v>
      </c>
      <c r="M44" s="77">
        <f t="shared" si="19"/>
        <v>38041.838905180644</v>
      </c>
      <c r="N44" s="77">
        <f t="shared" si="33"/>
        <v>1800</v>
      </c>
      <c r="O44" s="77">
        <f t="shared" si="34"/>
        <v>0</v>
      </c>
      <c r="P44" s="77">
        <v>200</v>
      </c>
      <c r="Q44" s="77">
        <v>0</v>
      </c>
      <c r="R44" s="77">
        <v>0</v>
      </c>
      <c r="S44" s="77">
        <v>0</v>
      </c>
      <c r="T44" s="77">
        <f t="shared" si="35"/>
        <v>38041.838905180644</v>
      </c>
      <c r="U44" s="77">
        <v>0</v>
      </c>
      <c r="V44" s="69">
        <v>0</v>
      </c>
      <c r="W44" s="77">
        <v>0</v>
      </c>
      <c r="X44" s="77">
        <f t="shared" si="36"/>
        <v>1800</v>
      </c>
      <c r="Y44" s="77">
        <f t="shared" si="23"/>
        <v>0</v>
      </c>
      <c r="Z44" s="77">
        <f t="shared" si="20"/>
        <v>977.51593352903217</v>
      </c>
      <c r="AA44" s="77">
        <f t="shared" si="21"/>
        <v>4777.5159335290318</v>
      </c>
      <c r="AB44" s="77">
        <f t="shared" si="22"/>
        <v>36041.838905180644</v>
      </c>
    </row>
    <row r="45" spans="1:28" x14ac:dyDescent="0.3">
      <c r="A45" s="67" t="s">
        <v>246</v>
      </c>
      <c r="B45" s="67" t="s">
        <v>247</v>
      </c>
      <c r="C45" s="80">
        <v>46146</v>
      </c>
      <c r="D45" s="67">
        <v>15000</v>
      </c>
      <c r="E45" s="67">
        <v>31</v>
      </c>
      <c r="F45" s="67">
        <v>28</v>
      </c>
      <c r="G45" s="67">
        <v>0</v>
      </c>
      <c r="H45" s="67"/>
      <c r="I45" s="77">
        <f t="shared" si="29"/>
        <v>6774.1921935483861</v>
      </c>
      <c r="J45" s="77">
        <f t="shared" si="30"/>
        <v>3387.096096774193</v>
      </c>
      <c r="K45" s="77">
        <f t="shared" si="31"/>
        <v>1445.1612903225805</v>
      </c>
      <c r="L45" s="77">
        <f t="shared" si="32"/>
        <v>881.86384677024216</v>
      </c>
      <c r="M45" s="77">
        <f t="shared" si="19"/>
        <v>12488.313427415402</v>
      </c>
      <c r="N45" s="77">
        <f t="shared" si="33"/>
        <v>812.90306322580625</v>
      </c>
      <c r="O45" s="77">
        <f t="shared" si="34"/>
        <v>93.662350705615509</v>
      </c>
      <c r="P45" s="77">
        <v>150</v>
      </c>
      <c r="Q45" s="77">
        <v>0</v>
      </c>
      <c r="R45" s="77">
        <v>0</v>
      </c>
      <c r="S45" s="77">
        <v>0</v>
      </c>
      <c r="T45" s="77">
        <f t="shared" si="35"/>
        <v>12488.313427415402</v>
      </c>
      <c r="U45" s="77">
        <v>0</v>
      </c>
      <c r="V45" s="69">
        <v>0</v>
      </c>
      <c r="W45" s="77">
        <v>0</v>
      </c>
      <c r="X45" s="77">
        <f t="shared" si="36"/>
        <v>812.90306322580625</v>
      </c>
      <c r="Y45" s="77">
        <f t="shared" si="23"/>
        <v>405.87018639100057</v>
      </c>
      <c r="Z45" s="77">
        <f t="shared" si="20"/>
        <v>325.83864450967735</v>
      </c>
      <c r="AA45" s="77">
        <f t="shared" si="21"/>
        <v>2601.177308057906</v>
      </c>
      <c r="AB45" s="77">
        <f t="shared" si="22"/>
        <v>11025.877827092978</v>
      </c>
    </row>
    <row r="46" spans="1:28" x14ac:dyDescent="0.3">
      <c r="A46" s="67" t="s">
        <v>248</v>
      </c>
      <c r="B46" s="67" t="s">
        <v>249</v>
      </c>
      <c r="C46" s="80">
        <v>46146</v>
      </c>
      <c r="D46" s="67">
        <v>15000</v>
      </c>
      <c r="E46" s="67">
        <v>31</v>
      </c>
      <c r="F46" s="67">
        <v>28</v>
      </c>
      <c r="G46" s="67">
        <v>0</v>
      </c>
      <c r="H46" s="67"/>
      <c r="I46" s="77">
        <f t="shared" si="29"/>
        <v>6774.1921935483861</v>
      </c>
      <c r="J46" s="77">
        <f t="shared" si="30"/>
        <v>3387.096096774193</v>
      </c>
      <c r="K46" s="77">
        <f t="shared" si="31"/>
        <v>1445.1612903225805</v>
      </c>
      <c r="L46" s="77">
        <f t="shared" si="32"/>
        <v>881.86384677024216</v>
      </c>
      <c r="M46" s="77">
        <f t="shared" si="19"/>
        <v>12488.313427415402</v>
      </c>
      <c r="N46" s="77">
        <f t="shared" si="33"/>
        <v>812.90306322580625</v>
      </c>
      <c r="O46" s="77">
        <f t="shared" si="34"/>
        <v>93.662350705615509</v>
      </c>
      <c r="P46" s="77">
        <v>150</v>
      </c>
      <c r="Q46" s="77">
        <v>0</v>
      </c>
      <c r="R46" s="77">
        <v>0</v>
      </c>
      <c r="S46" s="77">
        <v>0</v>
      </c>
      <c r="T46" s="77">
        <f t="shared" si="35"/>
        <v>12488.313427415402</v>
      </c>
      <c r="U46" s="77">
        <v>0</v>
      </c>
      <c r="V46" s="69">
        <v>0</v>
      </c>
      <c r="W46" s="77">
        <v>0</v>
      </c>
      <c r="X46" s="77">
        <f t="shared" si="36"/>
        <v>812.90306322580625</v>
      </c>
      <c r="Y46" s="77">
        <f t="shared" si="23"/>
        <v>405.87018639100057</v>
      </c>
      <c r="Z46" s="77">
        <f t="shared" si="20"/>
        <v>325.83864450967735</v>
      </c>
      <c r="AA46" s="77">
        <f t="shared" si="21"/>
        <v>2601.177308057906</v>
      </c>
      <c r="AB46" s="77">
        <f t="shared" si="22"/>
        <v>11025.877827092978</v>
      </c>
    </row>
    <row r="47" spans="1:28" x14ac:dyDescent="0.3">
      <c r="A47" s="67" t="s">
        <v>250</v>
      </c>
      <c r="B47" s="67" t="s">
        <v>251</v>
      </c>
      <c r="C47" s="80">
        <v>46146</v>
      </c>
      <c r="D47" s="67">
        <v>45000</v>
      </c>
      <c r="E47" s="67">
        <v>31</v>
      </c>
      <c r="F47" s="67">
        <v>28</v>
      </c>
      <c r="G47" s="67">
        <v>0</v>
      </c>
      <c r="H47" s="67"/>
      <c r="I47" s="77">
        <f t="shared" si="29"/>
        <v>20322.57658064516</v>
      </c>
      <c r="J47" s="77">
        <f t="shared" si="30"/>
        <v>10161.28829032258</v>
      </c>
      <c r="K47" s="77">
        <f t="shared" si="31"/>
        <v>1445.1612903225805</v>
      </c>
      <c r="L47" s="77">
        <f t="shared" si="32"/>
        <v>6112.8127438903239</v>
      </c>
      <c r="M47" s="77">
        <f t="shared" si="19"/>
        <v>38041.838905180644</v>
      </c>
      <c r="N47" s="77">
        <f t="shared" si="33"/>
        <v>1800</v>
      </c>
      <c r="O47" s="77">
        <f t="shared" si="34"/>
        <v>0</v>
      </c>
      <c r="P47" s="77">
        <v>200</v>
      </c>
      <c r="Q47" s="77">
        <v>0</v>
      </c>
      <c r="R47" s="77">
        <v>0</v>
      </c>
      <c r="S47" s="77">
        <v>0</v>
      </c>
      <c r="T47" s="77">
        <f t="shared" si="35"/>
        <v>38041.838905180644</v>
      </c>
      <c r="U47" s="77">
        <v>0</v>
      </c>
      <c r="V47" s="69">
        <v>0</v>
      </c>
      <c r="W47" s="77">
        <v>0</v>
      </c>
      <c r="X47" s="77">
        <f t="shared" si="36"/>
        <v>1800</v>
      </c>
      <c r="Y47" s="77">
        <f t="shared" si="23"/>
        <v>0</v>
      </c>
      <c r="Z47" s="77">
        <f t="shared" si="20"/>
        <v>977.51593352903217</v>
      </c>
      <c r="AA47" s="77">
        <f t="shared" si="21"/>
        <v>4777.5159335290318</v>
      </c>
      <c r="AB47" s="77">
        <f t="shared" si="22"/>
        <v>36041.838905180644</v>
      </c>
    </row>
    <row r="48" spans="1:28" x14ac:dyDescent="0.3">
      <c r="A48" s="67" t="s">
        <v>252</v>
      </c>
      <c r="B48" s="67" t="s">
        <v>253</v>
      </c>
      <c r="C48" s="80">
        <v>46146</v>
      </c>
      <c r="D48" s="67">
        <v>35000</v>
      </c>
      <c r="E48" s="67">
        <v>31</v>
      </c>
      <c r="F48" s="67">
        <v>28</v>
      </c>
      <c r="G48" s="67">
        <v>0</v>
      </c>
      <c r="H48" s="67"/>
      <c r="I48" s="77">
        <f t="shared" si="29"/>
        <v>15806.448451612901</v>
      </c>
      <c r="J48" s="77">
        <f t="shared" si="30"/>
        <v>7903.2242258064507</v>
      </c>
      <c r="K48" s="77">
        <f t="shared" si="31"/>
        <v>1445.1612903225805</v>
      </c>
      <c r="L48" s="77">
        <f t="shared" si="32"/>
        <v>4071.9726359290353</v>
      </c>
      <c r="M48" s="77">
        <f t="shared" si="19"/>
        <v>29226.806603670968</v>
      </c>
      <c r="N48" s="77">
        <f t="shared" si="33"/>
        <v>1800</v>
      </c>
      <c r="O48" s="77">
        <f t="shared" si="34"/>
        <v>0</v>
      </c>
      <c r="P48" s="77">
        <v>200</v>
      </c>
      <c r="Q48" s="77">
        <v>0</v>
      </c>
      <c r="R48" s="77">
        <v>0</v>
      </c>
      <c r="S48" s="77">
        <v>0</v>
      </c>
      <c r="T48" s="77">
        <f t="shared" si="35"/>
        <v>29226.806603670968</v>
      </c>
      <c r="U48" s="77">
        <v>0</v>
      </c>
      <c r="V48" s="69">
        <v>0</v>
      </c>
      <c r="W48" s="77">
        <v>0</v>
      </c>
      <c r="X48" s="77">
        <f t="shared" si="36"/>
        <v>1800</v>
      </c>
      <c r="Y48" s="77">
        <f t="shared" si="23"/>
        <v>0</v>
      </c>
      <c r="Z48" s="77">
        <f t="shared" si="20"/>
        <v>760.29017052258052</v>
      </c>
      <c r="AA48" s="77">
        <f t="shared" si="21"/>
        <v>4560.2901705225804</v>
      </c>
      <c r="AB48" s="77">
        <f t="shared" si="22"/>
        <v>27226.806603670968</v>
      </c>
    </row>
    <row r="49" spans="1:28" x14ac:dyDescent="0.3">
      <c r="A49" s="67" t="s">
        <v>254</v>
      </c>
      <c r="B49" s="67" t="s">
        <v>255</v>
      </c>
      <c r="C49" s="80">
        <v>46146</v>
      </c>
      <c r="D49" s="67">
        <v>15000</v>
      </c>
      <c r="E49" s="67">
        <v>31</v>
      </c>
      <c r="F49" s="67">
        <v>28</v>
      </c>
      <c r="G49" s="67">
        <v>0</v>
      </c>
      <c r="H49" s="67"/>
      <c r="I49" s="77">
        <f t="shared" si="29"/>
        <v>6774.1921935483861</v>
      </c>
      <c r="J49" s="77">
        <f t="shared" si="30"/>
        <v>3387.096096774193</v>
      </c>
      <c r="K49" s="77">
        <f t="shared" si="31"/>
        <v>1445.1612903225805</v>
      </c>
      <c r="L49" s="77">
        <f t="shared" si="32"/>
        <v>881.86384677024216</v>
      </c>
      <c r="M49" s="77">
        <f t="shared" si="19"/>
        <v>12488.313427415402</v>
      </c>
      <c r="N49" s="77">
        <f t="shared" si="33"/>
        <v>812.90306322580625</v>
      </c>
      <c r="O49" s="77">
        <f t="shared" si="34"/>
        <v>93.662350705615509</v>
      </c>
      <c r="P49" s="77">
        <v>150</v>
      </c>
      <c r="Q49" s="77">
        <v>0</v>
      </c>
      <c r="R49" s="77">
        <v>0</v>
      </c>
      <c r="S49" s="77">
        <v>0</v>
      </c>
      <c r="T49" s="77">
        <f t="shared" si="35"/>
        <v>12488.313427415402</v>
      </c>
      <c r="U49" s="77">
        <v>0</v>
      </c>
      <c r="V49" s="69">
        <v>0</v>
      </c>
      <c r="W49" s="77">
        <v>0</v>
      </c>
      <c r="X49" s="77">
        <f t="shared" si="36"/>
        <v>812.90306322580625</v>
      </c>
      <c r="Y49" s="77">
        <f t="shared" si="23"/>
        <v>405.87018639100057</v>
      </c>
      <c r="Z49" s="77">
        <f t="shared" si="20"/>
        <v>325.83864450967735</v>
      </c>
      <c r="AA49" s="77">
        <f t="shared" si="21"/>
        <v>2601.177308057906</v>
      </c>
      <c r="AB49" s="77">
        <f t="shared" si="22"/>
        <v>11025.877827092978</v>
      </c>
    </row>
    <row r="50" spans="1:28" x14ac:dyDescent="0.3">
      <c r="A50" s="67" t="s">
        <v>208</v>
      </c>
      <c r="B50" s="76" t="s">
        <v>256</v>
      </c>
      <c r="C50" s="81">
        <v>46146</v>
      </c>
      <c r="D50" s="76">
        <v>15000</v>
      </c>
      <c r="E50" s="76">
        <v>31</v>
      </c>
      <c r="F50" s="67">
        <v>25</v>
      </c>
      <c r="G50" s="83">
        <v>3</v>
      </c>
      <c r="H50" s="76"/>
      <c r="I50" s="77">
        <f t="shared" si="29"/>
        <v>6048.3858870967733</v>
      </c>
      <c r="J50" s="77">
        <f t="shared" si="30"/>
        <v>3024.1929435483867</v>
      </c>
      <c r="K50" s="77">
        <f t="shared" si="31"/>
        <v>1290.3225806451612</v>
      </c>
      <c r="L50" s="77">
        <f t="shared" si="32"/>
        <v>857.61775459547357</v>
      </c>
      <c r="M50" s="77">
        <f t="shared" si="19"/>
        <v>11220.519165885795</v>
      </c>
      <c r="N50" s="77">
        <f t="shared" si="33"/>
        <v>725.80630645161273</v>
      </c>
      <c r="O50" s="77">
        <f t="shared" si="34"/>
        <v>84.15389374414346</v>
      </c>
      <c r="P50" s="77">
        <v>150</v>
      </c>
      <c r="Q50" s="77">
        <v>0</v>
      </c>
      <c r="R50" s="77">
        <v>0</v>
      </c>
      <c r="S50" s="77">
        <v>0</v>
      </c>
      <c r="T50" s="77">
        <f t="shared" si="35"/>
        <v>11220.519165885795</v>
      </c>
      <c r="U50" s="77">
        <v>0</v>
      </c>
      <c r="V50" s="69">
        <v>0</v>
      </c>
      <c r="W50" s="77">
        <v>0</v>
      </c>
      <c r="X50" s="77">
        <f t="shared" si="36"/>
        <v>725.80630645161273</v>
      </c>
      <c r="Y50" s="77">
        <f t="shared" si="23"/>
        <v>364.66687289128834</v>
      </c>
      <c r="Z50" s="77">
        <f t="shared" si="20"/>
        <v>290.92736116935475</v>
      </c>
      <c r="AA50" s="77">
        <f t="shared" si="21"/>
        <v>2341.3607407080121</v>
      </c>
      <c r="AB50" s="77">
        <f>M50-AA50+Z50+X50+Y50</f>
        <v>10260.558965690037</v>
      </c>
    </row>
    <row r="51" spans="1:28" x14ac:dyDescent="0.3">
      <c r="A51" s="67" t="s">
        <v>257</v>
      </c>
      <c r="B51" s="67" t="s">
        <v>258</v>
      </c>
      <c r="C51" s="80">
        <v>46148</v>
      </c>
      <c r="D51" s="67">
        <v>15000</v>
      </c>
      <c r="E51" s="67">
        <v>31</v>
      </c>
      <c r="F51" s="67">
        <v>26</v>
      </c>
      <c r="G51" s="67">
        <v>0</v>
      </c>
      <c r="H51" s="67"/>
      <c r="I51" s="68">
        <f t="shared" si="29"/>
        <v>6290.3213225806439</v>
      </c>
      <c r="J51" s="68">
        <f t="shared" si="30"/>
        <v>3145.160661290322</v>
      </c>
      <c r="K51" s="68">
        <f t="shared" si="31"/>
        <v>1341.9354838709676</v>
      </c>
      <c r="L51" s="68">
        <f t="shared" si="32"/>
        <v>867.57283385317419</v>
      </c>
      <c r="M51" s="68">
        <f t="shared" si="19"/>
        <v>11644.990301595108</v>
      </c>
      <c r="N51" s="68">
        <f t="shared" si="33"/>
        <v>754.83855870967727</v>
      </c>
      <c r="O51" s="68">
        <f t="shared" si="34"/>
        <v>87.337427261963299</v>
      </c>
      <c r="P51" s="77">
        <v>150</v>
      </c>
      <c r="Q51" s="68">
        <v>0</v>
      </c>
      <c r="R51" s="68">
        <v>0</v>
      </c>
      <c r="S51" s="68">
        <v>0</v>
      </c>
      <c r="T51" s="68">
        <f t="shared" si="35"/>
        <v>11644.990301595108</v>
      </c>
      <c r="U51" s="68">
        <v>0</v>
      </c>
      <c r="V51" s="69">
        <v>0</v>
      </c>
      <c r="W51" s="68">
        <v>0</v>
      </c>
      <c r="X51" s="68">
        <f t="shared" si="36"/>
        <v>754.83855870967727</v>
      </c>
      <c r="Y51" s="68">
        <f t="shared" si="23"/>
        <v>378.46218480184103</v>
      </c>
      <c r="Z51" s="68">
        <f t="shared" si="20"/>
        <v>302.56445561612895</v>
      </c>
      <c r="AA51" s="68">
        <f t="shared" si="21"/>
        <v>2428.0411850992878</v>
      </c>
      <c r="AB51" s="68">
        <f t="shared" si="22"/>
        <v>10274.352130821626</v>
      </c>
    </row>
    <row r="52" spans="1:28" x14ac:dyDescent="0.35">
      <c r="I52" s="82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53E-67C0-4905-ABFF-14FF9076BD1D}">
  <dimension ref="A1:I60"/>
  <sheetViews>
    <sheetView workbookViewId="0">
      <pane ySplit="1" topLeftCell="A2" activePane="bottomLeft" state="frozen"/>
      <selection pane="bottomLeft" activeCell="E63" sqref="E63"/>
    </sheetView>
  </sheetViews>
  <sheetFormatPr defaultRowHeight="14.5" x14ac:dyDescent="0.35"/>
  <cols>
    <col min="1" max="1" width="11.54296875" customWidth="1"/>
    <col min="2" max="2" width="28.90625" customWidth="1"/>
    <col min="3" max="3" width="11.26953125" customWidth="1"/>
    <col min="4" max="4" width="16" customWidth="1"/>
    <col min="5" max="5" width="25.6328125" style="3" customWidth="1"/>
    <col min="6" max="6" width="15.90625" customWidth="1"/>
    <col min="7" max="7" width="18.6328125" customWidth="1"/>
  </cols>
  <sheetData>
    <row r="1" spans="1:9" s="28" customFormat="1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09" t="s">
        <v>29</v>
      </c>
      <c r="F1" s="12" t="s">
        <v>30</v>
      </c>
      <c r="G1" s="12" t="s">
        <v>32</v>
      </c>
      <c r="H1" s="12" t="s">
        <v>55</v>
      </c>
      <c r="I1" s="108"/>
    </row>
    <row r="2" spans="1:9" x14ac:dyDescent="0.35">
      <c r="A2" s="92" t="s">
        <v>27</v>
      </c>
      <c r="B2" s="92" t="s">
        <v>26</v>
      </c>
      <c r="C2" s="111">
        <f>VLOOKUP(A2,Employees!A1:C3,3,0)</f>
        <v>46062</v>
      </c>
      <c r="D2" s="94">
        <f>VLOOKUP(A2,Employees!A1:AC3,29,0)</f>
        <v>65329.466350000002</v>
      </c>
      <c r="E2" s="94">
        <v>41280100007853</v>
      </c>
      <c r="F2" s="92" t="s">
        <v>31</v>
      </c>
      <c r="G2" s="92" t="s">
        <v>33</v>
      </c>
      <c r="H2" s="15"/>
    </row>
    <row r="3" spans="1:9" x14ac:dyDescent="0.35">
      <c r="A3" s="92" t="s">
        <v>96</v>
      </c>
      <c r="B3" s="92" t="s">
        <v>97</v>
      </c>
      <c r="C3" s="111">
        <f>VLOOKUP(A3,Employees!A2:C4,3,0)</f>
        <v>46086</v>
      </c>
      <c r="D3" s="94">
        <f>VLOOKUP(A3,Employees!A2:AC4,29,0)</f>
        <v>90627.258064516122</v>
      </c>
      <c r="E3" s="94">
        <v>99980130961795</v>
      </c>
      <c r="F3" s="92" t="s">
        <v>225</v>
      </c>
      <c r="G3" s="92" t="s">
        <v>122</v>
      </c>
      <c r="H3" s="15"/>
    </row>
    <row r="4" spans="1:9" x14ac:dyDescent="0.35">
      <c r="A4" s="59" t="s">
        <v>36</v>
      </c>
      <c r="B4" s="99" t="s">
        <v>52</v>
      </c>
      <c r="C4" s="111">
        <f>VLOOKUP(Salaries_30052026!A4,Consultant!A1:C6,3,0)</f>
        <v>46055</v>
      </c>
      <c r="D4" s="94">
        <f>VLOOKUP(A4,Consultant!A1:H6,8,0)</f>
        <v>79800</v>
      </c>
      <c r="E4" s="94">
        <v>50100677371816</v>
      </c>
      <c r="F4" s="92" t="s">
        <v>50</v>
      </c>
      <c r="G4" s="92" t="s">
        <v>51</v>
      </c>
      <c r="H4" s="15"/>
    </row>
    <row r="5" spans="1:9" x14ac:dyDescent="0.35">
      <c r="A5" s="59" t="s">
        <v>35</v>
      </c>
      <c r="B5" s="59" t="s">
        <v>38</v>
      </c>
      <c r="C5" s="111">
        <f>VLOOKUP(Salaries_30052026!A5,Consultant!A2:C7,3,0)</f>
        <v>46055</v>
      </c>
      <c r="D5" s="94">
        <f>VLOOKUP(A5,Consultant!A2:H7,8,0)</f>
        <v>69800</v>
      </c>
      <c r="E5" s="94">
        <v>99980130961985</v>
      </c>
      <c r="F5" s="92" t="s">
        <v>225</v>
      </c>
      <c r="G5" s="92" t="s">
        <v>122</v>
      </c>
      <c r="H5" s="15"/>
    </row>
    <row r="6" spans="1:9" x14ac:dyDescent="0.35">
      <c r="A6" s="59" t="s">
        <v>46</v>
      </c>
      <c r="B6" s="59" t="s">
        <v>47</v>
      </c>
      <c r="C6" s="111">
        <f>VLOOKUP(Salaries_30052026!A6,Consultant!A3:C8,3,0)</f>
        <v>46066</v>
      </c>
      <c r="D6" s="94">
        <f>VLOOKUP(A6,Consultant!A3:H8,8,0)</f>
        <v>57864.516129032258</v>
      </c>
      <c r="E6" s="94" t="s">
        <v>48</v>
      </c>
      <c r="F6" s="92" t="s">
        <v>49</v>
      </c>
      <c r="G6" s="92" t="s">
        <v>45</v>
      </c>
      <c r="H6" s="15"/>
    </row>
    <row r="7" spans="1:9" x14ac:dyDescent="0.35">
      <c r="A7" s="59" t="s">
        <v>37</v>
      </c>
      <c r="B7" s="59" t="s">
        <v>39</v>
      </c>
      <c r="C7" s="111">
        <f>VLOOKUP(Salaries_30052026!A7,Consultant!A4:C9,3,0)</f>
        <v>46072</v>
      </c>
      <c r="D7" s="94">
        <f>VLOOKUP(A7,Consultant!A4:H9,8,0)</f>
        <v>79800</v>
      </c>
      <c r="E7" s="94">
        <v>99980130963916</v>
      </c>
      <c r="F7" s="92" t="s">
        <v>225</v>
      </c>
      <c r="G7" s="92" t="s">
        <v>122</v>
      </c>
      <c r="H7" s="15"/>
    </row>
    <row r="8" spans="1:9" x14ac:dyDescent="0.35">
      <c r="A8" s="59" t="s">
        <v>98</v>
      </c>
      <c r="B8" s="59" t="s">
        <v>99</v>
      </c>
      <c r="C8" s="111">
        <f>VLOOKUP(Salaries_30052026!A8,Consultant!A5:C10,3,0)</f>
        <v>46092</v>
      </c>
      <c r="D8" s="94">
        <f>VLOOKUP(A8,Consultant!A5:H10,8,0)</f>
        <v>19154.838709677417</v>
      </c>
      <c r="E8" s="94">
        <v>99980130950434</v>
      </c>
      <c r="F8" s="92" t="s">
        <v>225</v>
      </c>
      <c r="G8" s="92" t="s">
        <v>122</v>
      </c>
      <c r="H8" s="15"/>
    </row>
    <row r="9" spans="1:9" x14ac:dyDescent="0.35">
      <c r="A9" s="59" t="s">
        <v>56</v>
      </c>
      <c r="B9" s="59" t="s">
        <v>57</v>
      </c>
      <c r="C9" s="111">
        <f>VLOOKUP(A9,'Tech Employees'!A1:C51,3,0)</f>
        <v>46083</v>
      </c>
      <c r="D9" s="94">
        <f>VLOOKUP(A9,'Tech Employees'!A1:AB51,28,0)</f>
        <v>40117.750216450004</v>
      </c>
      <c r="E9" s="94">
        <v>3327101004003</v>
      </c>
      <c r="F9" s="92" t="s">
        <v>101</v>
      </c>
      <c r="G9" s="92" t="s">
        <v>102</v>
      </c>
      <c r="H9" s="15"/>
    </row>
    <row r="10" spans="1:9" x14ac:dyDescent="0.35">
      <c r="A10" s="59" t="s">
        <v>58</v>
      </c>
      <c r="B10" s="59" t="s">
        <v>59</v>
      </c>
      <c r="C10" s="111">
        <f>VLOOKUP(A10,'Tech Employees'!A2:C52,3,0)</f>
        <v>46083</v>
      </c>
      <c r="D10" s="94">
        <f>VLOOKUP(A10,'Tech Employees'!A2:AB52,28,0)</f>
        <v>37400.47600893709</v>
      </c>
      <c r="E10" s="94">
        <v>50100595290241</v>
      </c>
      <c r="F10" s="92" t="s">
        <v>103</v>
      </c>
      <c r="G10" s="92" t="s">
        <v>51</v>
      </c>
      <c r="H10" s="15"/>
    </row>
    <row r="11" spans="1:9" x14ac:dyDescent="0.35">
      <c r="A11" s="59" t="s">
        <v>60</v>
      </c>
      <c r="B11" s="59" t="s">
        <v>61</v>
      </c>
      <c r="C11" s="111">
        <f>VLOOKUP(A11,'Tech Employees'!A3:C53,3,0)</f>
        <v>46083</v>
      </c>
      <c r="D11" s="94">
        <f>VLOOKUP(A11,'Tech Employees'!A3:AB53,28,0)</f>
        <v>54757.0002886</v>
      </c>
      <c r="E11" s="94">
        <v>99980130961993</v>
      </c>
      <c r="F11" s="92" t="s">
        <v>225</v>
      </c>
      <c r="G11" s="92" t="s">
        <v>122</v>
      </c>
      <c r="H11" s="15"/>
    </row>
    <row r="12" spans="1:9" x14ac:dyDescent="0.35">
      <c r="A12" s="59" t="s">
        <v>62</v>
      </c>
      <c r="B12" s="59" t="s">
        <v>63</v>
      </c>
      <c r="C12" s="111">
        <f>VLOOKUP(A12,'Tech Employees'!A4:C54,3,0)</f>
        <v>46083</v>
      </c>
      <c r="D12" s="94">
        <f>VLOOKUP(A12,'Tech Employees'!A4:AB54,28,0)</f>
        <v>19486.85066263</v>
      </c>
      <c r="E12" s="94">
        <v>99980130961951</v>
      </c>
      <c r="F12" s="92" t="s">
        <v>225</v>
      </c>
      <c r="G12" s="92" t="s">
        <v>122</v>
      </c>
      <c r="H12" s="15"/>
    </row>
    <row r="13" spans="1:9" x14ac:dyDescent="0.35">
      <c r="A13" s="59" t="s">
        <v>64</v>
      </c>
      <c r="B13" s="59" t="s">
        <v>65</v>
      </c>
      <c r="C13" s="111">
        <f>VLOOKUP(A13,'Tech Employees'!A5:C55,3,0)</f>
        <v>46083</v>
      </c>
      <c r="D13" s="94">
        <f>VLOOKUP(A13,'Tech Employees'!A5:AB55,28,0)</f>
        <v>44997.500240499998</v>
      </c>
      <c r="E13" s="94">
        <v>77770116800885</v>
      </c>
      <c r="F13" s="92" t="s">
        <v>104</v>
      </c>
      <c r="G13" s="92" t="s">
        <v>122</v>
      </c>
      <c r="H13" s="15"/>
    </row>
    <row r="14" spans="1:9" x14ac:dyDescent="0.35">
      <c r="A14" s="59" t="s">
        <v>66</v>
      </c>
      <c r="B14" s="59" t="s">
        <v>67</v>
      </c>
      <c r="C14" s="111">
        <f>VLOOKUP(A14,'Tech Employees'!A6:C56,3,0)</f>
        <v>46083</v>
      </c>
      <c r="D14" s="94">
        <f>VLOOKUP(A14,'Tech Employees'!A6:AB56,28,0)</f>
        <v>40117.750216450004</v>
      </c>
      <c r="E14" s="94">
        <v>99980130963940</v>
      </c>
      <c r="F14" s="92" t="s">
        <v>225</v>
      </c>
      <c r="G14" s="92" t="s">
        <v>122</v>
      </c>
      <c r="H14" s="15"/>
    </row>
    <row r="15" spans="1:9" x14ac:dyDescent="0.35">
      <c r="A15" s="59" t="s">
        <v>68</v>
      </c>
      <c r="B15" s="59" t="s">
        <v>69</v>
      </c>
      <c r="C15" s="111">
        <f>VLOOKUP(A15,'Tech Employees'!A7:C57,3,0)</f>
        <v>46083</v>
      </c>
      <c r="D15" s="94">
        <f>VLOOKUP(A15,'Tech Employees'!A7:AB57,28,0)</f>
        <v>40117.750216450004</v>
      </c>
      <c r="E15" s="94">
        <v>62297418711</v>
      </c>
      <c r="F15" s="92" t="s">
        <v>107</v>
      </c>
      <c r="G15" s="92" t="s">
        <v>106</v>
      </c>
      <c r="H15" s="15"/>
    </row>
    <row r="16" spans="1:9" x14ac:dyDescent="0.35">
      <c r="A16" s="59" t="s">
        <v>70</v>
      </c>
      <c r="B16" s="59" t="s">
        <v>71</v>
      </c>
      <c r="C16" s="111">
        <f>VLOOKUP(A16,'Tech Employees'!A8:C58,3,0)</f>
        <v>46083</v>
      </c>
      <c r="D16" s="94">
        <f>VLOOKUP(A16,'Tech Employees'!A8:AB58,28,0)</f>
        <v>40117.750216450004</v>
      </c>
      <c r="E16" s="94">
        <v>99980130961886</v>
      </c>
      <c r="F16" s="92" t="s">
        <v>225</v>
      </c>
      <c r="G16" s="92" t="s">
        <v>122</v>
      </c>
      <c r="H16" s="15"/>
    </row>
    <row r="17" spans="1:8" x14ac:dyDescent="0.35">
      <c r="A17" s="59" t="s">
        <v>72</v>
      </c>
      <c r="B17" s="59" t="s">
        <v>270</v>
      </c>
      <c r="C17" s="111">
        <f>VLOOKUP(A17,'Tech Employees'!A9:C59,3,0)</f>
        <v>46083</v>
      </c>
      <c r="D17" s="94">
        <f>VLOOKUP(A17,'Tech Employees'!A9:AB59,28,0)</f>
        <v>40117.750216450004</v>
      </c>
      <c r="E17" s="94">
        <v>15550100112421</v>
      </c>
      <c r="F17" s="92" t="s">
        <v>225</v>
      </c>
      <c r="G17" s="92" t="s">
        <v>122</v>
      </c>
      <c r="H17" s="15"/>
    </row>
    <row r="18" spans="1:8" x14ac:dyDescent="0.35">
      <c r="A18" s="59" t="s">
        <v>74</v>
      </c>
      <c r="B18" s="59" t="s">
        <v>75</v>
      </c>
      <c r="C18" s="111">
        <f>VLOOKUP(A18,'Tech Employees'!A10:C60,3,0)</f>
        <v>46083</v>
      </c>
      <c r="D18" s="94">
        <f>VLOOKUP(A18,'Tech Employees'!A10:AB60,28,0)</f>
        <v>44997.500240499998</v>
      </c>
      <c r="E18" s="94">
        <v>99980130961894</v>
      </c>
      <c r="F18" s="92" t="s">
        <v>225</v>
      </c>
      <c r="G18" s="92" t="s">
        <v>122</v>
      </c>
      <c r="H18" s="15"/>
    </row>
    <row r="19" spans="1:8" x14ac:dyDescent="0.35">
      <c r="A19" s="59" t="s">
        <v>78</v>
      </c>
      <c r="B19" s="59" t="s">
        <v>79</v>
      </c>
      <c r="C19" s="111">
        <f>VLOOKUP(A19,'Tech Employees'!A11:C61,3,0)</f>
        <v>46083</v>
      </c>
      <c r="D19" s="94">
        <f>VLOOKUP(A19,'Tech Employees'!A11:AB61,28,0)</f>
        <v>52926.129311548393</v>
      </c>
      <c r="E19" s="94">
        <v>99980130961878</v>
      </c>
      <c r="F19" s="92" t="s">
        <v>225</v>
      </c>
      <c r="G19" s="92" t="s">
        <v>122</v>
      </c>
      <c r="H19" s="15"/>
    </row>
    <row r="20" spans="1:8" x14ac:dyDescent="0.35">
      <c r="A20" s="59" t="s">
        <v>80</v>
      </c>
      <c r="B20" s="59" t="s">
        <v>81</v>
      </c>
      <c r="C20" s="111">
        <f>VLOOKUP(A20,'Tech Employees'!A12:C62,3,0)</f>
        <v>46083</v>
      </c>
      <c r="D20" s="94">
        <f>VLOOKUP(A20,'Tech Employees'!A12:AB62,28,0)</f>
        <v>54757.0002886</v>
      </c>
      <c r="E20" s="94">
        <v>615728726</v>
      </c>
      <c r="F20" s="92" t="s">
        <v>113</v>
      </c>
      <c r="G20" s="92" t="s">
        <v>114</v>
      </c>
      <c r="H20" s="15"/>
    </row>
    <row r="21" spans="1:8" x14ac:dyDescent="0.35">
      <c r="A21" s="59" t="s">
        <v>82</v>
      </c>
      <c r="B21" s="59" t="s">
        <v>83</v>
      </c>
      <c r="C21" s="111">
        <f>VLOOKUP(A21,'Tech Employees'!A13:C63,3,0)</f>
        <v>46083</v>
      </c>
      <c r="D21" s="94">
        <f>VLOOKUP(A21,'Tech Employees'!A13:AB63,28,0)</f>
        <v>12639.25043215</v>
      </c>
      <c r="E21" s="94">
        <v>99980130963882</v>
      </c>
      <c r="F21" s="92" t="s">
        <v>225</v>
      </c>
      <c r="G21" s="92" t="s">
        <v>122</v>
      </c>
      <c r="H21" s="15"/>
    </row>
    <row r="22" spans="1:8" x14ac:dyDescent="0.35">
      <c r="A22" s="59" t="s">
        <v>84</v>
      </c>
      <c r="B22" s="59" t="s">
        <v>85</v>
      </c>
      <c r="C22" s="111">
        <f>VLOOKUP(A22,'Tech Employees'!A14:C64,3,0)</f>
        <v>46083</v>
      </c>
      <c r="D22" s="94">
        <f>VLOOKUP(A22,'Tech Employees'!A14:AB64,28,0)</f>
        <v>30358.250168350001</v>
      </c>
      <c r="E22" s="94">
        <v>99980130961902</v>
      </c>
      <c r="F22" s="92" t="s">
        <v>225</v>
      </c>
      <c r="G22" s="92" t="s">
        <v>122</v>
      </c>
      <c r="H22" s="15"/>
    </row>
    <row r="23" spans="1:8" x14ac:dyDescent="0.35">
      <c r="A23" s="59" t="s">
        <v>86</v>
      </c>
      <c r="B23" s="59" t="s">
        <v>87</v>
      </c>
      <c r="C23" s="111">
        <f>VLOOKUP(A23,'Tech Employees'!A15:C65,3,0)</f>
        <v>46083</v>
      </c>
      <c r="D23" s="94">
        <f>VLOOKUP(A23,'Tech Employees'!A15:AB65,28,0)</f>
        <v>30358.250168350001</v>
      </c>
      <c r="E23" s="94">
        <v>99980130961761</v>
      </c>
      <c r="F23" s="92" t="s">
        <v>225</v>
      </c>
      <c r="G23" s="92" t="s">
        <v>122</v>
      </c>
      <c r="H23" s="15"/>
    </row>
    <row r="24" spans="1:8" x14ac:dyDescent="0.35">
      <c r="A24" s="59" t="s">
        <v>88</v>
      </c>
      <c r="B24" s="59" t="s">
        <v>89</v>
      </c>
      <c r="C24" s="111">
        <f>VLOOKUP(A24,'Tech Employees'!A16:C66,3,0)</f>
        <v>46083</v>
      </c>
      <c r="D24" s="94">
        <f>VLOOKUP(A24,'Tech Employees'!A16:AB66,28,0)</f>
        <v>18077.656892730975</v>
      </c>
      <c r="E24" s="94">
        <v>37182972098</v>
      </c>
      <c r="F24" s="92" t="s">
        <v>137</v>
      </c>
      <c r="G24" s="92" t="s">
        <v>106</v>
      </c>
      <c r="H24" s="15"/>
    </row>
    <row r="25" spans="1:8" x14ac:dyDescent="0.35">
      <c r="A25" s="59" t="s">
        <v>92</v>
      </c>
      <c r="B25" s="59" t="s">
        <v>93</v>
      </c>
      <c r="C25" s="111">
        <f>VLOOKUP(A25,'Tech Employees'!A17:C67,3,0)</f>
        <v>46083</v>
      </c>
      <c r="D25" s="94">
        <f>VLOOKUP(A25,'Tech Employees'!A17:AB67,28,0)</f>
        <v>51095.258334496779</v>
      </c>
      <c r="E25" s="94">
        <v>15550100112371</v>
      </c>
      <c r="F25" s="92" t="s">
        <v>225</v>
      </c>
      <c r="G25" s="92" t="s">
        <v>122</v>
      </c>
      <c r="H25" s="15"/>
    </row>
    <row r="26" spans="1:8" x14ac:dyDescent="0.35">
      <c r="A26" s="59" t="s">
        <v>94</v>
      </c>
      <c r="B26" s="59" t="s">
        <v>95</v>
      </c>
      <c r="C26" s="111">
        <f>VLOOKUP(A26,'Tech Employees'!A18:C68,3,0)</f>
        <v>46083</v>
      </c>
      <c r="D26" s="94">
        <f>VLOOKUP(A26,'Tech Employees'!A18:AB68,28,0)</f>
        <v>54757.0002886</v>
      </c>
      <c r="E26" s="94">
        <v>50100141200194</v>
      </c>
      <c r="F26" s="92" t="s">
        <v>121</v>
      </c>
      <c r="G26" s="92" t="s">
        <v>51</v>
      </c>
      <c r="H26" s="15"/>
    </row>
    <row r="27" spans="1:8" x14ac:dyDescent="0.35">
      <c r="A27" s="59" t="s">
        <v>140</v>
      </c>
      <c r="B27" s="59" t="s">
        <v>141</v>
      </c>
      <c r="C27" s="111">
        <f>VLOOKUP(A27,'Tech Employees'!A19:C69,3,0)</f>
        <v>46113</v>
      </c>
      <c r="D27" s="94">
        <f>VLOOKUP(A27,'Tech Employees'!A19:AB69,28,0)</f>
        <v>29314.43564679032</v>
      </c>
      <c r="E27" s="94">
        <v>15550100112314</v>
      </c>
      <c r="F27" s="92" t="s">
        <v>225</v>
      </c>
      <c r="G27" s="92" t="s">
        <v>122</v>
      </c>
      <c r="H27" s="15"/>
    </row>
    <row r="28" spans="1:8" x14ac:dyDescent="0.35">
      <c r="A28" s="59" t="s">
        <v>142</v>
      </c>
      <c r="B28" s="59" t="s">
        <v>143</v>
      </c>
      <c r="C28" s="111">
        <f>VLOOKUP(A28,'Tech Employees'!A20:C70,3,0)</f>
        <v>46113</v>
      </c>
      <c r="D28" s="94">
        <f>VLOOKUP(A28,'Tech Employees'!A20:AB70,28,0)</f>
        <v>25478.5008643</v>
      </c>
      <c r="E28" s="94">
        <v>40590710609</v>
      </c>
      <c r="F28" s="92" t="s">
        <v>177</v>
      </c>
      <c r="G28" s="92" t="s">
        <v>106</v>
      </c>
      <c r="H28" s="15"/>
    </row>
    <row r="29" spans="1:8" x14ac:dyDescent="0.35">
      <c r="A29" s="59" t="s">
        <v>144</v>
      </c>
      <c r="B29" s="59" t="s">
        <v>145</v>
      </c>
      <c r="C29" s="111">
        <f>VLOOKUP(A29,'Tech Employees'!A21:C71,3,0)</f>
        <v>46113</v>
      </c>
      <c r="D29" s="94">
        <f>VLOOKUP(A29,'Tech Employees'!A21:AB71,28,0)</f>
        <v>44997.500240499998</v>
      </c>
      <c r="E29" s="94" t="s">
        <v>271</v>
      </c>
      <c r="F29" s="92" t="s">
        <v>178</v>
      </c>
      <c r="G29" s="92" t="s">
        <v>45</v>
      </c>
      <c r="H29" s="15"/>
    </row>
    <row r="30" spans="1:8" x14ac:dyDescent="0.35">
      <c r="A30" s="59" t="s">
        <v>146</v>
      </c>
      <c r="B30" s="59" t="s">
        <v>147</v>
      </c>
      <c r="C30" s="111">
        <f>VLOOKUP(A30,'Tech Employees'!A22:C72,3,0)</f>
        <v>46114</v>
      </c>
      <c r="D30" s="94">
        <f>VLOOKUP(A30,'Tech Employees'!A22:AB72,28,0)</f>
        <v>18894.87108008939</v>
      </c>
      <c r="E30" s="94">
        <v>55560103431927</v>
      </c>
      <c r="F30" s="92" t="s">
        <v>180</v>
      </c>
      <c r="G30" s="92" t="s">
        <v>122</v>
      </c>
      <c r="H30" s="15"/>
    </row>
    <row r="31" spans="1:8" x14ac:dyDescent="0.35">
      <c r="A31" s="59" t="s">
        <v>148</v>
      </c>
      <c r="B31" s="59" t="s">
        <v>149</v>
      </c>
      <c r="C31" s="111">
        <f>VLOOKUP(A31,'Tech Employees'!A23:C73,3,0)</f>
        <v>46113</v>
      </c>
      <c r="D31" s="94">
        <f>VLOOKUP(A31,'Tech Employees'!A23:AB73,28,0)</f>
        <v>12689.25043215</v>
      </c>
      <c r="E31" s="94">
        <v>15550100112355</v>
      </c>
      <c r="F31" s="92" t="s">
        <v>225</v>
      </c>
      <c r="G31" s="92" t="s">
        <v>122</v>
      </c>
      <c r="H31" s="15"/>
    </row>
    <row r="32" spans="1:8" x14ac:dyDescent="0.35">
      <c r="A32" s="59" t="s">
        <v>150</v>
      </c>
      <c r="B32" s="59" t="s">
        <v>151</v>
      </c>
      <c r="C32" s="111">
        <f>VLOOKUP(A32,'Tech Employees'!A24:C74,3,0)</f>
        <v>46113</v>
      </c>
      <c r="D32" s="94">
        <f>VLOOKUP(A32,'Tech Employees'!A24:AB74,28,0)</f>
        <v>12689.25043215</v>
      </c>
      <c r="E32" s="94">
        <v>15550100112280</v>
      </c>
      <c r="F32" s="92" t="s">
        <v>225</v>
      </c>
      <c r="G32" s="92" t="s">
        <v>122</v>
      </c>
      <c r="H32" s="15"/>
    </row>
    <row r="33" spans="1:8" x14ac:dyDescent="0.35">
      <c r="A33" s="59" t="s">
        <v>152</v>
      </c>
      <c r="B33" s="59" t="s">
        <v>153</v>
      </c>
      <c r="C33" s="111">
        <f>VLOOKUP(A33,'Tech Employees'!A25:C75,3,0)</f>
        <v>46113</v>
      </c>
      <c r="D33" s="94">
        <f>VLOOKUP(A33,'Tech Employees'!A25:AB75,28,0)</f>
        <v>12689.25043215</v>
      </c>
      <c r="E33" s="94">
        <v>15550100112272</v>
      </c>
      <c r="F33" s="92" t="s">
        <v>225</v>
      </c>
      <c r="G33" s="92" t="s">
        <v>122</v>
      </c>
      <c r="H33" s="15"/>
    </row>
    <row r="34" spans="1:8" x14ac:dyDescent="0.35">
      <c r="A34" s="59" t="s">
        <v>156</v>
      </c>
      <c r="B34" s="59" t="s">
        <v>157</v>
      </c>
      <c r="C34" s="111">
        <f>VLOOKUP(A34,'Tech Employees'!A27:C77,3,0)</f>
        <v>46113</v>
      </c>
      <c r="D34" s="94">
        <f>VLOOKUP(A34,'Tech Employees'!A27:AB77,28,0)</f>
        <v>12689.25043215</v>
      </c>
      <c r="E34" s="94">
        <v>15550100112306</v>
      </c>
      <c r="F34" s="92" t="s">
        <v>225</v>
      </c>
      <c r="G34" s="92" t="s">
        <v>122</v>
      </c>
      <c r="H34" s="15"/>
    </row>
    <row r="35" spans="1:8" x14ac:dyDescent="0.35">
      <c r="A35" s="59" t="s">
        <v>158</v>
      </c>
      <c r="B35" s="59" t="s">
        <v>159</v>
      </c>
      <c r="C35" s="111">
        <f>VLOOKUP(A35,'Tech Employees'!A28:C78,3,0)</f>
        <v>46113</v>
      </c>
      <c r="D35" s="94">
        <f>VLOOKUP(A35,'Tech Employees'!A28:AB78,28,0)</f>
        <v>12689.25043215</v>
      </c>
      <c r="E35" s="94">
        <v>15550100112298</v>
      </c>
      <c r="F35" s="92" t="s">
        <v>225</v>
      </c>
      <c r="G35" s="92" t="s">
        <v>122</v>
      </c>
      <c r="H35" s="15"/>
    </row>
    <row r="36" spans="1:8" x14ac:dyDescent="0.35">
      <c r="A36" s="59" t="s">
        <v>160</v>
      </c>
      <c r="B36" s="59" t="s">
        <v>161</v>
      </c>
      <c r="C36" s="111">
        <f>VLOOKUP(A36,'Tech Employees'!A29:C79,3,0)</f>
        <v>46113</v>
      </c>
      <c r="D36" s="94">
        <f>VLOOKUP(A36,'Tech Employees'!A29:AB79,28,0)</f>
        <v>40117.750216450004</v>
      </c>
      <c r="E36" s="94">
        <v>99980130961787</v>
      </c>
      <c r="F36" s="92" t="s">
        <v>225</v>
      </c>
      <c r="G36" s="92" t="s">
        <v>122</v>
      </c>
      <c r="H36" s="15"/>
    </row>
    <row r="37" spans="1:8" x14ac:dyDescent="0.35">
      <c r="A37" s="59" t="s">
        <v>162</v>
      </c>
      <c r="B37" s="59" t="s">
        <v>163</v>
      </c>
      <c r="C37" s="111">
        <f>VLOOKUP(A37,'Tech Employees'!A30:C80,3,0)</f>
        <v>46113</v>
      </c>
      <c r="D37" s="94">
        <f>VLOOKUP(A37,'Tech Employees'!A30:AB80,28,0)</f>
        <v>40117.750216450004</v>
      </c>
      <c r="E37" s="94">
        <v>37097117593</v>
      </c>
      <c r="F37" s="92" t="s">
        <v>188</v>
      </c>
      <c r="G37" s="92" t="s">
        <v>106</v>
      </c>
      <c r="H37" s="15"/>
    </row>
    <row r="38" spans="1:8" x14ac:dyDescent="0.35">
      <c r="A38" s="59" t="s">
        <v>164</v>
      </c>
      <c r="B38" s="59" t="s">
        <v>165</v>
      </c>
      <c r="C38" s="111">
        <f>VLOOKUP(A38,'Tech Employees'!A31:C81,3,0)</f>
        <v>46113</v>
      </c>
      <c r="D38" s="94">
        <f>VLOOKUP(A38,'Tech Employees'!A31:AB81,28,0)</f>
        <v>25478.5008643</v>
      </c>
      <c r="E38" s="94">
        <v>99980130961779</v>
      </c>
      <c r="F38" s="92" t="s">
        <v>225</v>
      </c>
      <c r="G38" s="92" t="s">
        <v>122</v>
      </c>
      <c r="H38" s="15"/>
    </row>
    <row r="39" spans="1:8" x14ac:dyDescent="0.35">
      <c r="A39" s="59" t="s">
        <v>166</v>
      </c>
      <c r="B39" s="59" t="s">
        <v>167</v>
      </c>
      <c r="C39" s="111">
        <f>VLOOKUP(A39,'Tech Employees'!A32:C82,3,0)</f>
        <v>46113</v>
      </c>
      <c r="D39" s="94">
        <f>VLOOKUP(A39,'Tech Employees'!A32:AB82,28,0)</f>
        <v>12303.176791362645</v>
      </c>
      <c r="E39" s="94">
        <v>23520100016377</v>
      </c>
      <c r="F39" s="92" t="s">
        <v>272</v>
      </c>
      <c r="G39" s="92" t="s">
        <v>122</v>
      </c>
      <c r="H39" s="15"/>
    </row>
    <row r="40" spans="1:8" x14ac:dyDescent="0.35">
      <c r="A40" s="59" t="s">
        <v>168</v>
      </c>
      <c r="B40" s="59" t="s">
        <v>169</v>
      </c>
      <c r="C40" s="111">
        <f>VLOOKUP(A40,'Tech Employees'!A33:C83,3,0)</f>
        <v>46113</v>
      </c>
      <c r="D40" s="94">
        <f>VLOOKUP(A40,'Tech Employees'!A33:AB83,28,0)</f>
        <v>12689.25043215</v>
      </c>
      <c r="E40" s="94">
        <v>15550100112322</v>
      </c>
      <c r="F40" s="92" t="s">
        <v>225</v>
      </c>
      <c r="G40" s="92" t="s">
        <v>122</v>
      </c>
      <c r="H40" s="15"/>
    </row>
    <row r="41" spans="1:8" x14ac:dyDescent="0.35">
      <c r="A41" s="59" t="s">
        <v>170</v>
      </c>
      <c r="B41" s="59" t="s">
        <v>171</v>
      </c>
      <c r="C41" s="111">
        <f>VLOOKUP(A41,'Tech Employees'!A34:C84,3,0)</f>
        <v>46113</v>
      </c>
      <c r="D41" s="94">
        <f>VLOOKUP(A41,'Tech Employees'!A34:AB84,28,0)</f>
        <v>19486.85066263</v>
      </c>
      <c r="E41" s="94">
        <v>44610100006654</v>
      </c>
      <c r="F41" s="92" t="s">
        <v>193</v>
      </c>
      <c r="G41" s="92" t="s">
        <v>192</v>
      </c>
      <c r="H41" s="15"/>
    </row>
    <row r="42" spans="1:8" x14ac:dyDescent="0.35">
      <c r="A42" s="59" t="s">
        <v>172</v>
      </c>
      <c r="B42" s="59" t="s">
        <v>173</v>
      </c>
      <c r="C42" s="111">
        <f>VLOOKUP(A42,'Tech Employees'!A35:C85,3,0)</f>
        <v>46114</v>
      </c>
      <c r="D42" s="94">
        <f>VLOOKUP(A42,'Tech Employees'!A35:AB85,28,0)</f>
        <v>20342.800691439999</v>
      </c>
      <c r="E42" s="94">
        <v>15550100112363</v>
      </c>
      <c r="F42" s="92" t="s">
        <v>225</v>
      </c>
      <c r="G42" s="92" t="s">
        <v>122</v>
      </c>
      <c r="H42" s="15"/>
    </row>
    <row r="43" spans="1:8" x14ac:dyDescent="0.35">
      <c r="A43" s="59" t="s">
        <v>175</v>
      </c>
      <c r="B43" s="59" t="s">
        <v>174</v>
      </c>
      <c r="C43" s="111">
        <f>VLOOKUP(A43,'Tech Employees'!A36:C86,3,0)</f>
        <v>46113</v>
      </c>
      <c r="D43" s="94">
        <f>VLOOKUP(A43,'Tech Employees'!A36:AB86,28,0)</f>
        <v>27748.713864450809</v>
      </c>
      <c r="E43" s="94">
        <v>15550100112330</v>
      </c>
      <c r="F43" s="92" t="s">
        <v>225</v>
      </c>
      <c r="G43" s="92" t="s">
        <v>122</v>
      </c>
      <c r="H43" s="15"/>
    </row>
    <row r="44" spans="1:8" x14ac:dyDescent="0.35">
      <c r="A44" s="59" t="s">
        <v>208</v>
      </c>
      <c r="B44" s="59" t="s">
        <v>203</v>
      </c>
      <c r="C44" s="111">
        <f>VLOOKUP(A44,'Tech Employees'!A37:C87,3,0)</f>
        <v>46113</v>
      </c>
      <c r="D44" s="94">
        <f>VLOOKUP(A44,'Tech Employees'!A37:AB87,28,0)</f>
        <v>93795.000480999995</v>
      </c>
      <c r="E44" s="94">
        <v>38613963272</v>
      </c>
      <c r="F44" s="92" t="s">
        <v>204</v>
      </c>
      <c r="G44" s="92" t="s">
        <v>106</v>
      </c>
      <c r="H44" s="15"/>
    </row>
    <row r="45" spans="1:8" x14ac:dyDescent="0.35">
      <c r="A45" s="59" t="s">
        <v>209</v>
      </c>
      <c r="B45" s="59" t="s">
        <v>205</v>
      </c>
      <c r="C45" s="111">
        <f>VLOOKUP(A45,'Tech Employees'!A38:C88,3,0)</f>
        <v>46113</v>
      </c>
      <c r="D45" s="94">
        <f>VLOOKUP(A45,'Tech Employees'!A38:AB88,28,0)</f>
        <v>28731.341510331731</v>
      </c>
      <c r="E45" s="94">
        <v>180701000002091</v>
      </c>
      <c r="F45" s="92" t="s">
        <v>206</v>
      </c>
      <c r="G45" s="92" t="s">
        <v>207</v>
      </c>
      <c r="H45" s="15"/>
    </row>
    <row r="46" spans="1:8" x14ac:dyDescent="0.35">
      <c r="A46" s="59" t="s">
        <v>236</v>
      </c>
      <c r="B46" s="59" t="s">
        <v>237</v>
      </c>
      <c r="C46" s="111">
        <f>VLOOKUP(A46,'Tech Employees'!A39:C89,3,0)</f>
        <v>46146</v>
      </c>
      <c r="D46" s="94">
        <f>VLOOKUP(A46,'Tech Employees'!A39:AB89,28,0)</f>
        <v>27226.806603670968</v>
      </c>
      <c r="E46" s="94">
        <v>99980130961803</v>
      </c>
      <c r="F46" s="92" t="s">
        <v>225</v>
      </c>
      <c r="G46" s="92" t="s">
        <v>122</v>
      </c>
      <c r="H46" s="15"/>
    </row>
    <row r="47" spans="1:8" x14ac:dyDescent="0.35">
      <c r="A47" s="59" t="s">
        <v>238</v>
      </c>
      <c r="B47" s="59" t="s">
        <v>239</v>
      </c>
      <c r="C47" s="111">
        <f>VLOOKUP(A47,'Tech Employees'!A40:C90,3,0)</f>
        <v>46146</v>
      </c>
      <c r="D47" s="94">
        <f>VLOOKUP(A47,'Tech Employees'!A40:AB90,28,0)</f>
        <v>10260.558965690037</v>
      </c>
      <c r="E47" s="94">
        <v>55560103622913</v>
      </c>
      <c r="F47" s="92" t="s">
        <v>180</v>
      </c>
      <c r="G47" s="92" t="s">
        <v>122</v>
      </c>
      <c r="H47" s="15"/>
    </row>
    <row r="48" spans="1:8" x14ac:dyDescent="0.35">
      <c r="A48" s="59" t="s">
        <v>240</v>
      </c>
      <c r="B48" s="59" t="s">
        <v>241</v>
      </c>
      <c r="C48" s="111">
        <f>VLOOKUP(A48,'Tech Employees'!A41:C91,3,0)</f>
        <v>46146</v>
      </c>
      <c r="D48" s="94">
        <f>VLOOKUP(A48,'Tech Employees'!A41:AB91,28,0)</f>
        <v>16936.346001542566</v>
      </c>
      <c r="E48" s="94">
        <v>99980130961811</v>
      </c>
      <c r="F48" s="92" t="s">
        <v>225</v>
      </c>
      <c r="G48" s="92" t="s">
        <v>122</v>
      </c>
      <c r="H48" s="15"/>
    </row>
    <row r="49" spans="1:8" x14ac:dyDescent="0.35">
      <c r="A49" s="59" t="s">
        <v>242</v>
      </c>
      <c r="B49" s="59" t="s">
        <v>243</v>
      </c>
      <c r="C49" s="111">
        <f>VLOOKUP(A49,'Tech Employees'!A42:C92,3,0)</f>
        <v>46146</v>
      </c>
      <c r="D49" s="94">
        <f>VLOOKUP(A49,'Tech Employees'!A42:AB92,28,0)</f>
        <v>23150.820728379189</v>
      </c>
      <c r="E49" s="94">
        <v>15550100112413</v>
      </c>
      <c r="F49" s="92" t="s">
        <v>225</v>
      </c>
      <c r="G49" s="92" t="s">
        <v>122</v>
      </c>
      <c r="H49" s="15"/>
    </row>
    <row r="50" spans="1:8" x14ac:dyDescent="0.35">
      <c r="A50" s="59" t="s">
        <v>244</v>
      </c>
      <c r="B50" s="59" t="s">
        <v>245</v>
      </c>
      <c r="C50" s="111">
        <f>VLOOKUP(A50,'Tech Employees'!A43:C93,3,0)</f>
        <v>46146</v>
      </c>
      <c r="D50" s="94">
        <f>VLOOKUP(A50,'Tech Employees'!A43:AB93,28,0)</f>
        <v>36041.838905180644</v>
      </c>
      <c r="E50" s="94">
        <v>62412658053</v>
      </c>
      <c r="F50" s="92" t="s">
        <v>269</v>
      </c>
      <c r="G50" s="92" t="s">
        <v>106</v>
      </c>
      <c r="H50" s="15"/>
    </row>
    <row r="51" spans="1:8" x14ac:dyDescent="0.35">
      <c r="A51" s="59" t="s">
        <v>246</v>
      </c>
      <c r="B51" s="59" t="s">
        <v>247</v>
      </c>
      <c r="C51" s="111">
        <f>VLOOKUP(A51,'Tech Employees'!A44:C94,3,0)</f>
        <v>46146</v>
      </c>
      <c r="D51" s="94">
        <f>VLOOKUP(A51,'Tech Employees'!A44:AB94,28,0)</f>
        <v>11025.877827092978</v>
      </c>
      <c r="E51" s="94">
        <v>40592463089</v>
      </c>
      <c r="F51" s="92" t="s">
        <v>268</v>
      </c>
      <c r="G51" s="92" t="s">
        <v>106</v>
      </c>
      <c r="H51" s="15"/>
    </row>
    <row r="52" spans="1:8" x14ac:dyDescent="0.35">
      <c r="A52" s="59" t="s">
        <v>248</v>
      </c>
      <c r="B52" s="59" t="s">
        <v>249</v>
      </c>
      <c r="C52" s="111">
        <f>VLOOKUP(A52,'Tech Employees'!A45:C95,3,0)</f>
        <v>46146</v>
      </c>
      <c r="D52" s="94">
        <f>VLOOKUP(A52,'Tech Employees'!A45:AB95,28,0)</f>
        <v>11025.877827092978</v>
      </c>
      <c r="E52" s="94">
        <v>1814100100000320</v>
      </c>
      <c r="F52" s="92" t="s">
        <v>266</v>
      </c>
      <c r="G52" s="92" t="s">
        <v>267</v>
      </c>
      <c r="H52" s="15"/>
    </row>
    <row r="53" spans="1:8" x14ac:dyDescent="0.35">
      <c r="A53" s="59" t="s">
        <v>250</v>
      </c>
      <c r="B53" s="59" t="s">
        <v>251</v>
      </c>
      <c r="C53" s="111">
        <f>VLOOKUP(A53,'Tech Employees'!A46:C96,3,0)</f>
        <v>46146</v>
      </c>
      <c r="D53" s="94">
        <f>VLOOKUP(A53,'Tech Employees'!A46:AB96,28,0)</f>
        <v>36041.838905180644</v>
      </c>
      <c r="E53" s="94">
        <v>55560103591175</v>
      </c>
      <c r="F53" s="92" t="s">
        <v>180</v>
      </c>
      <c r="G53" s="92" t="s">
        <v>122</v>
      </c>
      <c r="H53" s="15"/>
    </row>
    <row r="54" spans="1:8" x14ac:dyDescent="0.35">
      <c r="A54" s="59" t="s">
        <v>252</v>
      </c>
      <c r="B54" s="59" t="s">
        <v>253</v>
      </c>
      <c r="C54" s="111">
        <f>VLOOKUP(A54,'Tech Employees'!A47:C97,3,0)</f>
        <v>46146</v>
      </c>
      <c r="D54" s="94">
        <f>VLOOKUP(A54,'Tech Employees'!A47:AB97,28,0)</f>
        <v>27226.806603670968</v>
      </c>
      <c r="E54" s="94">
        <v>99980130963841</v>
      </c>
      <c r="F54" s="92" t="s">
        <v>225</v>
      </c>
      <c r="G54" s="92" t="s">
        <v>122</v>
      </c>
      <c r="H54" s="15"/>
    </row>
    <row r="55" spans="1:8" x14ac:dyDescent="0.35">
      <c r="A55" s="59" t="s">
        <v>254</v>
      </c>
      <c r="B55" s="59" t="s">
        <v>255</v>
      </c>
      <c r="C55" s="111">
        <f>VLOOKUP(A55,'Tech Employees'!A48:C98,3,0)</f>
        <v>46146</v>
      </c>
      <c r="D55" s="94">
        <f>VLOOKUP(A55,'Tech Employees'!A48:AB98,28,0)</f>
        <v>11025.877827092978</v>
      </c>
      <c r="E55" s="94">
        <v>15550100112397</v>
      </c>
      <c r="F55" s="92" t="s">
        <v>225</v>
      </c>
      <c r="G55" s="92" t="s">
        <v>122</v>
      </c>
      <c r="H55" s="15"/>
    </row>
    <row r="56" spans="1:8" x14ac:dyDescent="0.35">
      <c r="A56" s="59" t="s">
        <v>208</v>
      </c>
      <c r="B56" s="59" t="s">
        <v>256</v>
      </c>
      <c r="C56" s="111">
        <f>VLOOKUP(A56,'Tech Employees'!A49:C99,3,0)</f>
        <v>46146</v>
      </c>
      <c r="D56" s="94">
        <f>VLOOKUP(A56,'Tech Employees'!A49:AB99,28,0)</f>
        <v>10260.558965690037</v>
      </c>
      <c r="E56" s="94">
        <v>225210100082348</v>
      </c>
      <c r="F56" s="92" t="s">
        <v>265</v>
      </c>
      <c r="G56" s="92" t="s">
        <v>43</v>
      </c>
      <c r="H56" s="15"/>
    </row>
    <row r="57" spans="1:8" x14ac:dyDescent="0.35">
      <c r="A57" s="59" t="s">
        <v>257</v>
      </c>
      <c r="B57" s="59" t="s">
        <v>258</v>
      </c>
      <c r="C57" s="111">
        <f>VLOOKUP(A57,'Tech Employees'!A50:C100,3,0)</f>
        <v>46148</v>
      </c>
      <c r="D57" s="94">
        <f>VLOOKUP(A57,'Tech Employees'!A50:AB100,28,0)</f>
        <v>10274.352130821626</v>
      </c>
      <c r="E57" s="94">
        <v>55560103492226</v>
      </c>
      <c r="F57" s="92" t="s">
        <v>180</v>
      </c>
      <c r="G57" s="92" t="s">
        <v>122</v>
      </c>
      <c r="H57" s="15"/>
    </row>
    <row r="58" spans="1:8" x14ac:dyDescent="0.35">
      <c r="A58" s="110" t="s">
        <v>154</v>
      </c>
      <c r="B58" s="110" t="s">
        <v>155</v>
      </c>
      <c r="C58" s="117">
        <f>VLOOKUP(A58,'Tech Employees'!A26:C76,3,0)</f>
        <v>46113</v>
      </c>
      <c r="D58" s="118" t="s">
        <v>273</v>
      </c>
      <c r="E58" s="118" t="s">
        <v>273</v>
      </c>
      <c r="F58" s="118" t="s">
        <v>273</v>
      </c>
      <c r="G58" s="118" t="s">
        <v>273</v>
      </c>
      <c r="H58" s="15">
        <v>5871</v>
      </c>
    </row>
    <row r="60" spans="1:8" x14ac:dyDescent="0.35">
      <c r="B60" s="114" t="s">
        <v>28</v>
      </c>
      <c r="C60" s="115"/>
      <c r="D60" s="116">
        <f>SUM(D2:D59)</f>
        <v>1903013.2106755697</v>
      </c>
    </row>
  </sheetData>
  <autoFilter ref="A1:H57" xr:uid="{96A9653E-67C0-4905-ABFF-14FF9076BD1D}"/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K14"/>
  <sheetViews>
    <sheetView workbookViewId="0">
      <selection activeCell="F14" sqref="F14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3.08984375" bestFit="1" customWidth="1"/>
    <col min="8" max="8" width="22" bestFit="1" customWidth="1"/>
    <col min="9" max="9" width="16.453125" bestFit="1" customWidth="1"/>
  </cols>
  <sheetData>
    <row r="1" spans="1:11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11" x14ac:dyDescent="0.35">
      <c r="A2" s="15">
        <v>1</v>
      </c>
      <c r="B2" s="15" t="s">
        <v>125</v>
      </c>
      <c r="C2" s="27"/>
      <c r="D2" s="15"/>
      <c r="E2" s="15">
        <v>230000</v>
      </c>
      <c r="F2" s="36">
        <v>32862142889</v>
      </c>
      <c r="G2" s="15" t="s">
        <v>222</v>
      </c>
      <c r="H2" s="15" t="s">
        <v>221</v>
      </c>
      <c r="I2" s="15" t="s">
        <v>176</v>
      </c>
    </row>
    <row r="3" spans="1:11" x14ac:dyDescent="0.35">
      <c r="A3" s="15">
        <v>2</v>
      </c>
      <c r="B3" s="15" t="s">
        <v>261</v>
      </c>
      <c r="C3" s="27"/>
      <c r="D3" s="15"/>
      <c r="E3" s="15">
        <v>81290</v>
      </c>
      <c r="F3" s="36">
        <v>38764884239</v>
      </c>
      <c r="G3" s="15" t="s">
        <v>262</v>
      </c>
      <c r="H3" s="15" t="s">
        <v>263</v>
      </c>
      <c r="I3" s="15" t="s">
        <v>176</v>
      </c>
    </row>
    <row r="4" spans="1:11" x14ac:dyDescent="0.35">
      <c r="A4" s="15">
        <v>3</v>
      </c>
      <c r="B4" s="15" t="s">
        <v>133</v>
      </c>
      <c r="C4" s="27">
        <v>17</v>
      </c>
      <c r="D4" s="15">
        <v>1200</v>
      </c>
      <c r="E4" s="15">
        <f>C4*D4</f>
        <v>20400</v>
      </c>
      <c r="F4" s="46" t="s">
        <v>218</v>
      </c>
      <c r="G4" s="15" t="s">
        <v>211</v>
      </c>
      <c r="H4" s="15" t="s">
        <v>212</v>
      </c>
      <c r="I4" s="15" t="s">
        <v>45</v>
      </c>
      <c r="J4" s="29"/>
    </row>
    <row r="5" spans="1:11" x14ac:dyDescent="0.35">
      <c r="A5" s="15">
        <v>4</v>
      </c>
      <c r="B5" s="15" t="s">
        <v>134</v>
      </c>
      <c r="C5" s="27">
        <v>16.5</v>
      </c>
      <c r="D5" s="15">
        <v>1200</v>
      </c>
      <c r="E5" s="15">
        <f t="shared" ref="E5:E9" si="0">C5*D5</f>
        <v>19800</v>
      </c>
      <c r="F5" s="36">
        <v>653101004326</v>
      </c>
      <c r="G5" s="15" t="s">
        <v>213</v>
      </c>
      <c r="H5" s="15" t="s">
        <v>214</v>
      </c>
      <c r="I5" s="15" t="s">
        <v>45</v>
      </c>
      <c r="J5" s="29"/>
    </row>
    <row r="6" spans="1:11" x14ac:dyDescent="0.35">
      <c r="A6" s="15">
        <v>5</v>
      </c>
      <c r="B6" s="15" t="s">
        <v>135</v>
      </c>
      <c r="C6" s="27">
        <v>17.5</v>
      </c>
      <c r="D6" s="15">
        <v>1000</v>
      </c>
      <c r="E6" s="15">
        <f t="shared" si="0"/>
        <v>17500</v>
      </c>
      <c r="F6" s="36">
        <v>922020060410761</v>
      </c>
      <c r="G6" s="15" t="s">
        <v>219</v>
      </c>
      <c r="H6" s="15" t="s">
        <v>220</v>
      </c>
      <c r="I6" s="15" t="s">
        <v>200</v>
      </c>
      <c r="J6" s="29"/>
      <c r="K6" s="48"/>
    </row>
    <row r="7" spans="1:11" x14ac:dyDescent="0.35">
      <c r="A7" s="15">
        <v>6</v>
      </c>
      <c r="B7" s="15" t="s">
        <v>136</v>
      </c>
      <c r="C7" s="27">
        <v>22.5</v>
      </c>
      <c r="D7" s="15">
        <v>1000</v>
      </c>
      <c r="E7" s="15">
        <f t="shared" si="0"/>
        <v>22500</v>
      </c>
      <c r="F7" s="41">
        <v>814649188</v>
      </c>
      <c r="G7" s="15" t="s">
        <v>215</v>
      </c>
      <c r="H7" s="15" t="s">
        <v>216</v>
      </c>
      <c r="I7" s="15" t="s">
        <v>217</v>
      </c>
      <c r="J7" s="29"/>
    </row>
    <row r="8" spans="1:11" x14ac:dyDescent="0.35">
      <c r="A8" s="15">
        <v>7</v>
      </c>
      <c r="B8" s="15" t="s">
        <v>196</v>
      </c>
      <c r="C8" s="27">
        <v>2</v>
      </c>
      <c r="D8" s="15">
        <v>1000</v>
      </c>
      <c r="E8" s="15">
        <f t="shared" si="0"/>
        <v>2000</v>
      </c>
      <c r="F8" s="36">
        <v>50100115451901</v>
      </c>
      <c r="G8" s="15" t="s">
        <v>226</v>
      </c>
      <c r="H8" s="15" t="s">
        <v>226</v>
      </c>
      <c r="I8" s="15" t="s">
        <v>190</v>
      </c>
    </row>
    <row r="9" spans="1:11" x14ac:dyDescent="0.35">
      <c r="A9" s="15">
        <v>8</v>
      </c>
      <c r="B9" s="15" t="s">
        <v>197</v>
      </c>
      <c r="C9" s="27">
        <v>19</v>
      </c>
      <c r="D9" s="15">
        <v>800</v>
      </c>
      <c r="E9" s="15">
        <f t="shared" si="0"/>
        <v>15200</v>
      </c>
      <c r="F9" s="41">
        <v>45080524946</v>
      </c>
      <c r="G9" s="15" t="s">
        <v>223</v>
      </c>
      <c r="H9" s="15" t="s">
        <v>224</v>
      </c>
      <c r="I9" s="15" t="s">
        <v>176</v>
      </c>
    </row>
    <row r="11" spans="1:11" x14ac:dyDescent="0.35">
      <c r="C11" s="112" t="s">
        <v>28</v>
      </c>
      <c r="D11" s="113"/>
      <c r="E11" s="108">
        <f>SUM(E2:E10)</f>
        <v>408690</v>
      </c>
    </row>
    <row r="12" spans="1:11" x14ac:dyDescent="0.35">
      <c r="E12" s="1"/>
    </row>
    <row r="14" spans="1:11" x14ac:dyDescent="0.35">
      <c r="D14" s="15"/>
    </row>
  </sheetData>
  <pageMargins left="0.7" right="0.7" top="0.75" bottom="0.75" header="0.3" footer="0.3"/>
  <pageSetup orientation="portrait" r:id="rId1"/>
  <ignoredErrors>
    <ignoredError sqref="F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E0F1-FE9B-4C0F-B350-8B3214F65ECA}">
  <dimension ref="A1:H2"/>
  <sheetViews>
    <sheetView tabSelected="1" workbookViewId="0">
      <selection activeCell="G13" sqref="G13"/>
    </sheetView>
  </sheetViews>
  <sheetFormatPr defaultRowHeight="14.5" x14ac:dyDescent="0.35"/>
  <cols>
    <col min="1" max="1" width="35" bestFit="1" customWidth="1"/>
    <col min="2" max="2" width="10.26953125" bestFit="1" customWidth="1"/>
    <col min="3" max="3" width="5.81640625" bestFit="1" customWidth="1"/>
    <col min="4" max="4" width="9.26953125" bestFit="1" customWidth="1"/>
    <col min="5" max="5" width="19.7265625" bestFit="1" customWidth="1"/>
    <col min="6" max="6" width="12.36328125" bestFit="1" customWidth="1"/>
    <col min="7" max="7" width="10.36328125" bestFit="1" customWidth="1"/>
    <col min="8" max="8" width="12.08984375" bestFit="1" customWidth="1"/>
  </cols>
  <sheetData>
    <row r="1" spans="1:8" x14ac:dyDescent="0.35">
      <c r="A1" s="12" t="s">
        <v>210</v>
      </c>
      <c r="B1" s="28" t="s">
        <v>264</v>
      </c>
      <c r="C1" s="28" t="s">
        <v>227</v>
      </c>
      <c r="D1" s="28" t="s">
        <v>132</v>
      </c>
      <c r="E1" s="12" t="s">
        <v>29</v>
      </c>
      <c r="F1" s="12" t="s">
        <v>30</v>
      </c>
      <c r="G1" s="12" t="s">
        <v>32</v>
      </c>
      <c r="H1" s="12" t="s">
        <v>231</v>
      </c>
    </row>
    <row r="2" spans="1:8" ht="50" customHeight="1" x14ac:dyDescent="0.35">
      <c r="A2" s="50" t="s">
        <v>229</v>
      </c>
      <c r="B2" s="49">
        <v>160000</v>
      </c>
      <c r="C2" s="49">
        <f>B2*0.18</f>
        <v>28800</v>
      </c>
      <c r="D2" s="49">
        <f>B2+C2</f>
        <v>188800</v>
      </c>
      <c r="E2" s="37">
        <v>50200062999445</v>
      </c>
      <c r="F2" s="49" t="s">
        <v>228</v>
      </c>
      <c r="G2" s="49" t="s">
        <v>190</v>
      </c>
      <c r="H2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A4A1-6F1A-4CCD-BAC9-3FC0199C210F}">
  <dimension ref="A1:C13"/>
  <sheetViews>
    <sheetView zoomScaleNormal="100" workbookViewId="0">
      <selection activeCell="D14" sqref="D14"/>
    </sheetView>
  </sheetViews>
  <sheetFormatPr defaultColWidth="34.1796875" defaultRowHeight="14.5" x14ac:dyDescent="0.35"/>
  <cols>
    <col min="1" max="1" width="9.453125" bestFit="1" customWidth="1"/>
    <col min="2" max="2" width="24.81640625" bestFit="1" customWidth="1"/>
    <col min="3" max="3" width="7.453125" bestFit="1" customWidth="1"/>
  </cols>
  <sheetData>
    <row r="1" spans="1:3" x14ac:dyDescent="0.35">
      <c r="A1" s="60" t="s">
        <v>1</v>
      </c>
      <c r="B1" s="60" t="s">
        <v>0</v>
      </c>
      <c r="C1" s="78" t="s">
        <v>24</v>
      </c>
    </row>
    <row r="2" spans="1:3" x14ac:dyDescent="0.35">
      <c r="A2" s="63" t="s">
        <v>58</v>
      </c>
      <c r="B2" s="64" t="s">
        <v>59</v>
      </c>
      <c r="C2" s="83">
        <v>2</v>
      </c>
    </row>
    <row r="3" spans="1:3" x14ac:dyDescent="0.35">
      <c r="A3" s="63" t="s">
        <v>78</v>
      </c>
      <c r="B3" s="64" t="s">
        <v>79</v>
      </c>
      <c r="C3" s="83">
        <v>1</v>
      </c>
    </row>
    <row r="4" spans="1:3" x14ac:dyDescent="0.35">
      <c r="A4" s="63" t="s">
        <v>88</v>
      </c>
      <c r="B4" s="63" t="s">
        <v>89</v>
      </c>
      <c r="C4" s="83">
        <v>1</v>
      </c>
    </row>
    <row r="5" spans="1:3" x14ac:dyDescent="0.35">
      <c r="A5" s="63" t="s">
        <v>92</v>
      </c>
      <c r="B5" s="63" t="s">
        <v>93</v>
      </c>
      <c r="C5" s="83">
        <v>2</v>
      </c>
    </row>
    <row r="6" spans="1:3" x14ac:dyDescent="0.35">
      <c r="A6" s="92" t="s">
        <v>96</v>
      </c>
      <c r="B6" s="92" t="s">
        <v>97</v>
      </c>
      <c r="C6" s="83">
        <v>1</v>
      </c>
    </row>
    <row r="7" spans="1:3" x14ac:dyDescent="0.35">
      <c r="A7" s="70" t="s">
        <v>140</v>
      </c>
      <c r="B7" s="71" t="s">
        <v>141</v>
      </c>
      <c r="C7" s="83">
        <v>1</v>
      </c>
    </row>
    <row r="8" spans="1:3" x14ac:dyDescent="0.35">
      <c r="A8" s="74" t="s">
        <v>175</v>
      </c>
      <c r="B8" s="67" t="s">
        <v>174</v>
      </c>
      <c r="C8" s="83">
        <v>4.5</v>
      </c>
    </row>
    <row r="9" spans="1:3" ht="24" x14ac:dyDescent="0.35">
      <c r="A9" s="70" t="s">
        <v>146</v>
      </c>
      <c r="B9" s="71" t="s">
        <v>147</v>
      </c>
      <c r="C9" s="83">
        <v>1</v>
      </c>
    </row>
    <row r="10" spans="1:3" x14ac:dyDescent="0.35">
      <c r="A10" s="70" t="s">
        <v>154</v>
      </c>
      <c r="B10" s="84" t="s">
        <v>155</v>
      </c>
      <c r="C10" s="83">
        <v>17</v>
      </c>
    </row>
    <row r="11" spans="1:3" x14ac:dyDescent="0.35">
      <c r="A11" s="70" t="s">
        <v>166</v>
      </c>
      <c r="B11" s="71" t="s">
        <v>167</v>
      </c>
      <c r="C11" s="83">
        <v>1</v>
      </c>
    </row>
    <row r="12" spans="1:3" x14ac:dyDescent="0.35">
      <c r="A12" s="67" t="s">
        <v>238</v>
      </c>
      <c r="B12" s="67" t="s">
        <v>239</v>
      </c>
      <c r="C12" s="83">
        <v>3</v>
      </c>
    </row>
    <row r="13" spans="1:3" x14ac:dyDescent="0.35">
      <c r="A13" s="67" t="s">
        <v>208</v>
      </c>
      <c r="B13" s="67" t="s">
        <v>256</v>
      </c>
      <c r="C13" s="8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0E4-9944-43A1-99D2-A2D85D0C0D6A}">
  <sheetPr filterMode="1"/>
  <dimension ref="A1:H48"/>
  <sheetViews>
    <sheetView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7.7265625" customWidth="1"/>
    <col min="5" max="5" width="19.7265625" bestFit="1" customWidth="1"/>
    <col min="6" max="6" width="12.6328125" customWidth="1"/>
    <col min="7" max="7" width="17.54296875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14" t="s">
        <v>36</v>
      </c>
      <c r="B2" s="15" t="s">
        <v>52</v>
      </c>
      <c r="C2" s="47">
        <v>46054</v>
      </c>
      <c r="D2" s="36">
        <f>VLOOKUP(A2,Consultant!A2:H6,8,0)</f>
        <v>79800</v>
      </c>
      <c r="E2" s="36">
        <v>50100677371816</v>
      </c>
      <c r="F2" s="15" t="s">
        <v>50</v>
      </c>
      <c r="G2" s="15" t="s">
        <v>51</v>
      </c>
      <c r="H2" s="15"/>
    </row>
    <row r="3" spans="1:8" hidden="1" x14ac:dyDescent="0.35">
      <c r="A3" s="14" t="s">
        <v>35</v>
      </c>
      <c r="B3" s="14" t="s">
        <v>38</v>
      </c>
      <c r="C3" s="47">
        <v>46054</v>
      </c>
      <c r="D3" s="36">
        <f>VLOOKUP(A3,Consultant!A3:H7,8,0)</f>
        <v>69800</v>
      </c>
      <c r="E3" s="37">
        <v>99980130961985</v>
      </c>
      <c r="F3" s="22" t="s">
        <v>225</v>
      </c>
      <c r="G3" s="17" t="s">
        <v>122</v>
      </c>
      <c r="H3" s="15"/>
    </row>
    <row r="4" spans="1:8" x14ac:dyDescent="0.35">
      <c r="A4" s="18" t="s">
        <v>27</v>
      </c>
      <c r="B4" s="18" t="s">
        <v>26</v>
      </c>
      <c r="C4" s="47">
        <v>46062</v>
      </c>
      <c r="D4" s="36">
        <f>VLOOKUP(A4,Employees!2:3,29,0)</f>
        <v>65329.466350000002</v>
      </c>
      <c r="E4" s="36">
        <v>41280100007853</v>
      </c>
      <c r="F4" s="15" t="s">
        <v>31</v>
      </c>
      <c r="G4" s="15" t="s">
        <v>33</v>
      </c>
      <c r="H4" s="15"/>
    </row>
    <row r="5" spans="1:8" hidden="1" x14ac:dyDescent="0.35">
      <c r="A5" s="6" t="s">
        <v>60</v>
      </c>
      <c r="B5" s="7" t="s">
        <v>61</v>
      </c>
      <c r="C5" s="8">
        <v>46083</v>
      </c>
      <c r="D5" s="36">
        <f>VLOOKUP(A5,'Tech Employees'!A4:AB39,28,0)</f>
        <v>54757.0002886</v>
      </c>
      <c r="E5" s="37">
        <v>99980130961993</v>
      </c>
      <c r="F5" s="22" t="s">
        <v>225</v>
      </c>
      <c r="G5" s="17" t="s">
        <v>122</v>
      </c>
      <c r="H5" s="15"/>
    </row>
    <row r="6" spans="1:8" x14ac:dyDescent="0.35">
      <c r="A6" s="6" t="s">
        <v>56</v>
      </c>
      <c r="B6" s="7" t="s">
        <v>57</v>
      </c>
      <c r="C6" s="8">
        <v>46083</v>
      </c>
      <c r="D6" s="36">
        <f>VLOOKUP(A6,'Tech Employees'!A2:AB37,28,0)</f>
        <v>40117.750216450004</v>
      </c>
      <c r="E6" s="36">
        <v>3327101004003</v>
      </c>
      <c r="F6" s="17" t="s">
        <v>101</v>
      </c>
      <c r="G6" s="17" t="s">
        <v>102</v>
      </c>
      <c r="H6" s="15"/>
    </row>
    <row r="7" spans="1:8" x14ac:dyDescent="0.35">
      <c r="A7" s="6" t="s">
        <v>72</v>
      </c>
      <c r="B7" s="7" t="s">
        <v>73</v>
      </c>
      <c r="C7" s="8">
        <v>46083</v>
      </c>
      <c r="D7" s="36">
        <f>VLOOKUP(A7,'Tech Employees'!A10:AB45,28,0)</f>
        <v>40117.750216450004</v>
      </c>
      <c r="E7" s="36">
        <v>159502740717</v>
      </c>
      <c r="F7" s="17" t="s">
        <v>108</v>
      </c>
      <c r="G7" s="17" t="s">
        <v>109</v>
      </c>
      <c r="H7" s="15"/>
    </row>
    <row r="8" spans="1:8" hidden="1" x14ac:dyDescent="0.35">
      <c r="A8" s="6" t="s">
        <v>64</v>
      </c>
      <c r="B8" s="7" t="s">
        <v>65</v>
      </c>
      <c r="C8" s="8">
        <v>46083</v>
      </c>
      <c r="D8" s="36">
        <f>VLOOKUP(A8,'Tech Employees'!A6:AB41,28,0)</f>
        <v>44997.500240499998</v>
      </c>
      <c r="E8" s="36">
        <v>77770116800885</v>
      </c>
      <c r="F8" s="17" t="s">
        <v>104</v>
      </c>
      <c r="G8" s="17" t="s">
        <v>122</v>
      </c>
      <c r="H8" s="15"/>
    </row>
    <row r="9" spans="1:8" hidden="1" x14ac:dyDescent="0.35">
      <c r="A9" s="6" t="s">
        <v>70</v>
      </c>
      <c r="B9" s="7" t="s">
        <v>71</v>
      </c>
      <c r="C9" s="8">
        <v>46083</v>
      </c>
      <c r="D9" s="36">
        <f>VLOOKUP(A9,'Tech Employees'!A9:AB44,28,0)</f>
        <v>40117.750216450004</v>
      </c>
      <c r="E9" s="37">
        <v>99980130961886</v>
      </c>
      <c r="F9" s="22" t="s">
        <v>225</v>
      </c>
      <c r="G9" s="17" t="s">
        <v>122</v>
      </c>
      <c r="H9" s="15"/>
    </row>
    <row r="10" spans="1:8" x14ac:dyDescent="0.35">
      <c r="A10" s="6" t="s">
        <v>68</v>
      </c>
      <c r="B10" s="7" t="s">
        <v>69</v>
      </c>
      <c r="C10" s="8">
        <v>46083</v>
      </c>
      <c r="D10" s="36">
        <f>VLOOKUP(A10,'Tech Employees'!A8:AB43,28,0)</f>
        <v>40117.750216450004</v>
      </c>
      <c r="E10" s="36">
        <v>62297418711</v>
      </c>
      <c r="F10" s="17" t="s">
        <v>107</v>
      </c>
      <c r="G10" s="17" t="s">
        <v>106</v>
      </c>
      <c r="H10" s="15"/>
    </row>
    <row r="11" spans="1:8" hidden="1" x14ac:dyDescent="0.35">
      <c r="A11" s="6" t="s">
        <v>66</v>
      </c>
      <c r="B11" s="7" t="s">
        <v>67</v>
      </c>
      <c r="C11" s="8">
        <v>46083</v>
      </c>
      <c r="D11" s="36">
        <f>VLOOKUP(A11,'Tech Employees'!A7:AB42,28,0)</f>
        <v>40117.750216450004</v>
      </c>
      <c r="E11" s="37">
        <v>99980130963940</v>
      </c>
      <c r="F11" s="22" t="s">
        <v>225</v>
      </c>
      <c r="G11" s="17" t="s">
        <v>122</v>
      </c>
      <c r="H11" s="15"/>
    </row>
    <row r="12" spans="1:8" x14ac:dyDescent="0.35">
      <c r="A12" s="6" t="s">
        <v>58</v>
      </c>
      <c r="B12" s="7" t="s">
        <v>59</v>
      </c>
      <c r="C12" s="8">
        <v>46083</v>
      </c>
      <c r="D12" s="36">
        <f>VLOOKUP(A12,'Tech Employees'!A3:AB38,28,0)</f>
        <v>37400.47600893709</v>
      </c>
      <c r="E12" s="36">
        <v>50100595290241</v>
      </c>
      <c r="F12" s="36" t="s">
        <v>103</v>
      </c>
      <c r="G12" s="36" t="s">
        <v>51</v>
      </c>
      <c r="H12" s="15"/>
    </row>
    <row r="13" spans="1:8" hidden="1" x14ac:dyDescent="0.35">
      <c r="A13" s="6" t="s">
        <v>62</v>
      </c>
      <c r="B13" s="7" t="s">
        <v>63</v>
      </c>
      <c r="C13" s="8">
        <v>46083</v>
      </c>
      <c r="D13" s="36">
        <f>VLOOKUP(A13,'Tech Employees'!A5:AB40,28,0)</f>
        <v>19486.85066263</v>
      </c>
      <c r="E13" s="37">
        <v>99980130961951</v>
      </c>
      <c r="F13" s="22" t="s">
        <v>225</v>
      </c>
      <c r="G13" s="17" t="s">
        <v>122</v>
      </c>
      <c r="H13" s="15"/>
    </row>
    <row r="14" spans="1:8" x14ac:dyDescent="0.35">
      <c r="A14" s="14" t="s">
        <v>46</v>
      </c>
      <c r="B14" s="14" t="s">
        <v>47</v>
      </c>
      <c r="C14" s="47">
        <v>46066</v>
      </c>
      <c r="D14" s="36">
        <f>VLOOKUP(A14,Consultant!A4:H8,8,0)</f>
        <v>57864.516129032258</v>
      </c>
      <c r="E14" s="38" t="s">
        <v>48</v>
      </c>
      <c r="F14" s="41" t="s">
        <v>49</v>
      </c>
      <c r="G14" s="41" t="s">
        <v>45</v>
      </c>
      <c r="H14" s="15"/>
    </row>
    <row r="15" spans="1:8" hidden="1" x14ac:dyDescent="0.35">
      <c r="A15" s="6" t="s">
        <v>74</v>
      </c>
      <c r="B15" s="7" t="s">
        <v>75</v>
      </c>
      <c r="C15" s="8">
        <v>46083</v>
      </c>
      <c r="D15" s="36">
        <f>VLOOKUP(A15,'Tech Employees'!A11:AB46,28,0)</f>
        <v>44997.500240499998</v>
      </c>
      <c r="E15" s="37">
        <v>99980130961894</v>
      </c>
      <c r="F15" s="22" t="s">
        <v>225</v>
      </c>
      <c r="G15" s="17" t="s">
        <v>122</v>
      </c>
      <c r="H15" s="15"/>
    </row>
    <row r="16" spans="1:8" hidden="1" x14ac:dyDescent="0.35">
      <c r="A16" s="6" t="s">
        <v>78</v>
      </c>
      <c r="B16" s="7" t="s">
        <v>79</v>
      </c>
      <c r="C16" s="8">
        <v>46083</v>
      </c>
      <c r="D16" s="36">
        <f>VLOOKUP(A16,'Tech Employees'!A12:AB48,28,0)</f>
        <v>52926.129311548393</v>
      </c>
      <c r="E16" s="37">
        <v>99980130961878</v>
      </c>
      <c r="F16" s="22" t="s">
        <v>225</v>
      </c>
      <c r="G16" s="17" t="s">
        <v>122</v>
      </c>
      <c r="H16" s="15"/>
    </row>
    <row r="17" spans="1:8" hidden="1" x14ac:dyDescent="0.35">
      <c r="A17" s="14" t="s">
        <v>37</v>
      </c>
      <c r="B17" s="14" t="s">
        <v>39</v>
      </c>
      <c r="C17" s="47">
        <v>46072</v>
      </c>
      <c r="D17" s="36">
        <f>VLOOKUP(A17,Consultant!A5:H9,8,0)</f>
        <v>79800</v>
      </c>
      <c r="E17" s="36">
        <v>99980130963916</v>
      </c>
      <c r="F17" s="22" t="s">
        <v>225</v>
      </c>
      <c r="G17" s="17" t="s">
        <v>122</v>
      </c>
      <c r="H17" s="15"/>
    </row>
    <row r="18" spans="1:8" x14ac:dyDescent="0.35">
      <c r="A18" s="10" t="s">
        <v>170</v>
      </c>
      <c r="B18" s="11" t="s">
        <v>171</v>
      </c>
      <c r="C18" s="8">
        <v>46113</v>
      </c>
      <c r="D18" s="36">
        <f>VLOOKUP(A18,'Tech Employees'!A35:AB72,28,0)</f>
        <v>19486.85066263</v>
      </c>
      <c r="E18" s="39">
        <v>44610100006654</v>
      </c>
      <c r="F18" s="42" t="s">
        <v>193</v>
      </c>
      <c r="G18" s="43" t="s">
        <v>192</v>
      </c>
      <c r="H18" s="15"/>
    </row>
    <row r="19" spans="1:8" x14ac:dyDescent="0.35">
      <c r="A19" s="6" t="s">
        <v>80</v>
      </c>
      <c r="B19" s="7" t="s">
        <v>81</v>
      </c>
      <c r="C19" s="8">
        <v>46083</v>
      </c>
      <c r="D19" s="36">
        <f>VLOOKUP(A19,'Tech Employees'!A13:AB49,28,0)</f>
        <v>54757.0002886</v>
      </c>
      <c r="E19" s="36">
        <v>615728726</v>
      </c>
      <c r="F19" s="36" t="s">
        <v>113</v>
      </c>
      <c r="G19" s="36" t="s">
        <v>114</v>
      </c>
      <c r="H19" s="15"/>
    </row>
    <row r="20" spans="1:8" hidden="1" x14ac:dyDescent="0.35">
      <c r="A20" s="6" t="s">
        <v>82</v>
      </c>
      <c r="B20" s="7" t="s">
        <v>83</v>
      </c>
      <c r="C20" s="8">
        <v>46083</v>
      </c>
      <c r="D20" s="36">
        <f>VLOOKUP(A20,'Tech Employees'!A14:AB50,28,0)</f>
        <v>12639.25043215</v>
      </c>
      <c r="E20" s="37">
        <v>99980130963882</v>
      </c>
      <c r="F20" s="22" t="s">
        <v>225</v>
      </c>
      <c r="G20" s="17" t="s">
        <v>122</v>
      </c>
      <c r="H20" s="15"/>
    </row>
    <row r="21" spans="1:8" hidden="1" x14ac:dyDescent="0.35">
      <c r="A21" s="6" t="s">
        <v>84</v>
      </c>
      <c r="B21" s="7" t="s">
        <v>85</v>
      </c>
      <c r="C21" s="8">
        <v>46083</v>
      </c>
      <c r="D21" s="36">
        <f>VLOOKUP(A21,'Tech Employees'!A15:AB51,28,0)</f>
        <v>30358.250168350001</v>
      </c>
      <c r="E21" s="37">
        <v>99980130961902</v>
      </c>
      <c r="F21" s="22" t="s">
        <v>225</v>
      </c>
      <c r="G21" s="17" t="s">
        <v>122</v>
      </c>
      <c r="H21" s="15"/>
    </row>
    <row r="22" spans="1:8" hidden="1" x14ac:dyDescent="0.35">
      <c r="A22" s="6" t="s">
        <v>86</v>
      </c>
      <c r="B22" s="7" t="s">
        <v>87</v>
      </c>
      <c r="C22" s="8">
        <v>46083</v>
      </c>
      <c r="D22" s="36">
        <f>VLOOKUP(A22,'Tech Employees'!A16:AB52,28,0)</f>
        <v>30358.250168350001</v>
      </c>
      <c r="E22" s="35">
        <v>99980130961761</v>
      </c>
      <c r="F22" s="22" t="s">
        <v>225</v>
      </c>
      <c r="G22" s="17" t="s">
        <v>122</v>
      </c>
      <c r="H22" s="15"/>
    </row>
    <row r="23" spans="1:8" hidden="1" x14ac:dyDescent="0.35">
      <c r="A23" s="10" t="s">
        <v>160</v>
      </c>
      <c r="B23" s="11" t="s">
        <v>161</v>
      </c>
      <c r="C23" s="8">
        <v>46113</v>
      </c>
      <c r="D23" s="36">
        <f>VLOOKUP(A23,'Tech Employees'!A30:AB67,28,0)</f>
        <v>40117.750216450004</v>
      </c>
      <c r="E23" s="35">
        <v>99980130961787</v>
      </c>
      <c r="F23" s="22" t="s">
        <v>225</v>
      </c>
      <c r="G23" s="17" t="s">
        <v>122</v>
      </c>
      <c r="H23" s="15"/>
    </row>
    <row r="24" spans="1:8" x14ac:dyDescent="0.35">
      <c r="A24" s="6" t="s">
        <v>88</v>
      </c>
      <c r="B24" s="6" t="s">
        <v>89</v>
      </c>
      <c r="C24" s="8">
        <v>46083</v>
      </c>
      <c r="D24" s="36">
        <f>VLOOKUP(A24,'Tech Employees'!A17:AB53,28,0)</f>
        <v>18077.656892730975</v>
      </c>
      <c r="E24" s="36">
        <v>37182972098</v>
      </c>
      <c r="F24" s="36" t="s">
        <v>137</v>
      </c>
      <c r="G24" s="36" t="s">
        <v>106</v>
      </c>
      <c r="H24" s="15"/>
    </row>
    <row r="25" spans="1:8" x14ac:dyDescent="0.35">
      <c r="A25" s="6" t="s">
        <v>92</v>
      </c>
      <c r="B25" s="6" t="s">
        <v>93</v>
      </c>
      <c r="C25" s="8">
        <v>46083</v>
      </c>
      <c r="D25" s="36">
        <f>VLOOKUP(A25,'Tech Employees'!A18:AB55,28,0)</f>
        <v>51095.258334496779</v>
      </c>
      <c r="E25" s="36">
        <v>41536691505</v>
      </c>
      <c r="F25" s="36" t="s">
        <v>120</v>
      </c>
      <c r="G25" s="36" t="s">
        <v>106</v>
      </c>
      <c r="H25" s="15"/>
    </row>
    <row r="26" spans="1:8" x14ac:dyDescent="0.35">
      <c r="A26" s="6" t="s">
        <v>94</v>
      </c>
      <c r="B26" s="6" t="s">
        <v>95</v>
      </c>
      <c r="C26" s="8">
        <v>46083</v>
      </c>
      <c r="D26" s="36">
        <f>VLOOKUP(A26,'Tech Employees'!A19:AB56,28,0)</f>
        <v>54757.0002886</v>
      </c>
      <c r="E26" s="36">
        <v>50100141200194</v>
      </c>
      <c r="F26" s="36" t="s">
        <v>121</v>
      </c>
      <c r="G26" s="36" t="s">
        <v>51</v>
      </c>
      <c r="H26" s="15"/>
    </row>
    <row r="27" spans="1:8" hidden="1" x14ac:dyDescent="0.35">
      <c r="A27" s="18" t="s">
        <v>96</v>
      </c>
      <c r="B27" s="18" t="s">
        <v>97</v>
      </c>
      <c r="C27" s="16">
        <v>46086</v>
      </c>
      <c r="D27" s="36">
        <f>VLOOKUP(A27,Employees!3:4,29,0)</f>
        <v>90627.258064516122</v>
      </c>
      <c r="E27" s="35">
        <v>99980130961795</v>
      </c>
      <c r="F27" s="22" t="s">
        <v>225</v>
      </c>
      <c r="G27" s="17" t="s">
        <v>122</v>
      </c>
      <c r="H27" s="15"/>
    </row>
    <row r="28" spans="1:8" hidden="1" x14ac:dyDescent="0.35">
      <c r="A28" s="10" t="s">
        <v>98</v>
      </c>
      <c r="B28" s="11" t="s">
        <v>99</v>
      </c>
      <c r="C28" s="16">
        <v>46092</v>
      </c>
      <c r="D28" s="36">
        <f>VLOOKUP(A28,Consultant!A6:H10,8,0)</f>
        <v>19154.838709677417</v>
      </c>
      <c r="E28" s="35">
        <v>99980130950434</v>
      </c>
      <c r="F28" s="22" t="s">
        <v>225</v>
      </c>
      <c r="G28" s="17" t="s">
        <v>122</v>
      </c>
      <c r="H28" s="15"/>
    </row>
    <row r="29" spans="1:8" hidden="1" x14ac:dyDescent="0.35">
      <c r="A29" s="10" t="s">
        <v>140</v>
      </c>
      <c r="B29" s="11" t="s">
        <v>141</v>
      </c>
      <c r="C29" s="8">
        <v>46113</v>
      </c>
      <c r="D29" s="36">
        <f>VLOOKUP(A29,'Tech Employees'!A20:AB57,28,0)</f>
        <v>29314.43564679032</v>
      </c>
      <c r="E29" s="35">
        <v>15550100112314</v>
      </c>
      <c r="F29" s="22" t="s">
        <v>225</v>
      </c>
      <c r="G29" s="17" t="s">
        <v>122</v>
      </c>
      <c r="H29" s="15"/>
    </row>
    <row r="30" spans="1:8" x14ac:dyDescent="0.35">
      <c r="A30" s="10" t="s">
        <v>142</v>
      </c>
      <c r="B30" s="11" t="s">
        <v>143</v>
      </c>
      <c r="C30" s="8">
        <v>46113</v>
      </c>
      <c r="D30" s="36">
        <f>VLOOKUP(A30,'Tech Employees'!A21:AB58,28,0)</f>
        <v>25478.5008643</v>
      </c>
      <c r="E30" s="40">
        <v>40590710609</v>
      </c>
      <c r="F30" s="42" t="s">
        <v>177</v>
      </c>
      <c r="G30" s="43" t="s">
        <v>106</v>
      </c>
      <c r="H30" s="15"/>
    </row>
    <row r="31" spans="1:8" hidden="1" x14ac:dyDescent="0.35">
      <c r="A31" s="14" t="s">
        <v>175</v>
      </c>
      <c r="B31" s="9" t="s">
        <v>174</v>
      </c>
      <c r="C31" s="8">
        <v>46113</v>
      </c>
      <c r="D31" s="36">
        <f>VLOOKUP(A31,'Tech Employees'!A37:AB74,28,0)</f>
        <v>27748.713864450809</v>
      </c>
      <c r="E31" s="35">
        <v>15550100112330</v>
      </c>
      <c r="F31" s="22" t="s">
        <v>225</v>
      </c>
      <c r="G31" s="17" t="s">
        <v>122</v>
      </c>
      <c r="H31" s="15"/>
    </row>
    <row r="32" spans="1:8" x14ac:dyDescent="0.35">
      <c r="A32" s="10" t="s">
        <v>144</v>
      </c>
      <c r="B32" s="11" t="s">
        <v>145</v>
      </c>
      <c r="C32" s="8">
        <v>46113</v>
      </c>
      <c r="D32" s="36">
        <f>VLOOKUP(A32,'Tech Employees'!A22:AB59,28,0)</f>
        <v>44997.500240499998</v>
      </c>
      <c r="E32" s="39">
        <v>801663119</v>
      </c>
      <c r="F32" s="42" t="s">
        <v>178</v>
      </c>
      <c r="G32" s="43" t="s">
        <v>45</v>
      </c>
      <c r="H32" s="15"/>
    </row>
    <row r="33" spans="1:8" hidden="1" x14ac:dyDescent="0.35">
      <c r="A33" s="10" t="s">
        <v>146</v>
      </c>
      <c r="B33" s="11" t="s">
        <v>147</v>
      </c>
      <c r="C33" s="8">
        <v>46113</v>
      </c>
      <c r="D33" s="36">
        <f>VLOOKUP(A33,'Tech Employees'!A23:AB60,28,0)</f>
        <v>18894.87108008939</v>
      </c>
      <c r="E33" s="39">
        <v>55560103431927</v>
      </c>
      <c r="F33" s="42" t="s">
        <v>180</v>
      </c>
      <c r="G33" s="42" t="s">
        <v>179</v>
      </c>
      <c r="H33" s="15"/>
    </row>
    <row r="34" spans="1:8" hidden="1" x14ac:dyDescent="0.35">
      <c r="A34" s="10" t="s">
        <v>148</v>
      </c>
      <c r="B34" s="11" t="s">
        <v>149</v>
      </c>
      <c r="C34" s="8">
        <v>46113</v>
      </c>
      <c r="D34" s="36">
        <f>VLOOKUP(A34,'Tech Employees'!A24:AB61,28,0)</f>
        <v>12689.25043215</v>
      </c>
      <c r="E34" s="35">
        <v>15550100112355</v>
      </c>
      <c r="F34" s="22" t="s">
        <v>225</v>
      </c>
      <c r="G34" s="17" t="s">
        <v>122</v>
      </c>
      <c r="H34" s="15"/>
    </row>
    <row r="35" spans="1:8" hidden="1" x14ac:dyDescent="0.35">
      <c r="A35" s="10" t="s">
        <v>150</v>
      </c>
      <c r="B35" s="11" t="s">
        <v>151</v>
      </c>
      <c r="C35" s="8">
        <v>46113</v>
      </c>
      <c r="D35" s="36">
        <f>VLOOKUP(A35,'Tech Employees'!A25:AB62,28,0)</f>
        <v>12689.25043215</v>
      </c>
      <c r="E35" s="35">
        <v>15550100112280</v>
      </c>
      <c r="F35" s="22" t="s">
        <v>225</v>
      </c>
      <c r="G35" s="17" t="s">
        <v>122</v>
      </c>
      <c r="H35" s="15"/>
    </row>
    <row r="36" spans="1:8" x14ac:dyDescent="0.35">
      <c r="A36" s="10" t="s">
        <v>152</v>
      </c>
      <c r="B36" s="11" t="s">
        <v>153</v>
      </c>
      <c r="C36" s="8">
        <v>46113</v>
      </c>
      <c r="D36" s="36">
        <f>VLOOKUP(A36,'Tech Employees'!A26:AB63,28,0)</f>
        <v>12689.25043215</v>
      </c>
      <c r="E36" s="40">
        <v>386701504229</v>
      </c>
      <c r="F36" s="42" t="s">
        <v>182</v>
      </c>
      <c r="G36" s="43" t="s">
        <v>45</v>
      </c>
      <c r="H36" s="15"/>
    </row>
    <row r="37" spans="1:8" hidden="1" x14ac:dyDescent="0.35">
      <c r="A37" s="10" t="s">
        <v>156</v>
      </c>
      <c r="B37" s="20" t="s">
        <v>157</v>
      </c>
      <c r="C37" s="8">
        <v>46113</v>
      </c>
      <c r="D37" s="36">
        <f>VLOOKUP(A37,'Tech Employees'!A28:AB65,28,0)</f>
        <v>12689.25043215</v>
      </c>
      <c r="E37" s="35">
        <v>15550100112306</v>
      </c>
      <c r="F37" s="22" t="s">
        <v>225</v>
      </c>
      <c r="G37" s="17" t="s">
        <v>122</v>
      </c>
      <c r="H37" s="15"/>
    </row>
    <row r="38" spans="1:8" hidden="1" x14ac:dyDescent="0.35">
      <c r="A38" s="10" t="s">
        <v>158</v>
      </c>
      <c r="B38" s="20" t="s">
        <v>159</v>
      </c>
      <c r="C38" s="8">
        <v>46113</v>
      </c>
      <c r="D38" s="36">
        <f>VLOOKUP(A38,'Tech Employees'!A29:AB66,28,0)</f>
        <v>12689.25043215</v>
      </c>
      <c r="E38" s="35">
        <v>15550100112298</v>
      </c>
      <c r="F38" s="22" t="s">
        <v>225</v>
      </c>
      <c r="G38" s="17" t="s">
        <v>122</v>
      </c>
      <c r="H38" s="15"/>
    </row>
    <row r="39" spans="1:8" x14ac:dyDescent="0.35">
      <c r="A39" s="10" t="s">
        <v>154</v>
      </c>
      <c r="B39" s="11" t="s">
        <v>155</v>
      </c>
      <c r="C39" s="8">
        <v>46113</v>
      </c>
      <c r="D39" s="36">
        <f>VLOOKUP(A39,'Tech Employees'!A27:AB64,28,0)</f>
        <v>5871.2639383070755</v>
      </c>
      <c r="E39" s="40">
        <v>44652833670</v>
      </c>
      <c r="F39" s="43" t="s">
        <v>183</v>
      </c>
      <c r="G39" s="43" t="s">
        <v>106</v>
      </c>
      <c r="H39" s="15"/>
    </row>
    <row r="40" spans="1:8" x14ac:dyDescent="0.35">
      <c r="A40" s="10" t="s">
        <v>162</v>
      </c>
      <c r="B40" s="11" t="s">
        <v>163</v>
      </c>
      <c r="C40" s="8">
        <v>46113</v>
      </c>
      <c r="D40" s="36">
        <f>VLOOKUP(A40,'Tech Employees'!A31:AB68,28,0)</f>
        <v>40117.750216450004</v>
      </c>
      <c r="E40" s="44">
        <v>37097117593</v>
      </c>
      <c r="F40" s="45" t="s">
        <v>188</v>
      </c>
      <c r="G40" s="43" t="s">
        <v>106</v>
      </c>
      <c r="H40" s="15"/>
    </row>
    <row r="41" spans="1:8" hidden="1" x14ac:dyDescent="0.35">
      <c r="A41" s="10" t="s">
        <v>164</v>
      </c>
      <c r="B41" s="11" t="s">
        <v>165</v>
      </c>
      <c r="C41" s="8">
        <v>46113</v>
      </c>
      <c r="D41" s="36">
        <f>VLOOKUP(A41,'Tech Employees'!A32:AB69,28,0)</f>
        <v>25478.5008643</v>
      </c>
      <c r="E41" s="35">
        <v>99980130961779</v>
      </c>
      <c r="F41" s="22" t="s">
        <v>225</v>
      </c>
      <c r="G41" s="10" t="s">
        <v>122</v>
      </c>
      <c r="H41" s="15"/>
    </row>
    <row r="42" spans="1:8" x14ac:dyDescent="0.35">
      <c r="A42" s="10" t="s">
        <v>166</v>
      </c>
      <c r="B42" s="11" t="s">
        <v>167</v>
      </c>
      <c r="C42" s="8">
        <v>46113</v>
      </c>
      <c r="D42" s="36">
        <f>VLOOKUP(A42,'Tech Employees'!A33:AB70,28,0)</f>
        <v>12303.176791362645</v>
      </c>
      <c r="E42" s="39">
        <v>50100405907963</v>
      </c>
      <c r="F42" s="42" t="s">
        <v>191</v>
      </c>
      <c r="G42" s="45" t="s">
        <v>190</v>
      </c>
      <c r="H42" s="15"/>
    </row>
    <row r="43" spans="1:8" hidden="1" x14ac:dyDescent="0.35">
      <c r="A43" s="10" t="s">
        <v>168</v>
      </c>
      <c r="B43" s="11" t="s">
        <v>169</v>
      </c>
      <c r="C43" s="8">
        <v>46113</v>
      </c>
      <c r="D43" s="36">
        <f>VLOOKUP(A43,'Tech Employees'!A34:AB71,28,0)</f>
        <v>12689.25043215</v>
      </c>
      <c r="E43" s="35">
        <v>15550100112322</v>
      </c>
      <c r="F43" s="22" t="s">
        <v>225</v>
      </c>
      <c r="G43" s="10" t="s">
        <v>122</v>
      </c>
      <c r="H43" s="15"/>
    </row>
    <row r="44" spans="1:8" hidden="1" x14ac:dyDescent="0.35">
      <c r="A44" s="10" t="s">
        <v>172</v>
      </c>
      <c r="B44" s="11" t="s">
        <v>173</v>
      </c>
      <c r="C44" s="8">
        <v>46113</v>
      </c>
      <c r="D44" s="36">
        <f>VLOOKUP(A44,'Tech Employees'!A36:AB73,28,0)</f>
        <v>20342.800691439999</v>
      </c>
      <c r="E44" s="35">
        <v>15550100112363</v>
      </c>
      <c r="F44" s="22" t="s">
        <v>225</v>
      </c>
      <c r="G44" s="10" t="s">
        <v>122</v>
      </c>
      <c r="H44" s="15"/>
    </row>
    <row r="45" spans="1:8" x14ac:dyDescent="0.35">
      <c r="A45" s="10" t="s">
        <v>208</v>
      </c>
      <c r="B45" s="11" t="s">
        <v>203</v>
      </c>
      <c r="C45" s="8">
        <v>46113</v>
      </c>
      <c r="D45" s="36">
        <f>VLOOKUP(A45,'Tech Employees'!A37:AB74,28,0)</f>
        <v>93795.000480999995</v>
      </c>
      <c r="E45" s="39">
        <v>38613963272</v>
      </c>
      <c r="F45" s="22" t="s">
        <v>204</v>
      </c>
      <c r="G45" s="22" t="s">
        <v>106</v>
      </c>
      <c r="H45" s="15"/>
    </row>
    <row r="46" spans="1:8" ht="29" x14ac:dyDescent="0.35">
      <c r="A46" s="10" t="s">
        <v>209</v>
      </c>
      <c r="B46" s="11" t="s">
        <v>205</v>
      </c>
      <c r="C46" s="8">
        <v>46113</v>
      </c>
      <c r="D46" s="36">
        <f>VLOOKUP(A46,'Tech Employees'!A38:AB75,28,0)</f>
        <v>28731.341510331731</v>
      </c>
      <c r="E46" s="39">
        <v>180701000002091</v>
      </c>
      <c r="F46" s="22" t="s">
        <v>206</v>
      </c>
      <c r="G46" s="22" t="s">
        <v>207</v>
      </c>
      <c r="H46" s="15"/>
    </row>
    <row r="47" spans="1:8" x14ac:dyDescent="0.35">
      <c r="A47" s="5"/>
      <c r="B47" s="5"/>
      <c r="C47" s="2"/>
      <c r="D47" s="3"/>
      <c r="E47" s="3"/>
    </row>
    <row r="48" spans="1:8" x14ac:dyDescent="0.35">
      <c r="B48" s="1" t="s">
        <v>34</v>
      </c>
      <c r="C48" s="1"/>
      <c r="D48" s="55">
        <f>SUM(D2:D47)</f>
        <v>1678386.913322771</v>
      </c>
    </row>
  </sheetData>
  <autoFilter ref="A1:H46" xr:uid="{A391748B-F213-475C-ADDF-18924556A258}">
    <filterColumn colId="6">
      <filters>
        <filter val="BANK OF BARODA"/>
        <filter val="Canara Bank"/>
        <filter val="HDFC"/>
        <filter val="HDFC Bank"/>
        <filter val="ICICI Bank"/>
        <filter val="Indian Bank"/>
        <filter val="Indian Overseas Bank"/>
        <filter val="INDUSIND BANK"/>
        <filter val="State Bank of India"/>
      </filters>
    </filterColumn>
    <sortState xmlns:xlrd2="http://schemas.microsoft.com/office/spreadsheetml/2017/richdata2" ref="A2:H44">
      <sortCondition ref="A1"/>
    </sortState>
  </autoFilter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DD9-6648-498D-B8D2-9BA2CD242747}">
  <dimension ref="A1:I15"/>
  <sheetViews>
    <sheetView workbookViewId="0">
      <selection activeCell="M13" sqref="M13"/>
    </sheetView>
  </sheetViews>
  <sheetFormatPr defaultRowHeight="14.5" x14ac:dyDescent="0.35"/>
  <cols>
    <col min="1" max="1" width="4.81640625" customWidth="1"/>
    <col min="2" max="2" width="18.453125" customWidth="1"/>
    <col min="3" max="3" width="8.7265625" customWidth="1"/>
    <col min="4" max="4" width="17" customWidth="1"/>
    <col min="5" max="5" width="10.54296875" customWidth="1"/>
    <col min="6" max="6" width="18.90625" customWidth="1"/>
    <col min="7" max="7" width="13" customWidth="1"/>
    <col min="8" max="8" width="25" customWidth="1"/>
    <col min="9" max="9" width="12.08984375" customWidth="1"/>
  </cols>
  <sheetData>
    <row r="1" spans="1:9" x14ac:dyDescent="0.35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132</v>
      </c>
      <c r="F1" s="12" t="s">
        <v>29</v>
      </c>
      <c r="G1" s="12" t="s">
        <v>30</v>
      </c>
      <c r="H1" s="12" t="s">
        <v>210</v>
      </c>
      <c r="I1" s="12" t="s">
        <v>32</v>
      </c>
    </row>
    <row r="2" spans="1:9" x14ac:dyDescent="0.35">
      <c r="A2" s="15">
        <v>1</v>
      </c>
      <c r="B2" s="15" t="s">
        <v>125</v>
      </c>
      <c r="C2" s="27"/>
      <c r="D2" s="15"/>
      <c r="E2" s="41">
        <v>230000</v>
      </c>
      <c r="F2" s="36">
        <v>32862142889</v>
      </c>
      <c r="G2" s="15" t="s">
        <v>222</v>
      </c>
      <c r="H2" s="15" t="s">
        <v>221</v>
      </c>
      <c r="I2" s="15" t="s">
        <v>176</v>
      </c>
    </row>
    <row r="3" spans="1:9" x14ac:dyDescent="0.35">
      <c r="A3" s="15">
        <v>2</v>
      </c>
      <c r="B3" s="15" t="s">
        <v>133</v>
      </c>
      <c r="C3" s="27">
        <v>22</v>
      </c>
      <c r="D3" s="15">
        <v>1200</v>
      </c>
      <c r="E3" s="41">
        <f>C3*D3</f>
        <v>26400</v>
      </c>
      <c r="F3" s="46" t="s">
        <v>218</v>
      </c>
      <c r="G3" s="15" t="s">
        <v>211</v>
      </c>
      <c r="H3" s="15" t="s">
        <v>212</v>
      </c>
      <c r="I3" s="15" t="s">
        <v>45</v>
      </c>
    </row>
    <row r="4" spans="1:9" x14ac:dyDescent="0.35">
      <c r="A4" s="15">
        <v>3</v>
      </c>
      <c r="B4" s="15" t="s">
        <v>134</v>
      </c>
      <c r="C4" s="27">
        <v>22</v>
      </c>
      <c r="D4" s="15">
        <v>1200</v>
      </c>
      <c r="E4" s="41">
        <f t="shared" ref="E4:E8" si="0">C4*D4</f>
        <v>26400</v>
      </c>
      <c r="F4" s="36">
        <v>653101004326</v>
      </c>
      <c r="G4" s="15" t="s">
        <v>213</v>
      </c>
      <c r="H4" s="15" t="s">
        <v>214</v>
      </c>
      <c r="I4" s="15" t="s">
        <v>45</v>
      </c>
    </row>
    <row r="5" spans="1:9" x14ac:dyDescent="0.35">
      <c r="A5" s="15">
        <v>4</v>
      </c>
      <c r="B5" s="15" t="s">
        <v>135</v>
      </c>
      <c r="C5" s="27">
        <v>30</v>
      </c>
      <c r="D5" s="15">
        <v>1000</v>
      </c>
      <c r="E5" s="41">
        <f t="shared" si="0"/>
        <v>30000</v>
      </c>
      <c r="F5" s="36">
        <v>922020060410761</v>
      </c>
      <c r="G5" s="15" t="s">
        <v>219</v>
      </c>
      <c r="H5" s="15" t="s">
        <v>220</v>
      </c>
      <c r="I5" s="15" t="s">
        <v>200</v>
      </c>
    </row>
    <row r="6" spans="1:9" x14ac:dyDescent="0.35">
      <c r="A6" s="15">
        <v>5</v>
      </c>
      <c r="B6" s="15" t="s">
        <v>136</v>
      </c>
      <c r="C6" s="27">
        <v>30</v>
      </c>
      <c r="D6" s="15">
        <v>1000</v>
      </c>
      <c r="E6" s="41">
        <f t="shared" si="0"/>
        <v>30000</v>
      </c>
      <c r="F6" s="41">
        <v>814649188</v>
      </c>
      <c r="G6" s="15" t="s">
        <v>215</v>
      </c>
      <c r="H6" s="15" t="s">
        <v>216</v>
      </c>
      <c r="I6" s="15" t="s">
        <v>217</v>
      </c>
    </row>
    <row r="7" spans="1:9" x14ac:dyDescent="0.35">
      <c r="A7" s="15">
        <v>6</v>
      </c>
      <c r="B7" s="15" t="s">
        <v>196</v>
      </c>
      <c r="C7" s="27">
        <v>13.5</v>
      </c>
      <c r="D7" s="15">
        <v>1000</v>
      </c>
      <c r="E7" s="41">
        <f t="shared" si="0"/>
        <v>13500</v>
      </c>
      <c r="F7" s="36">
        <v>50100115451901</v>
      </c>
      <c r="G7" s="15" t="s">
        <v>226</v>
      </c>
      <c r="H7" s="15" t="s">
        <v>226</v>
      </c>
      <c r="I7" s="15" t="s">
        <v>190</v>
      </c>
    </row>
    <row r="8" spans="1:9" x14ac:dyDescent="0.35">
      <c r="A8" s="15">
        <v>7</v>
      </c>
      <c r="B8" s="15" t="s">
        <v>197</v>
      </c>
      <c r="C8" s="27">
        <v>19</v>
      </c>
      <c r="D8" s="15">
        <v>800</v>
      </c>
      <c r="E8" s="41">
        <f t="shared" si="0"/>
        <v>15200</v>
      </c>
      <c r="F8" s="41">
        <v>45080524946</v>
      </c>
      <c r="G8" s="15" t="s">
        <v>223</v>
      </c>
      <c r="H8" s="15" t="s">
        <v>224</v>
      </c>
      <c r="I8" s="15" t="s">
        <v>176</v>
      </c>
    </row>
    <row r="9" spans="1:9" ht="42.5" customHeight="1" x14ac:dyDescent="0.35">
      <c r="A9" s="15">
        <v>8</v>
      </c>
      <c r="B9" s="15" t="s">
        <v>235</v>
      </c>
      <c r="C9" s="15"/>
      <c r="D9" s="15"/>
      <c r="E9" s="41">
        <v>160000</v>
      </c>
      <c r="F9" s="36">
        <v>50200062999445</v>
      </c>
      <c r="G9" s="41" t="s">
        <v>228</v>
      </c>
      <c r="H9" s="51" t="s">
        <v>234</v>
      </c>
      <c r="I9" s="41" t="s">
        <v>190</v>
      </c>
    </row>
    <row r="10" spans="1:9" ht="29" customHeight="1" x14ac:dyDescent="0.35">
      <c r="A10" s="15">
        <v>9</v>
      </c>
      <c r="B10" s="52" t="s">
        <v>232</v>
      </c>
      <c r="C10" s="15"/>
      <c r="D10" s="15"/>
      <c r="E10" s="41">
        <v>22583.06</v>
      </c>
      <c r="F10" s="36">
        <v>50200026430541</v>
      </c>
      <c r="G10" s="41" t="s">
        <v>233</v>
      </c>
      <c r="H10" s="52" t="s">
        <v>232</v>
      </c>
      <c r="I10" s="41" t="s">
        <v>190</v>
      </c>
    </row>
    <row r="11" spans="1:9" ht="16.5" customHeight="1" x14ac:dyDescent="0.35">
      <c r="B11" s="54"/>
      <c r="E11" s="49"/>
      <c r="F11" s="37"/>
      <c r="G11" s="49"/>
      <c r="I11" s="49"/>
    </row>
    <row r="12" spans="1:9" x14ac:dyDescent="0.35">
      <c r="B12" s="1" t="s">
        <v>28</v>
      </c>
      <c r="E12" s="53">
        <f>SUM(E2:E10)</f>
        <v>554083.06000000006</v>
      </c>
    </row>
    <row r="13" spans="1:9" x14ac:dyDescent="0.35">
      <c r="G13" s="49"/>
    </row>
    <row r="15" spans="1:9" x14ac:dyDescent="0.35">
      <c r="C15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pane ySplit="1" topLeftCell="A23" activePane="bottomLeft" state="frozen"/>
      <selection pane="bottomLeft" activeCell="G30" sqref="G30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hidden="1" customWidth="1"/>
    <col min="4" max="4" width="16.36328125" hidden="1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2" t="s">
        <v>1</v>
      </c>
      <c r="B1" s="12" t="s">
        <v>0</v>
      </c>
      <c r="C1" s="12" t="s">
        <v>21</v>
      </c>
      <c r="D1" s="12" t="s">
        <v>17</v>
      </c>
      <c r="E1" s="13" t="s">
        <v>29</v>
      </c>
      <c r="F1" s="13" t="s">
        <v>30</v>
      </c>
      <c r="G1" s="13" t="s">
        <v>32</v>
      </c>
      <c r="H1" s="13" t="s">
        <v>55</v>
      </c>
    </row>
    <row r="2" spans="1:8" x14ac:dyDescent="0.35">
      <c r="A2" s="30" t="s">
        <v>76</v>
      </c>
      <c r="B2" s="31" t="s">
        <v>77</v>
      </c>
      <c r="C2" s="32">
        <v>46083</v>
      </c>
      <c r="D2" s="33" t="e">
        <f>VLOOKUP(A2,'Tech Employees'!A12:AB47,28,0)</f>
        <v>#N/A</v>
      </c>
      <c r="E2" s="33">
        <v>50100565431077</v>
      </c>
      <c r="F2" s="33" t="s">
        <v>111</v>
      </c>
      <c r="G2" s="33" t="s">
        <v>51</v>
      </c>
      <c r="H2" s="34" t="s">
        <v>202</v>
      </c>
    </row>
    <row r="3" spans="1:8" x14ac:dyDescent="0.35">
      <c r="A3" s="14" t="s">
        <v>36</v>
      </c>
      <c r="B3" s="15" t="s">
        <v>52</v>
      </c>
      <c r="C3" s="16">
        <v>46054</v>
      </c>
      <c r="D3" s="17">
        <f>VLOOKUP(A3,Consultant!A2:H6,8,0)</f>
        <v>79800</v>
      </c>
      <c r="E3" s="17">
        <v>50100677371816</v>
      </c>
      <c r="F3" s="15" t="s">
        <v>50</v>
      </c>
      <c r="G3" s="15" t="s">
        <v>51</v>
      </c>
      <c r="H3" s="15"/>
    </row>
    <row r="4" spans="1:8" x14ac:dyDescent="0.35">
      <c r="A4" s="14" t="s">
        <v>35</v>
      </c>
      <c r="B4" s="14" t="s">
        <v>38</v>
      </c>
      <c r="C4" s="16">
        <v>46054</v>
      </c>
      <c r="D4" s="17">
        <f>VLOOKUP(A4,Consultant!A3:H7,8,0)</f>
        <v>69800</v>
      </c>
      <c r="E4" s="17">
        <v>154710100018477</v>
      </c>
      <c r="F4" s="15" t="s">
        <v>42</v>
      </c>
      <c r="G4" s="15" t="s">
        <v>43</v>
      </c>
      <c r="H4" s="15"/>
    </row>
    <row r="5" spans="1:8" x14ac:dyDescent="0.35">
      <c r="A5" s="18" t="s">
        <v>27</v>
      </c>
      <c r="B5" s="18" t="s">
        <v>26</v>
      </c>
      <c r="C5" s="16">
        <v>46062</v>
      </c>
      <c r="D5" s="17">
        <f>VLOOKUP(A5,Employees!2:3,29,0)</f>
        <v>65329.466350000002</v>
      </c>
      <c r="E5" s="17">
        <v>41280100007853</v>
      </c>
      <c r="F5" s="15" t="s">
        <v>31</v>
      </c>
      <c r="G5" s="15" t="s">
        <v>33</v>
      </c>
      <c r="H5" s="15"/>
    </row>
    <row r="6" spans="1:8" x14ac:dyDescent="0.35">
      <c r="A6" s="6" t="s">
        <v>60</v>
      </c>
      <c r="B6" s="7" t="s">
        <v>61</v>
      </c>
      <c r="C6" s="8">
        <v>46083</v>
      </c>
      <c r="D6" s="17">
        <f>VLOOKUP(A6,'Tech Employees'!A4:AB39,28,0)</f>
        <v>54757.0002886</v>
      </c>
      <c r="E6" s="17">
        <v>62428832885</v>
      </c>
      <c r="F6" s="17" t="s">
        <v>138</v>
      </c>
      <c r="G6" s="17" t="s">
        <v>106</v>
      </c>
      <c r="H6" s="15"/>
    </row>
    <row r="7" spans="1:8" x14ac:dyDescent="0.35">
      <c r="A7" s="6" t="s">
        <v>56</v>
      </c>
      <c r="B7" s="7" t="s">
        <v>57</v>
      </c>
      <c r="C7" s="8">
        <v>46083</v>
      </c>
      <c r="D7" s="17">
        <f>VLOOKUP(A7,'Tech Employees'!A2:AB37,28,0)</f>
        <v>40117.750216450004</v>
      </c>
      <c r="E7" s="17">
        <v>3327101004003</v>
      </c>
      <c r="F7" s="17" t="s">
        <v>101</v>
      </c>
      <c r="G7" s="17" t="s">
        <v>102</v>
      </c>
      <c r="H7" s="15"/>
    </row>
    <row r="8" spans="1:8" x14ac:dyDescent="0.35">
      <c r="A8" s="6" t="s">
        <v>72</v>
      </c>
      <c r="B8" s="7" t="s">
        <v>73</v>
      </c>
      <c r="C8" s="8">
        <v>46083</v>
      </c>
      <c r="D8" s="17">
        <f>VLOOKUP(A8,'Tech Employees'!A10:AB45,28,0)</f>
        <v>40117.750216450004</v>
      </c>
      <c r="E8" s="17">
        <v>159502740717</v>
      </c>
      <c r="F8" s="17" t="s">
        <v>108</v>
      </c>
      <c r="G8" s="17" t="s">
        <v>109</v>
      </c>
      <c r="H8" s="15"/>
    </row>
    <row r="9" spans="1:8" x14ac:dyDescent="0.35">
      <c r="A9" s="6" t="s">
        <v>64</v>
      </c>
      <c r="B9" s="7" t="s">
        <v>65</v>
      </c>
      <c r="C9" s="8">
        <v>46083</v>
      </c>
      <c r="D9" s="17">
        <f>VLOOKUP(A9,'Tech Employees'!A6:AB41,28,0)</f>
        <v>44997.500240499998</v>
      </c>
      <c r="E9" s="17">
        <v>77770116800885</v>
      </c>
      <c r="F9" s="17" t="s">
        <v>104</v>
      </c>
      <c r="G9" s="17" t="s">
        <v>122</v>
      </c>
      <c r="H9" s="15"/>
    </row>
    <row r="10" spans="1:8" x14ac:dyDescent="0.35">
      <c r="A10" s="6" t="s">
        <v>70</v>
      </c>
      <c r="B10" s="7" t="s">
        <v>71</v>
      </c>
      <c r="C10" s="8">
        <v>46083</v>
      </c>
      <c r="D10" s="17">
        <f>VLOOKUP(A10,'Tech Employees'!A9:AB44,28,0)</f>
        <v>40117.750216450004</v>
      </c>
      <c r="E10" s="17">
        <v>1446178000009710</v>
      </c>
      <c r="F10" s="17" t="s">
        <v>126</v>
      </c>
      <c r="G10" s="17" t="s">
        <v>127</v>
      </c>
      <c r="H10" s="15"/>
    </row>
    <row r="11" spans="1:8" x14ac:dyDescent="0.35">
      <c r="A11" s="6" t="s">
        <v>68</v>
      </c>
      <c r="B11" s="7" t="s">
        <v>69</v>
      </c>
      <c r="C11" s="8">
        <v>46083</v>
      </c>
      <c r="D11" s="17">
        <f>VLOOKUP(A11,'Tech Employees'!A8:AB43,28,0)</f>
        <v>40117.750216450004</v>
      </c>
      <c r="E11" s="17">
        <v>62297418711</v>
      </c>
      <c r="F11" s="17" t="s">
        <v>107</v>
      </c>
      <c r="G11" s="17" t="s">
        <v>106</v>
      </c>
      <c r="H11" s="15"/>
    </row>
    <row r="12" spans="1:8" x14ac:dyDescent="0.35">
      <c r="A12" s="6" t="s">
        <v>66</v>
      </c>
      <c r="B12" s="7" t="s">
        <v>67</v>
      </c>
      <c r="C12" s="8">
        <v>46083</v>
      </c>
      <c r="D12" s="17">
        <f>VLOOKUP(A12,'Tech Employees'!A7:AB42,28,0)</f>
        <v>40117.750216450004</v>
      </c>
      <c r="E12" s="17">
        <v>41085488775</v>
      </c>
      <c r="F12" s="17" t="s">
        <v>105</v>
      </c>
      <c r="G12" s="17" t="s">
        <v>106</v>
      </c>
      <c r="H12" s="15"/>
    </row>
    <row r="13" spans="1:8" x14ac:dyDescent="0.35">
      <c r="A13" s="6" t="s">
        <v>58</v>
      </c>
      <c r="B13" s="7" t="s">
        <v>59</v>
      </c>
      <c r="C13" s="8">
        <v>46083</v>
      </c>
      <c r="D13" s="17">
        <f>VLOOKUP(A13,'Tech Employees'!A3:AB38,28,0)</f>
        <v>37400.47600893709</v>
      </c>
      <c r="E13" s="17">
        <v>50100595290241</v>
      </c>
      <c r="F13" s="17" t="s">
        <v>103</v>
      </c>
      <c r="G13" s="17" t="s">
        <v>51</v>
      </c>
      <c r="H13" s="15"/>
    </row>
    <row r="14" spans="1:8" x14ac:dyDescent="0.35">
      <c r="A14" s="6" t="s">
        <v>62</v>
      </c>
      <c r="B14" s="7" t="s">
        <v>63</v>
      </c>
      <c r="C14" s="8">
        <v>46083</v>
      </c>
      <c r="D14" s="17">
        <f>VLOOKUP(A14,'Tech Employees'!A5:AB40,28,0)</f>
        <v>19486.85066263</v>
      </c>
      <c r="E14" s="17">
        <v>62442668281</v>
      </c>
      <c r="F14" s="17" t="s">
        <v>139</v>
      </c>
      <c r="G14" s="17" t="s">
        <v>106</v>
      </c>
      <c r="H14" s="15"/>
    </row>
    <row r="15" spans="1:8" x14ac:dyDescent="0.35">
      <c r="A15" s="14" t="s">
        <v>46</v>
      </c>
      <c r="B15" s="14" t="s">
        <v>47</v>
      </c>
      <c r="C15" s="16">
        <v>46066</v>
      </c>
      <c r="D15" s="17">
        <f>VLOOKUP(A15,Consultant!A4:H8,8,0)</f>
        <v>57864.516129032258</v>
      </c>
      <c r="E15" s="19" t="s">
        <v>48</v>
      </c>
      <c r="F15" s="15" t="s">
        <v>49</v>
      </c>
      <c r="G15" s="15" t="s">
        <v>45</v>
      </c>
      <c r="H15" s="15"/>
    </row>
    <row r="16" spans="1:8" x14ac:dyDescent="0.35">
      <c r="A16" s="6" t="s">
        <v>74</v>
      </c>
      <c r="B16" s="7" t="s">
        <v>75</v>
      </c>
      <c r="C16" s="8">
        <v>46083</v>
      </c>
      <c r="D16" s="17">
        <f>VLOOKUP(A16,'Tech Employees'!A11:AB46,28,0)</f>
        <v>44997.500240499998</v>
      </c>
      <c r="E16" s="17">
        <v>39569845546</v>
      </c>
      <c r="F16" s="17" t="s">
        <v>110</v>
      </c>
      <c r="G16" s="17" t="s">
        <v>106</v>
      </c>
      <c r="H16" s="15"/>
    </row>
    <row r="17" spans="1:8" x14ac:dyDescent="0.35">
      <c r="A17" s="6" t="s">
        <v>78</v>
      </c>
      <c r="B17" s="7" t="s">
        <v>79</v>
      </c>
      <c r="C17" s="8">
        <v>46083</v>
      </c>
      <c r="D17" s="17">
        <f>VLOOKUP(A17,'Tech Employees'!A12:AB48,28,0)</f>
        <v>52926.129311548393</v>
      </c>
      <c r="E17" s="17">
        <v>41202390653</v>
      </c>
      <c r="F17" s="17" t="s">
        <v>112</v>
      </c>
      <c r="G17" s="17" t="s">
        <v>106</v>
      </c>
      <c r="H17" s="15"/>
    </row>
    <row r="18" spans="1:8" x14ac:dyDescent="0.35">
      <c r="A18" s="14" t="s">
        <v>37</v>
      </c>
      <c r="B18" s="14" t="s">
        <v>39</v>
      </c>
      <c r="C18" s="16">
        <v>46072</v>
      </c>
      <c r="D18" s="17">
        <f>VLOOKUP(A18,Consultant!A5:H9,8,0)</f>
        <v>79800</v>
      </c>
      <c r="E18" s="17">
        <v>770301501355</v>
      </c>
      <c r="F18" s="15" t="s">
        <v>44</v>
      </c>
      <c r="G18" s="15" t="s">
        <v>45</v>
      </c>
      <c r="H18" s="15"/>
    </row>
    <row r="19" spans="1:8" x14ac:dyDescent="0.35">
      <c r="A19" s="10" t="s">
        <v>170</v>
      </c>
      <c r="B19" s="11" t="s">
        <v>171</v>
      </c>
      <c r="C19" s="8">
        <v>46113</v>
      </c>
      <c r="D19" s="17">
        <f>VLOOKUP(A19,'Tech Employees'!A35:AB72,28,0)</f>
        <v>19486.85066263</v>
      </c>
      <c r="E19" s="23">
        <v>44610100006654</v>
      </c>
      <c r="F19" s="22" t="s">
        <v>193</v>
      </c>
      <c r="G19" s="10" t="s">
        <v>192</v>
      </c>
      <c r="H19" s="15"/>
    </row>
    <row r="20" spans="1:8" x14ac:dyDescent="0.35">
      <c r="A20" s="6" t="s">
        <v>80</v>
      </c>
      <c r="B20" s="7" t="s">
        <v>81</v>
      </c>
      <c r="C20" s="8">
        <v>46083</v>
      </c>
      <c r="D20" s="17">
        <f>VLOOKUP(A20,'Tech Employees'!A13:AB49,28,0)</f>
        <v>54757.0002886</v>
      </c>
      <c r="E20" s="17">
        <v>615728726</v>
      </c>
      <c r="F20" s="17" t="s">
        <v>113</v>
      </c>
      <c r="G20" s="17" t="s">
        <v>114</v>
      </c>
      <c r="H20" s="15"/>
    </row>
    <row r="21" spans="1:8" x14ac:dyDescent="0.35">
      <c r="A21" s="6" t="s">
        <v>82</v>
      </c>
      <c r="B21" s="7" t="s">
        <v>83</v>
      </c>
      <c r="C21" s="8">
        <v>46083</v>
      </c>
      <c r="D21" s="17">
        <f>VLOOKUP(A21,'Tech Employees'!A14:AB50,28,0)</f>
        <v>12639.25043215</v>
      </c>
      <c r="E21" s="17">
        <v>9147600708</v>
      </c>
      <c r="F21" s="17" t="s">
        <v>115</v>
      </c>
      <c r="G21" s="17" t="s">
        <v>116</v>
      </c>
      <c r="H21" s="15"/>
    </row>
    <row r="22" spans="1:8" x14ac:dyDescent="0.35">
      <c r="A22" s="6" t="s">
        <v>84</v>
      </c>
      <c r="B22" s="7" t="s">
        <v>85</v>
      </c>
      <c r="C22" s="8">
        <v>46083</v>
      </c>
      <c r="D22" s="17">
        <f>VLOOKUP(A22,'Tech Employees'!A15:AB51,28,0)</f>
        <v>30358.250168350001</v>
      </c>
      <c r="E22" s="17">
        <v>7445588605</v>
      </c>
      <c r="F22" s="17" t="s">
        <v>117</v>
      </c>
      <c r="G22" s="17" t="s">
        <v>116</v>
      </c>
      <c r="H22" s="15"/>
    </row>
    <row r="23" spans="1:8" x14ac:dyDescent="0.35">
      <c r="A23" s="6" t="s">
        <v>86</v>
      </c>
      <c r="B23" s="7" t="s">
        <v>87</v>
      </c>
      <c r="C23" s="8">
        <v>46083</v>
      </c>
      <c r="D23" s="17">
        <f>VLOOKUP(A23,'Tech Employees'!A16:AB52,28,0)</f>
        <v>30358.250168350001</v>
      </c>
      <c r="E23" s="17">
        <v>4495101004331</v>
      </c>
      <c r="F23" s="17" t="s">
        <v>118</v>
      </c>
      <c r="G23" s="17" t="s">
        <v>102</v>
      </c>
      <c r="H23" s="15"/>
    </row>
    <row r="24" spans="1:8" x14ac:dyDescent="0.35">
      <c r="A24" s="10" t="s">
        <v>160</v>
      </c>
      <c r="B24" s="11" t="s">
        <v>161</v>
      </c>
      <c r="C24" s="8">
        <v>46113</v>
      </c>
      <c r="D24" s="17">
        <f>VLOOKUP(A24,'Tech Employees'!A30:AB67,28,0)</f>
        <v>40117.750216450004</v>
      </c>
      <c r="E24" s="24">
        <v>20086309269</v>
      </c>
      <c r="F24" s="22" t="s">
        <v>187</v>
      </c>
      <c r="G24" s="10" t="s">
        <v>106</v>
      </c>
      <c r="H24" s="15"/>
    </row>
    <row r="25" spans="1:8" x14ac:dyDescent="0.35">
      <c r="A25" s="6" t="s">
        <v>88</v>
      </c>
      <c r="B25" s="6" t="s">
        <v>89</v>
      </c>
      <c r="C25" s="8">
        <v>46083</v>
      </c>
      <c r="D25" s="17">
        <f>VLOOKUP(A25,'Tech Employees'!A17:AB53,28,0)</f>
        <v>18077.656892730975</v>
      </c>
      <c r="E25" s="17">
        <v>37182972098</v>
      </c>
      <c r="F25" s="17" t="s">
        <v>137</v>
      </c>
      <c r="G25" s="17" t="s">
        <v>106</v>
      </c>
      <c r="H25" s="15"/>
    </row>
    <row r="26" spans="1:8" x14ac:dyDescent="0.35">
      <c r="A26" s="6" t="s">
        <v>90</v>
      </c>
      <c r="B26" s="6" t="s">
        <v>91</v>
      </c>
      <c r="C26" s="8">
        <v>46083</v>
      </c>
      <c r="D26" s="17" t="e">
        <f>VLOOKUP(A26,'Tech Employees'!A18:AB54,28,0)</f>
        <v>#N/A</v>
      </c>
      <c r="E26" s="17">
        <v>39971511897</v>
      </c>
      <c r="F26" s="17" t="s">
        <v>119</v>
      </c>
      <c r="G26" s="17" t="s">
        <v>106</v>
      </c>
      <c r="H26" s="15"/>
    </row>
    <row r="27" spans="1:8" x14ac:dyDescent="0.35">
      <c r="A27" s="6" t="s">
        <v>92</v>
      </c>
      <c r="B27" s="6" t="s">
        <v>93</v>
      </c>
      <c r="C27" s="8">
        <v>46083</v>
      </c>
      <c r="D27" s="17">
        <f>VLOOKUP(A27,'Tech Employees'!A18:AB55,28,0)</f>
        <v>51095.258334496779</v>
      </c>
      <c r="E27" s="17">
        <v>41536691505</v>
      </c>
      <c r="F27" s="17" t="s">
        <v>120</v>
      </c>
      <c r="G27" s="17" t="s">
        <v>106</v>
      </c>
      <c r="H27" s="15"/>
    </row>
    <row r="28" spans="1:8" x14ac:dyDescent="0.35">
      <c r="A28" s="6" t="s">
        <v>94</v>
      </c>
      <c r="B28" s="6" t="s">
        <v>95</v>
      </c>
      <c r="C28" s="8">
        <v>46083</v>
      </c>
      <c r="D28" s="17">
        <f>VLOOKUP(A28,'Tech Employees'!A19:AB56,28,0)</f>
        <v>54757.0002886</v>
      </c>
      <c r="E28" s="17">
        <v>50100141200194</v>
      </c>
      <c r="F28" s="17" t="s">
        <v>121</v>
      </c>
      <c r="G28" s="17" t="s">
        <v>51</v>
      </c>
      <c r="H28" s="15"/>
    </row>
    <row r="29" spans="1:8" x14ac:dyDescent="0.35">
      <c r="A29" s="18" t="s">
        <v>96</v>
      </c>
      <c r="B29" s="18" t="s">
        <v>97</v>
      </c>
      <c r="C29" s="16">
        <v>46086</v>
      </c>
      <c r="D29" s="17">
        <f>VLOOKUP(A29,Employees!3:4,29,0)</f>
        <v>90627.258064516122</v>
      </c>
      <c r="E29" s="25" t="s">
        <v>198</v>
      </c>
      <c r="F29" s="26" t="s">
        <v>195</v>
      </c>
      <c r="G29" s="14" t="s">
        <v>51</v>
      </c>
      <c r="H29" s="15"/>
    </row>
    <row r="30" spans="1:8" x14ac:dyDescent="0.35">
      <c r="A30" s="10" t="s">
        <v>98</v>
      </c>
      <c r="B30" s="11" t="s">
        <v>99</v>
      </c>
      <c r="C30" s="16">
        <v>46092</v>
      </c>
      <c r="D30" s="17">
        <f>VLOOKUP(A30,Consultant!A6:H10,8,0)</f>
        <v>19154.838709677417</v>
      </c>
      <c r="E30" s="17">
        <v>50100743220366</v>
      </c>
      <c r="F30" s="17" t="s">
        <v>124</v>
      </c>
      <c r="G30" s="17" t="s">
        <v>51</v>
      </c>
      <c r="H30" s="15"/>
    </row>
    <row r="31" spans="1:8" x14ac:dyDescent="0.35">
      <c r="A31" s="10" t="s">
        <v>140</v>
      </c>
      <c r="B31" s="11" t="s">
        <v>141</v>
      </c>
      <c r="C31" s="8">
        <v>46113</v>
      </c>
      <c r="D31" s="17">
        <f>VLOOKUP(A31,'Tech Employees'!A20:AB57,28,0)</f>
        <v>29314.43564679032</v>
      </c>
      <c r="E31" s="17">
        <v>920010070801185</v>
      </c>
      <c r="F31" s="15" t="s">
        <v>199</v>
      </c>
      <c r="G31" s="10" t="s">
        <v>200</v>
      </c>
      <c r="H31" s="15"/>
    </row>
    <row r="32" spans="1:8" x14ac:dyDescent="0.35">
      <c r="A32" s="10" t="s">
        <v>142</v>
      </c>
      <c r="B32" s="11" t="s">
        <v>143</v>
      </c>
      <c r="C32" s="8">
        <v>46113</v>
      </c>
      <c r="D32" s="17">
        <f>VLOOKUP(A32,'Tech Employees'!A21:AB58,28,0)</f>
        <v>25478.5008643</v>
      </c>
      <c r="E32" s="21">
        <v>40590710609</v>
      </c>
      <c r="F32" s="22" t="s">
        <v>177</v>
      </c>
      <c r="G32" s="22" t="s">
        <v>176</v>
      </c>
      <c r="H32" s="15"/>
    </row>
    <row r="33" spans="1:8" x14ac:dyDescent="0.35">
      <c r="A33" s="14" t="s">
        <v>175</v>
      </c>
      <c r="B33" s="9" t="s">
        <v>174</v>
      </c>
      <c r="C33" s="8">
        <v>46113</v>
      </c>
      <c r="D33" s="17">
        <f>VLOOKUP(A33,'Tech Employees'!A37:AB74,28,0)</f>
        <v>27748.713864450809</v>
      </c>
      <c r="E33" s="23">
        <v>111101513423</v>
      </c>
      <c r="F33" s="10" t="s">
        <v>201</v>
      </c>
      <c r="G33" s="17" t="s">
        <v>45</v>
      </c>
      <c r="H33" s="15"/>
    </row>
    <row r="34" spans="1:8" x14ac:dyDescent="0.35">
      <c r="A34" s="10" t="s">
        <v>144</v>
      </c>
      <c r="B34" s="11" t="s">
        <v>145</v>
      </c>
      <c r="C34" s="8">
        <v>46113</v>
      </c>
      <c r="D34" s="17">
        <f>VLOOKUP(A34,'Tech Employees'!A22:AB59,28,0)</f>
        <v>44997.500240499998</v>
      </c>
      <c r="E34" s="23">
        <v>801663119</v>
      </c>
      <c r="F34" s="22" t="s">
        <v>178</v>
      </c>
      <c r="G34" s="10" t="s">
        <v>45</v>
      </c>
      <c r="H34" s="15"/>
    </row>
    <row r="35" spans="1:8" x14ac:dyDescent="0.35">
      <c r="A35" s="10" t="s">
        <v>146</v>
      </c>
      <c r="B35" s="11" t="s">
        <v>147</v>
      </c>
      <c r="C35" s="8">
        <v>46113</v>
      </c>
      <c r="D35" s="17">
        <f>VLOOKUP(A35,'Tech Employees'!A23:AB60,28,0)</f>
        <v>18894.87108008939</v>
      </c>
      <c r="E35" s="23">
        <v>55560103431927</v>
      </c>
      <c r="F35" s="22" t="s">
        <v>180</v>
      </c>
      <c r="G35" s="22" t="s">
        <v>179</v>
      </c>
      <c r="H35" s="15"/>
    </row>
    <row r="36" spans="1:8" x14ac:dyDescent="0.35">
      <c r="A36" s="10" t="s">
        <v>148</v>
      </c>
      <c r="B36" s="11" t="s">
        <v>149</v>
      </c>
      <c r="C36" s="8">
        <v>46113</v>
      </c>
      <c r="D36" s="17">
        <f>VLOOKUP(A36,'Tech Employees'!A24:AB61,28,0)</f>
        <v>12689.25043215</v>
      </c>
      <c r="E36" s="21">
        <v>55560103536675</v>
      </c>
      <c r="F36" s="10" t="s">
        <v>194</v>
      </c>
      <c r="G36" s="22" t="s">
        <v>179</v>
      </c>
      <c r="H36" s="15"/>
    </row>
    <row r="37" spans="1:8" x14ac:dyDescent="0.35">
      <c r="A37" s="10" t="s">
        <v>150</v>
      </c>
      <c r="B37" s="11" t="s">
        <v>151</v>
      </c>
      <c r="C37" s="8">
        <v>46113</v>
      </c>
      <c r="D37" s="17">
        <f>VLOOKUP(A37,'Tech Employees'!A25:AB62,28,0)</f>
        <v>12689.25043215</v>
      </c>
      <c r="E37" s="21">
        <v>110240929810</v>
      </c>
      <c r="F37" s="22" t="s">
        <v>181</v>
      </c>
      <c r="G37" s="10" t="s">
        <v>102</v>
      </c>
      <c r="H37" s="15"/>
    </row>
    <row r="38" spans="1:8" x14ac:dyDescent="0.35">
      <c r="A38" s="10" t="s">
        <v>152</v>
      </c>
      <c r="B38" s="11" t="s">
        <v>153</v>
      </c>
      <c r="C38" s="8">
        <v>46113</v>
      </c>
      <c r="D38" s="17">
        <f>VLOOKUP(A38,'Tech Employees'!A26:AB63,28,0)</f>
        <v>12689.25043215</v>
      </c>
      <c r="E38" s="21">
        <v>386701504229</v>
      </c>
      <c r="F38" s="22" t="s">
        <v>182</v>
      </c>
      <c r="G38" s="10" t="s">
        <v>45</v>
      </c>
      <c r="H38" s="15"/>
    </row>
    <row r="39" spans="1:8" x14ac:dyDescent="0.35">
      <c r="A39" s="10" t="s">
        <v>156</v>
      </c>
      <c r="B39" s="20" t="s">
        <v>157</v>
      </c>
      <c r="C39" s="8">
        <v>46113</v>
      </c>
      <c r="D39" s="17">
        <f>VLOOKUP(A39,'Tech Employees'!A28:AB65,28,0)</f>
        <v>12689.25043215</v>
      </c>
      <c r="E39" s="23">
        <v>520101254028703</v>
      </c>
      <c r="F39" s="22" t="s">
        <v>185</v>
      </c>
      <c r="G39" s="10" t="s">
        <v>184</v>
      </c>
      <c r="H39" s="15"/>
    </row>
    <row r="40" spans="1:8" x14ac:dyDescent="0.35">
      <c r="A40" s="10" t="s">
        <v>158</v>
      </c>
      <c r="B40" s="20" t="s">
        <v>159</v>
      </c>
      <c r="C40" s="8">
        <v>46113</v>
      </c>
      <c r="D40" s="17">
        <f>VLOOKUP(A40,'Tech Employees'!A29:AB66,28,0)</f>
        <v>12689.25043215</v>
      </c>
      <c r="E40" s="23">
        <v>263812010000686</v>
      </c>
      <c r="F40" s="22" t="s">
        <v>185</v>
      </c>
      <c r="G40" s="22" t="s">
        <v>186</v>
      </c>
      <c r="H40" s="15"/>
    </row>
    <row r="41" spans="1:8" x14ac:dyDescent="0.35">
      <c r="A41" s="10" t="s">
        <v>154</v>
      </c>
      <c r="B41" s="11" t="s">
        <v>155</v>
      </c>
      <c r="C41" s="8">
        <v>46113</v>
      </c>
      <c r="D41" s="17">
        <f>VLOOKUP(A41,'Tech Employees'!A27:AB64,28,0)</f>
        <v>5871.2639383070755</v>
      </c>
      <c r="E41" s="21">
        <v>44652833670</v>
      </c>
      <c r="F41" s="10" t="s">
        <v>183</v>
      </c>
      <c r="G41" s="10" t="s">
        <v>106</v>
      </c>
      <c r="H41" s="15"/>
    </row>
    <row r="42" spans="1:8" x14ac:dyDescent="0.35">
      <c r="A42" s="10" t="s">
        <v>162</v>
      </c>
      <c r="B42" s="11" t="s">
        <v>163</v>
      </c>
      <c r="C42" s="8">
        <v>46113</v>
      </c>
      <c r="D42" s="17">
        <f>VLOOKUP(A42,'Tech Employees'!A31:AB68,28,0)</f>
        <v>40117.750216450004</v>
      </c>
      <c r="E42" s="24">
        <v>37097117593</v>
      </c>
      <c r="F42" s="11" t="s">
        <v>188</v>
      </c>
      <c r="G42" s="10" t="s">
        <v>106</v>
      </c>
      <c r="H42" s="15"/>
    </row>
    <row r="43" spans="1:8" x14ac:dyDescent="0.35">
      <c r="A43" s="10" t="s">
        <v>164</v>
      </c>
      <c r="B43" s="11" t="s">
        <v>165</v>
      </c>
      <c r="C43" s="8">
        <v>46113</v>
      </c>
      <c r="D43" s="17">
        <f>VLOOKUP(A43,'Tech Employees'!A32:AB69,28,0)</f>
        <v>25478.5008643</v>
      </c>
      <c r="E43" s="24">
        <v>62478238609</v>
      </c>
      <c r="F43" s="11" t="s">
        <v>189</v>
      </c>
      <c r="G43" s="10" t="s">
        <v>106</v>
      </c>
      <c r="H43" s="15"/>
    </row>
    <row r="44" spans="1:8" x14ac:dyDescent="0.35">
      <c r="A44" s="10" t="s">
        <v>166</v>
      </c>
      <c r="B44" s="11" t="s">
        <v>167</v>
      </c>
      <c r="C44" s="8">
        <v>46113</v>
      </c>
      <c r="D44" s="17">
        <f>VLOOKUP(A44,'Tech Employees'!A33:AB70,28,0)</f>
        <v>12303.176791362645</v>
      </c>
      <c r="E44" s="23">
        <v>50100405907963</v>
      </c>
      <c r="F44" s="22" t="s">
        <v>191</v>
      </c>
      <c r="G44" s="11" t="s">
        <v>190</v>
      </c>
      <c r="H44" s="15"/>
    </row>
    <row r="45" spans="1:8" x14ac:dyDescent="0.35">
      <c r="A45" s="10" t="s">
        <v>168</v>
      </c>
      <c r="B45" s="11" t="s">
        <v>169</v>
      </c>
      <c r="C45" s="8">
        <v>46113</v>
      </c>
      <c r="D45" s="17">
        <f>VLOOKUP(A45,'Tech Employees'!A34:AB71,28,0)</f>
        <v>12689.25043215</v>
      </c>
      <c r="E45" s="23">
        <v>55560103507254</v>
      </c>
      <c r="F45" s="22" t="s">
        <v>180</v>
      </c>
      <c r="G45" s="22" t="s">
        <v>179</v>
      </c>
      <c r="H45" s="15"/>
    </row>
    <row r="46" spans="1:8" x14ac:dyDescent="0.35">
      <c r="A46" s="10" t="s">
        <v>172</v>
      </c>
      <c r="B46" s="11" t="s">
        <v>173</v>
      </c>
      <c r="C46" s="8">
        <v>46113</v>
      </c>
      <c r="D46" s="17">
        <f>VLOOKUP(A46,'Tech Employees'!A36:AB73,28,0)</f>
        <v>20342.800691439999</v>
      </c>
      <c r="E46" s="23">
        <v>55560103427925</v>
      </c>
      <c r="F46" s="22" t="s">
        <v>180</v>
      </c>
      <c r="G46" s="22" t="s">
        <v>122</v>
      </c>
      <c r="H46" s="15"/>
    </row>
    <row r="47" spans="1:8" x14ac:dyDescent="0.35">
      <c r="A47" s="10" t="s">
        <v>208</v>
      </c>
      <c r="B47" s="11" t="s">
        <v>203</v>
      </c>
      <c r="C47" s="8">
        <v>46113</v>
      </c>
      <c r="D47" s="17">
        <f>VLOOKUP(A47,'Tech Employees'!A37:AB74,28,0)</f>
        <v>93795.000480999995</v>
      </c>
      <c r="E47" s="23">
        <v>38613963272</v>
      </c>
      <c r="F47" s="22" t="s">
        <v>204</v>
      </c>
      <c r="G47" s="22" t="s">
        <v>106</v>
      </c>
      <c r="H47" s="15"/>
    </row>
    <row r="48" spans="1:8" x14ac:dyDescent="0.35">
      <c r="A48" s="10" t="s">
        <v>209</v>
      </c>
      <c r="B48" s="11" t="s">
        <v>205</v>
      </c>
      <c r="C48" s="8">
        <v>46113</v>
      </c>
      <c r="D48" s="17">
        <f>VLOOKUP(A48,'Tech Employees'!A38:AB75,28,0)</f>
        <v>28731.341510331731</v>
      </c>
      <c r="E48" s="23">
        <v>180701000002091</v>
      </c>
      <c r="F48" s="22" t="s">
        <v>206</v>
      </c>
      <c r="G48" s="22" t="s">
        <v>207</v>
      </c>
      <c r="H48" s="15"/>
    </row>
    <row r="49" spans="1:5" x14ac:dyDescent="0.35">
      <c r="A49" s="5"/>
      <c r="B49" s="5"/>
      <c r="C49" s="2"/>
      <c r="D49" s="3"/>
      <c r="E49" s="3"/>
    </row>
    <row r="50" spans="1:5" x14ac:dyDescent="0.35">
      <c r="B50" s="1" t="s">
        <v>34</v>
      </c>
      <c r="C50" s="1"/>
      <c r="D50" s="4" t="e">
        <f>SUM(D3:D49)</f>
        <v>#N/A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Consultant</vt:lpstr>
      <vt:lpstr>Tech Employees</vt:lpstr>
      <vt:lpstr>Salaries_30052026</vt:lpstr>
      <vt:lpstr>Trainers</vt:lpstr>
      <vt:lpstr>Rental Payment</vt:lpstr>
      <vt:lpstr>LOP</vt:lpstr>
      <vt:lpstr>Salaries_30042026</vt:lpstr>
      <vt:lpstr>Payments_30042026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2026-05-30T16:44:22Z</dcterms:modified>
</cp:coreProperties>
</file>