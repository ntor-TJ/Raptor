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4D1D833A-0A7B-4CDF-8D13-3A3BEC6264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1" i="1" l="1"/>
  <c r="AI20" i="1"/>
  <c r="AI53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39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40" i="1"/>
  <c r="AI2" i="1"/>
  <c r="AI3" i="1"/>
  <c r="AI4" i="1"/>
  <c r="AI5" i="1"/>
  <c r="AI6" i="1"/>
  <c r="AI7" i="1"/>
  <c r="AI8" i="1"/>
  <c r="AI9" i="1"/>
  <c r="AI10" i="1"/>
  <c r="AI12" i="1"/>
  <c r="AI13" i="1"/>
  <c r="AI14" i="1"/>
  <c r="AI15" i="1"/>
  <c r="AI16" i="1"/>
  <c r="AI17" i="1"/>
  <c r="AI18" i="1"/>
  <c r="AI19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D41" i="1" l="1"/>
  <c r="D42" i="1"/>
  <c r="D43" i="1"/>
  <c r="D44" i="1"/>
  <c r="D45" i="1"/>
  <c r="D46" i="1"/>
  <c r="D47" i="1"/>
  <c r="D48" i="1"/>
  <c r="D49" i="1"/>
  <c r="D50" i="1"/>
  <c r="D53" i="1"/>
  <c r="D40" i="1"/>
  <c r="D20" i="1"/>
  <c r="D11" i="1"/>
</calcChain>
</file>

<file path=xl/sharedStrings.xml><?xml version="1.0" encoding="utf-8"?>
<sst xmlns="http://schemas.openxmlformats.org/spreadsheetml/2006/main" count="583" uniqueCount="200">
  <si>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</si>
  <si>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</si>
  <si>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</si>
  <si>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</si>
  <si>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</si>
  <si>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</si>
  <si>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</si>
  <si>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</si>
  <si>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</si>
  <si>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</si>
  <si>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</si>
  <si>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</si>
  <si>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</si>
  <si>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</si>
  <si>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</si>
  <si>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</si>
  <si>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</si>
  <si>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</si>
  <si>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</si>
  <si>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</si>
  <si>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</si>
  <si>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</si>
  <si>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</si>
  <si>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</si>
  <si>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</si>
  <si>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</si>
  <si>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</si>
  <si>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</si>
  <si>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</si>
  <si>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</si>
  <si>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</si>
  <si>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</si>
  <si>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</si>
  <si>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</si>
  <si>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</si>
  <si>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</si>
  <si>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</si>
  <si>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</si>
  <si>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</si>
  <si>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</si>
  <si>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</si>
  <si>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</si>
  <si>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</si>
  <si>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</si>
  <si>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</si>
  <si>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</si>
  <si>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</si>
  <si>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</si>
  <si>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</si>
  <si>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</si>
  <si>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</si>
  <si>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</si>
  <si>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</si>
  <si>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</si>
  <si>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</si>
  <si>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</si>
  <si>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</si>
  <si>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</si>
  <si>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</si>
  <si>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</si>
  <si>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</si>
  <si>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</si>
  <si>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</si>
  <si>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</si>
  <si>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</si>
  <si>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</si>
  <si>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</si>
  <si>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</si>
  <si>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</si>
  <si>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</si>
  <si>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</si>
  <si>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</si>
  <si>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</si>
  <si>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</si>
  <si>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</si>
  <si>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</si>
  <si>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</si>
  <si>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</si>
  <si>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</si>
  <si>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</si>
  <si>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</si>
  <si>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</si>
  <si>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</si>
  <si>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</si>
  <si>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</si>
  <si>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</si>
  <si>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</si>
  <si>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</si>
  <si>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</si>
  <si>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</si>
  <si>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</si>
  <si>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</si>
  <si>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</si>
  <si>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</si>
  <si>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</si>
  <si>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</si>
  <si>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</si>
  <si>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</si>
  <si>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</si>
  <si>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</si>
  <si>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</si>
  <si>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</si>
  <si>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</si>
  <si>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</si>
  <si>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</si>
  <si>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</si>
  <si>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</si>
  <si>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</si>
  <si>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</si>
  <si>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</si>
  <si>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</si>
  <si>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</si>
  <si>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</si>
  <si>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</si>
  <si>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</si>
  <si>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</si>
  <si>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</si>
  <si>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</si>
  <si>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</si>
  <si>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</si>
  <si>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</si>
  <si>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</si>
  <si>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</si>
  <si>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>SBIN0021487</t>
  </si>
  <si>
    <t>BARB0SIDDIP</t>
  </si>
  <si>
    <t>Software Engineer</t>
  </si>
  <si>
    <t>Associate Software Engineer</t>
  </si>
  <si>
    <t>Graduate Trainee Engineer</t>
  </si>
  <si>
    <t xml:space="preserve">Software Engineer </t>
  </si>
  <si>
    <t>ICIC0001111</t>
  </si>
  <si>
    <t>AGS26028</t>
  </si>
  <si>
    <t>Mohammed Abdul Moid</t>
  </si>
  <si>
    <t>Admin Executive</t>
  </si>
  <si>
    <t>May 2026</t>
  </si>
  <si>
    <t>01 June 2026</t>
  </si>
  <si>
    <t>1 June 2026</t>
  </si>
  <si>
    <t>AGS26019</t>
  </si>
  <si>
    <t>AGS26032</t>
  </si>
  <si>
    <t>AGS26061</t>
  </si>
  <si>
    <t>AGS26062</t>
  </si>
  <si>
    <t>AGS26063</t>
  </si>
  <si>
    <t>AGS26065</t>
  </si>
  <si>
    <t>AGS26066</t>
  </si>
  <si>
    <t>AGS26067</t>
  </si>
  <si>
    <t>AGS26068</t>
  </si>
  <si>
    <t>AGS26069</t>
  </si>
  <si>
    <t>AGS26070</t>
  </si>
  <si>
    <t>AGS26072</t>
  </si>
  <si>
    <t>AGS26073</t>
  </si>
  <si>
    <t>AGS26074</t>
  </si>
  <si>
    <t>AGS26075</t>
  </si>
  <si>
    <t>AGS26076</t>
  </si>
  <si>
    <t>Nelapatla Srinivas</t>
  </si>
  <si>
    <t>Vempadapu Uday Sai Tarun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</si>
  <si>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</si>
  <si>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</si>
  <si>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</si>
  <si>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</si>
  <si>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</si>
  <si>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</si>
  <si>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Srujanreddy</t>
  </si>
  <si>
    <t>Neetapalli Sreekanth Reddy</t>
  </si>
  <si>
    <t xml:space="preserve">Melath Ashwin </t>
  </si>
  <si>
    <t>Mohd Sameer</t>
  </si>
  <si>
    <t>Boya Indrasena Naidu</t>
  </si>
  <si>
    <t>Manikonda Nagasurya Koundinya</t>
  </si>
  <si>
    <t xml:space="preserve">KONDAPALLY AKHIL </t>
  </si>
  <si>
    <t>Shaik Arif</t>
  </si>
  <si>
    <t>FDRL0001555</t>
  </si>
  <si>
    <t>FDRL0007777</t>
  </si>
  <si>
    <t>FDRL0002352</t>
  </si>
  <si>
    <t>BARB0WALUJX</t>
  </si>
  <si>
    <t>3327101004003</t>
  </si>
  <si>
    <t>CNRB0003327</t>
  </si>
  <si>
    <t>50100141200194</t>
  </si>
  <si>
    <t>HDFC0004480</t>
  </si>
  <si>
    <t>40590710609</t>
  </si>
  <si>
    <t>000801663119</t>
  </si>
  <si>
    <t>44652833670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</si>
  <si>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</si>
  <si>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</si>
  <si>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</si>
  <si>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</si>
  <si>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</si>
  <si>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</si>
  <si>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</si>
  <si>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</si>
  <si>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</si>
  <si>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225210100082348</t>
  </si>
  <si>
    <t>UNIN0822523</t>
  </si>
  <si>
    <t>55560103492226</t>
  </si>
  <si>
    <t>SBIN0010328</t>
  </si>
  <si>
    <t>Principal Software Engineer
 /Lead Engineer</t>
  </si>
  <si>
    <t>IOBA0001807</t>
  </si>
  <si>
    <t xml:space="preserve">   -   </t>
  </si>
  <si>
    <t>04 May 2026</t>
  </si>
  <si>
    <t>06 May 2026</t>
  </si>
  <si>
    <t>IDIB000P121</t>
  </si>
  <si>
    <t>SBIN0008054</t>
  </si>
  <si>
    <t>SBIN0008833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</si>
</sst>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wrapText="1"/>
    </xf>
    <xf numFmtId="14" fontId="0" fillId="0" borderId="0" xfId="0" applyNumberFormat="1"/>
    <xf numFmtId="0" fontId="7" fillId="0" borderId="0" xfId="1" applyFont="1" applyAlignment="1">
      <alignment horizontal="left" vertical="center" wrapText="1"/>
    </xf>
    <xf numFmtId="2" fontId="0" fillId="0" borderId="1" xfId="0" applyNumberFormat="1" applyBorder="1"/>
    <xf numFmtId="0" fontId="8" fillId="0" borderId="1" xfId="1" applyFont="1" applyBorder="1" applyAlignment="1">
      <alignment wrapText="1"/>
    </xf>
    <xf numFmtId="0" fontId="2" fillId="0" borderId="0" xfId="0" applyFont="1" applyAlignment="1">
      <alignment horizontal="right" vertical="center"/>
    </xf>
    <xf numFmtId="0" fontId="9" fillId="0" borderId="0" xfId="0" applyFont="1"/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3" fontId="2" fillId="0" borderId="0" xfId="0" applyNumberFormat="1" applyFont="1" applyAlignment="1">
      <alignment horizontal="right" vertical="center"/>
    </xf>
  </cellXfs>
  <cellStyles count="2">
    <cellStyle name="Normal" xfId="0" builtinId="0"/>
    <cellStyle name="Normal 2" xfId="1" xr:uid="{5B6BAECD-ED78-404B-A73A-7636375C0F6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abSelected="1" zoomScale="70" zoomScaleNormal="70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I34" sqref="I34"/>
    </sheetView>
  </sheetViews>
  <sheetFormatPr defaultRowHeight="14.5" x14ac:dyDescent="0.35"/>
  <cols>
    <col min="1" max="1" width="9.1796875" bestFit="1" customWidth="1"/>
    <col min="2" max="2" width="31" bestFit="1" customWidth="1"/>
    <col min="3" max="3" width="11.1796875" bestFit="1" customWidth="1"/>
    <col min="4" max="4" width="24.54296875" bestFit="1" customWidth="1"/>
    <col min="5" max="5" width="14.6328125" bestFit="1" customWidth="1"/>
    <col min="6" max="6" width="10" bestFit="1" customWidth="1"/>
    <col min="7" max="7" width="17.54296875" bestFit="1" customWidth="1"/>
    <col min="8" max="8" width="13.08984375" bestFit="1" customWidth="1"/>
    <col min="9" max="9" width="15.453125" bestFit="1" customWidth="1"/>
    <col min="10" max="10" width="5.6328125" bestFit="1" customWidth="1"/>
    <col min="11" max="11" width="9.7265625" bestFit="1" customWidth="1"/>
    <col min="12" max="12" width="11.36328125" bestFit="1" customWidth="1"/>
    <col min="13" max="13" width="8.90625" bestFit="1" customWidth="1"/>
    <col min="14" max="14" width="8.54296875" bestFit="1" customWidth="1"/>
    <col min="15" max="15" width="10" bestFit="1" customWidth="1"/>
    <col min="16" max="19" width="9.7265625" bestFit="1" customWidth="1"/>
    <col min="20" max="20" width="8.7265625" bestFit="1" customWidth="1"/>
    <col min="21" max="21" width="8.81640625" bestFit="1" customWidth="1"/>
    <col min="22" max="25" width="9.7265625" bestFit="1" customWidth="1"/>
    <col min="26" max="26" width="8.7265625" bestFit="1" customWidth="1"/>
    <col min="27" max="27" width="7.26953125" bestFit="1" customWidth="1"/>
    <col min="28" max="28" width="4.36328125" bestFit="1" customWidth="1"/>
    <col min="29" max="32" width="8.7265625" bestFit="1" customWidth="1"/>
    <col min="33" max="33" width="9.7265625" bestFit="1" customWidth="1"/>
    <col min="34" max="34" width="7.81640625" bestFit="1" customWidth="1"/>
    <col min="35" max="35" width="45.36328125" bestFit="1" customWidth="1"/>
    <col min="36" max="36" width="8.453125" bestFit="1" customWidth="1"/>
  </cols>
  <sheetData>
    <row r="1" spans="1:35" ht="15" thickBot="1" x14ac:dyDescent="0.4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74</v>
      </c>
      <c r="Q1" s="1" t="s">
        <v>5</v>
      </c>
      <c r="R1" s="4" t="s">
        <v>75</v>
      </c>
      <c r="S1" s="1" t="s">
        <v>19</v>
      </c>
      <c r="T1" s="4" t="s">
        <v>76</v>
      </c>
      <c r="U1" s="1" t="s">
        <v>20</v>
      </c>
      <c r="V1" s="4" t="s">
        <v>77</v>
      </c>
      <c r="W1" s="1" t="s">
        <v>21</v>
      </c>
      <c r="X1" s="1" t="s">
        <v>78</v>
      </c>
      <c r="Y1" s="1" t="s">
        <v>22</v>
      </c>
      <c r="Z1" s="1" t="s">
        <v>25</v>
      </c>
      <c r="AA1" s="1" t="s">
        <v>23</v>
      </c>
      <c r="AB1" s="1" t="s">
        <v>6</v>
      </c>
      <c r="AC1" s="1" t="s">
        <v>24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7</v>
      </c>
      <c r="AI1" s="1" t="s">
        <v>8</v>
      </c>
    </row>
    <row r="2" spans="1:35" ht="29.5" thickBot="1" x14ac:dyDescent="0.4">
      <c r="A2" s="5" t="s">
        <v>26</v>
      </c>
      <c r="B2" s="5" t="s">
        <v>27</v>
      </c>
      <c r="C2" s="3" t="s">
        <v>70</v>
      </c>
      <c r="D2" s="6" t="s">
        <v>60</v>
      </c>
      <c r="E2" t="s">
        <v>66</v>
      </c>
      <c r="F2" t="s">
        <v>69</v>
      </c>
      <c r="G2" s="7">
        <v>41280100007853</v>
      </c>
      <c r="H2" s="7" t="s">
        <v>171</v>
      </c>
      <c r="I2" s="7">
        <v>101645856594</v>
      </c>
      <c r="K2" s="8" t="s">
        <v>133</v>
      </c>
      <c r="L2" s="3" t="s">
        <v>134</v>
      </c>
      <c r="M2">
        <v>31</v>
      </c>
      <c r="N2">
        <v>0</v>
      </c>
      <c r="O2" s="8" t="s">
        <v>133</v>
      </c>
      <c r="P2" s="9">
        <v>35417</v>
      </c>
      <c r="Q2" s="9">
        <v>35417</v>
      </c>
      <c r="R2" s="9">
        <v>17708</v>
      </c>
      <c r="S2" s="9">
        <v>17708</v>
      </c>
      <c r="T2" s="9">
        <v>1600</v>
      </c>
      <c r="U2" s="9">
        <v>1600</v>
      </c>
      <c r="V2" s="9">
        <v>12605</v>
      </c>
      <c r="W2" s="9">
        <v>12605</v>
      </c>
      <c r="X2" s="9">
        <v>67330</v>
      </c>
      <c r="Y2" s="9">
        <v>67330</v>
      </c>
      <c r="Z2" s="19">
        <v>1800</v>
      </c>
      <c r="AA2" s="20">
        <v>200</v>
      </c>
      <c r="AB2" s="10">
        <v>0</v>
      </c>
      <c r="AC2" s="9">
        <v>2000</v>
      </c>
      <c r="AD2" s="19">
        <v>1800</v>
      </c>
      <c r="AE2" s="20">
        <v>1704</v>
      </c>
      <c r="AF2" s="9">
        <v>3504</v>
      </c>
      <c r="AG2" s="9">
        <v>70834</v>
      </c>
      <c r="AH2" s="9">
        <v>65329</v>
      </c>
      <c r="AI2" t="str">
        <f t="shared" ref="AI2:AI11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Sixty Five Thousand Three Hundred and Twenty Nine</v>
      </c>
    </row>
    <row r="3" spans="1:35" ht="29" x14ac:dyDescent="0.35">
      <c r="A3" s="5" t="s">
        <v>34</v>
      </c>
      <c r="B3" s="5" t="s">
        <v>35</v>
      </c>
      <c r="C3" s="3" t="s">
        <v>72</v>
      </c>
      <c r="D3" s="6" t="s">
        <v>63</v>
      </c>
      <c r="E3" t="s">
        <v>68</v>
      </c>
      <c r="F3" t="s">
        <v>69</v>
      </c>
      <c r="G3" s="7">
        <v>99980130961993</v>
      </c>
      <c r="H3" s="7" t="s">
        <v>168</v>
      </c>
      <c r="I3" s="7">
        <v>102317713984</v>
      </c>
      <c r="K3" s="8" t="s">
        <v>133</v>
      </c>
      <c r="L3" s="3" t="s">
        <v>134</v>
      </c>
      <c r="M3">
        <v>31</v>
      </c>
      <c r="N3">
        <v>0</v>
      </c>
      <c r="O3" s="8" t="s">
        <v>133</v>
      </c>
      <c r="P3" s="21">
        <v>30000</v>
      </c>
      <c r="Q3" s="9">
        <v>30000</v>
      </c>
      <c r="R3" s="21">
        <v>15000</v>
      </c>
      <c r="S3" s="9">
        <v>15000</v>
      </c>
      <c r="T3" s="21">
        <v>1600</v>
      </c>
      <c r="U3" s="9">
        <v>1600</v>
      </c>
      <c r="V3" s="21">
        <v>10157</v>
      </c>
      <c r="W3" s="9">
        <v>10157</v>
      </c>
      <c r="X3" s="21">
        <v>56757</v>
      </c>
      <c r="Y3" s="9">
        <v>56757</v>
      </c>
      <c r="Z3" s="9">
        <v>1800</v>
      </c>
      <c r="AA3" s="10">
        <v>200</v>
      </c>
      <c r="AB3" s="17">
        <v>0</v>
      </c>
      <c r="AC3" s="9">
        <v>2000</v>
      </c>
      <c r="AD3" s="9">
        <v>1800</v>
      </c>
      <c r="AE3" s="9">
        <v>1443</v>
      </c>
      <c r="AF3" s="9">
        <v>3243</v>
      </c>
      <c r="AG3" s="21">
        <v>60000</v>
      </c>
      <c r="AH3" s="9">
        <v>54757</v>
      </c>
      <c r="AI3" t="str">
        <f t="shared" si="0"/>
        <v>Fifty Four Thousand Seven Hundred and Fifty Seven</v>
      </c>
    </row>
    <row r="4" spans="1:35" x14ac:dyDescent="0.35">
      <c r="A4" s="5" t="s">
        <v>30</v>
      </c>
      <c r="B4" s="5" t="s">
        <v>31</v>
      </c>
      <c r="C4" s="3" t="s">
        <v>72</v>
      </c>
      <c r="D4" s="6" t="s">
        <v>62</v>
      </c>
      <c r="E4" t="s">
        <v>68</v>
      </c>
      <c r="F4" t="s">
        <v>69</v>
      </c>
      <c r="G4" s="7" t="s">
        <v>172</v>
      </c>
      <c r="H4" s="7" t="s">
        <v>173</v>
      </c>
      <c r="I4" s="7">
        <v>101825984981</v>
      </c>
      <c r="K4" s="8" t="s">
        <v>133</v>
      </c>
      <c r="L4" s="3" t="s">
        <v>134</v>
      </c>
      <c r="M4">
        <v>31</v>
      </c>
      <c r="N4">
        <v>0</v>
      </c>
      <c r="O4" s="8" t="s">
        <v>133</v>
      </c>
      <c r="P4" s="21">
        <v>22500</v>
      </c>
      <c r="Q4" s="9">
        <v>22500</v>
      </c>
      <c r="R4" s="21">
        <v>11250</v>
      </c>
      <c r="S4" s="9">
        <v>11250</v>
      </c>
      <c r="T4" s="21">
        <v>1600</v>
      </c>
      <c r="U4" s="9">
        <v>1600</v>
      </c>
      <c r="V4" s="21">
        <v>6768</v>
      </c>
      <c r="W4" s="9">
        <v>6768</v>
      </c>
      <c r="X4" s="21">
        <v>42118</v>
      </c>
      <c r="Y4" s="9">
        <v>42118</v>
      </c>
      <c r="Z4" s="9">
        <v>1800</v>
      </c>
      <c r="AA4" s="10">
        <v>200</v>
      </c>
      <c r="AB4" s="17">
        <v>0</v>
      </c>
      <c r="AC4" s="9">
        <v>2000</v>
      </c>
      <c r="AD4" s="9">
        <v>1800</v>
      </c>
      <c r="AE4" s="9">
        <v>1082</v>
      </c>
      <c r="AF4" s="9">
        <v>2882</v>
      </c>
      <c r="AG4" s="21">
        <v>45000</v>
      </c>
      <c r="AH4" s="9">
        <v>40118</v>
      </c>
      <c r="AI4" t="str">
        <f t="shared" si="0"/>
        <v>Forty  Thousand One Hundred and Eighteen</v>
      </c>
    </row>
    <row r="5" spans="1:35" x14ac:dyDescent="0.35">
      <c r="A5" s="5" t="s">
        <v>44</v>
      </c>
      <c r="B5" s="5" t="s">
        <v>45</v>
      </c>
      <c r="C5" s="3" t="s">
        <v>72</v>
      </c>
      <c r="D5" s="6" t="s">
        <v>62</v>
      </c>
      <c r="E5" t="s">
        <v>68</v>
      </c>
      <c r="F5" t="s">
        <v>69</v>
      </c>
      <c r="G5" s="7">
        <v>15550100112421</v>
      </c>
      <c r="H5" s="7" t="s">
        <v>168</v>
      </c>
      <c r="I5" s="7">
        <v>100650918969</v>
      </c>
      <c r="K5" s="8" t="s">
        <v>133</v>
      </c>
      <c r="L5" s="3" t="s">
        <v>134</v>
      </c>
      <c r="M5">
        <v>31</v>
      </c>
      <c r="N5">
        <v>0</v>
      </c>
      <c r="O5" s="8" t="s">
        <v>133</v>
      </c>
      <c r="P5" s="21">
        <v>22500</v>
      </c>
      <c r="Q5" s="9">
        <v>22500</v>
      </c>
      <c r="R5" s="21">
        <v>11250</v>
      </c>
      <c r="S5" s="9">
        <v>11250</v>
      </c>
      <c r="T5" s="21">
        <v>1600</v>
      </c>
      <c r="U5" s="9">
        <v>1600</v>
      </c>
      <c r="V5" s="21">
        <v>6768</v>
      </c>
      <c r="W5" s="9">
        <v>6768</v>
      </c>
      <c r="X5" s="21">
        <v>42118</v>
      </c>
      <c r="Y5" s="9">
        <v>42118</v>
      </c>
      <c r="Z5" s="9">
        <v>1800</v>
      </c>
      <c r="AA5" s="10">
        <v>200</v>
      </c>
      <c r="AB5" s="17">
        <v>0</v>
      </c>
      <c r="AC5" s="9">
        <v>2000</v>
      </c>
      <c r="AD5" s="9">
        <v>1800</v>
      </c>
      <c r="AE5" s="9">
        <v>1082</v>
      </c>
      <c r="AF5" s="9">
        <v>2882</v>
      </c>
      <c r="AG5" s="21">
        <v>45000</v>
      </c>
      <c r="AH5" s="9">
        <v>40118</v>
      </c>
      <c r="AI5" t="str">
        <f t="shared" si="0"/>
        <v>Forty  Thousand One Hundred and Eighteen</v>
      </c>
    </row>
    <row r="6" spans="1:35" x14ac:dyDescent="0.35">
      <c r="A6" s="5" t="s">
        <v>36</v>
      </c>
      <c r="B6" s="5" t="s">
        <v>37</v>
      </c>
      <c r="C6" s="3" t="s">
        <v>72</v>
      </c>
      <c r="D6" s="6" t="s">
        <v>64</v>
      </c>
      <c r="E6" t="s">
        <v>68</v>
      </c>
      <c r="F6" t="s">
        <v>69</v>
      </c>
      <c r="G6" s="7">
        <v>77770116800885</v>
      </c>
      <c r="H6" s="7" t="s">
        <v>169</v>
      </c>
      <c r="I6" s="7">
        <v>102317510879</v>
      </c>
      <c r="K6" s="8" t="s">
        <v>133</v>
      </c>
      <c r="L6" s="3" t="s">
        <v>134</v>
      </c>
      <c r="M6">
        <v>31</v>
      </c>
      <c r="N6">
        <v>0</v>
      </c>
      <c r="O6" s="8" t="s">
        <v>133</v>
      </c>
      <c r="P6" s="21">
        <v>25000</v>
      </c>
      <c r="Q6" s="9">
        <v>25000</v>
      </c>
      <c r="R6" s="21">
        <v>12500</v>
      </c>
      <c r="S6" s="9">
        <v>12500</v>
      </c>
      <c r="T6" s="21">
        <v>1600</v>
      </c>
      <c r="U6" s="9">
        <v>1600</v>
      </c>
      <c r="V6" s="21">
        <v>7898</v>
      </c>
      <c r="W6" s="9">
        <v>7898</v>
      </c>
      <c r="X6" s="21">
        <v>46998</v>
      </c>
      <c r="Y6" s="9">
        <v>46998</v>
      </c>
      <c r="Z6" s="9">
        <v>1800</v>
      </c>
      <c r="AA6" s="10">
        <v>200</v>
      </c>
      <c r="AB6" s="17">
        <v>0</v>
      </c>
      <c r="AC6" s="9">
        <v>2000</v>
      </c>
      <c r="AD6" s="9">
        <v>1800</v>
      </c>
      <c r="AE6" s="9">
        <v>1202</v>
      </c>
      <c r="AF6" s="9">
        <v>3002</v>
      </c>
      <c r="AG6" s="21">
        <v>50000</v>
      </c>
      <c r="AH6" s="9">
        <v>44998</v>
      </c>
      <c r="AI6" t="str">
        <f t="shared" si="0"/>
        <v>Forty Four Thousand Nine Hundred and Ninety Eight</v>
      </c>
    </row>
    <row r="7" spans="1:35" x14ac:dyDescent="0.35">
      <c r="A7" s="5" t="s">
        <v>42</v>
      </c>
      <c r="B7" s="5" t="s">
        <v>43</v>
      </c>
      <c r="C7" s="3" t="s">
        <v>72</v>
      </c>
      <c r="D7" s="6" t="s">
        <v>62</v>
      </c>
      <c r="E7" t="s">
        <v>68</v>
      </c>
      <c r="F7" t="s">
        <v>69</v>
      </c>
      <c r="G7" s="7">
        <v>99980130961886</v>
      </c>
      <c r="H7" s="7" t="s">
        <v>168</v>
      </c>
      <c r="I7" s="7">
        <v>101366210512</v>
      </c>
      <c r="K7" s="8" t="s">
        <v>133</v>
      </c>
      <c r="L7" s="3" t="s">
        <v>134</v>
      </c>
      <c r="M7">
        <v>31</v>
      </c>
      <c r="N7">
        <v>0</v>
      </c>
      <c r="O7" s="8" t="s">
        <v>133</v>
      </c>
      <c r="P7" s="21">
        <v>22500</v>
      </c>
      <c r="Q7" s="9">
        <v>22500</v>
      </c>
      <c r="R7" s="21">
        <v>11250</v>
      </c>
      <c r="S7" s="9">
        <v>11250</v>
      </c>
      <c r="T7" s="21">
        <v>1600</v>
      </c>
      <c r="U7" s="9">
        <v>1600</v>
      </c>
      <c r="V7" s="21">
        <v>6768</v>
      </c>
      <c r="W7" s="9">
        <v>6768</v>
      </c>
      <c r="X7" s="21">
        <v>42118</v>
      </c>
      <c r="Y7" s="9">
        <v>42118</v>
      </c>
      <c r="Z7" s="9">
        <v>1800</v>
      </c>
      <c r="AA7" s="10">
        <v>200</v>
      </c>
      <c r="AB7" s="17">
        <v>0</v>
      </c>
      <c r="AC7" s="9">
        <v>2000</v>
      </c>
      <c r="AD7" s="9">
        <v>1800</v>
      </c>
      <c r="AE7" s="9">
        <v>1082</v>
      </c>
      <c r="AF7" s="9">
        <v>2882</v>
      </c>
      <c r="AG7" s="21">
        <v>45000</v>
      </c>
      <c r="AH7" s="9">
        <v>40118</v>
      </c>
      <c r="AI7" t="str">
        <f t="shared" si="0"/>
        <v>Forty  Thousand One Hundred and Eighteen</v>
      </c>
    </row>
    <row r="8" spans="1:35" x14ac:dyDescent="0.35">
      <c r="A8" s="5" t="s">
        <v>40</v>
      </c>
      <c r="B8" s="5" t="s">
        <v>41</v>
      </c>
      <c r="C8" s="3" t="s">
        <v>72</v>
      </c>
      <c r="D8" s="6" t="s">
        <v>62</v>
      </c>
      <c r="E8" t="s">
        <v>68</v>
      </c>
      <c r="F8" t="s">
        <v>69</v>
      </c>
      <c r="G8" s="7"/>
      <c r="H8" s="7"/>
      <c r="I8" s="7">
        <v>102317526464</v>
      </c>
      <c r="K8" s="8" t="s">
        <v>133</v>
      </c>
      <c r="L8" s="3" t="s">
        <v>134</v>
      </c>
      <c r="M8">
        <v>31</v>
      </c>
      <c r="N8">
        <v>0</v>
      </c>
      <c r="O8" s="8" t="s">
        <v>133</v>
      </c>
      <c r="P8" s="21">
        <v>22500</v>
      </c>
      <c r="Q8" s="9">
        <v>22500</v>
      </c>
      <c r="R8" s="21">
        <v>11250</v>
      </c>
      <c r="S8" s="9">
        <v>11250</v>
      </c>
      <c r="T8" s="21">
        <v>1600</v>
      </c>
      <c r="U8" s="9">
        <v>1600</v>
      </c>
      <c r="V8" s="21">
        <v>6768</v>
      </c>
      <c r="W8" s="9">
        <v>6768</v>
      </c>
      <c r="X8" s="21">
        <v>42118</v>
      </c>
      <c r="Y8" s="9">
        <v>42118</v>
      </c>
      <c r="Z8" s="9">
        <v>1800</v>
      </c>
      <c r="AA8" s="10">
        <v>200</v>
      </c>
      <c r="AB8" s="17">
        <v>0</v>
      </c>
      <c r="AC8" s="9">
        <v>2000</v>
      </c>
      <c r="AD8" s="9">
        <v>1800</v>
      </c>
      <c r="AE8" s="9">
        <v>1082</v>
      </c>
      <c r="AF8" s="9">
        <v>2882</v>
      </c>
      <c r="AG8" s="21">
        <v>45000</v>
      </c>
      <c r="AH8" s="9">
        <v>40118</v>
      </c>
      <c r="AI8" t="str">
        <f t="shared" si="0"/>
        <v>Forty  Thousand One Hundred and Eighteen</v>
      </c>
    </row>
    <row r="9" spans="1:35" x14ac:dyDescent="0.35">
      <c r="A9" s="5" t="s">
        <v>38</v>
      </c>
      <c r="B9" s="5" t="s">
        <v>39</v>
      </c>
      <c r="C9" s="3" t="s">
        <v>72</v>
      </c>
      <c r="D9" s="6" t="s">
        <v>62</v>
      </c>
      <c r="E9" t="s">
        <v>68</v>
      </c>
      <c r="F9" t="s">
        <v>69</v>
      </c>
      <c r="G9" s="7">
        <v>99980130963940</v>
      </c>
      <c r="H9" s="7" t="s">
        <v>168</v>
      </c>
      <c r="I9" s="7">
        <v>101994170916</v>
      </c>
      <c r="K9" s="8" t="s">
        <v>133</v>
      </c>
      <c r="L9" s="3" t="s">
        <v>134</v>
      </c>
      <c r="M9">
        <v>31</v>
      </c>
      <c r="N9">
        <v>0</v>
      </c>
      <c r="O9" s="8" t="s">
        <v>133</v>
      </c>
      <c r="P9" s="21">
        <v>22500</v>
      </c>
      <c r="Q9" s="9">
        <v>22500</v>
      </c>
      <c r="R9" s="21">
        <v>11250</v>
      </c>
      <c r="S9" s="9">
        <v>11250</v>
      </c>
      <c r="T9" s="21">
        <v>1600</v>
      </c>
      <c r="U9" s="9">
        <v>1600</v>
      </c>
      <c r="V9" s="21">
        <v>6768</v>
      </c>
      <c r="W9" s="9">
        <v>6768</v>
      </c>
      <c r="X9" s="21">
        <v>42118</v>
      </c>
      <c r="Y9" s="9">
        <v>42118</v>
      </c>
      <c r="Z9" s="9">
        <v>1800</v>
      </c>
      <c r="AA9" s="10">
        <v>200</v>
      </c>
      <c r="AB9" s="17">
        <v>0</v>
      </c>
      <c r="AC9" s="9">
        <v>2000</v>
      </c>
      <c r="AD9" s="9">
        <v>1800</v>
      </c>
      <c r="AE9" s="9">
        <v>1082</v>
      </c>
      <c r="AF9" s="9">
        <v>2882</v>
      </c>
      <c r="AG9" s="21">
        <v>45000</v>
      </c>
      <c r="AH9" s="9">
        <v>40118</v>
      </c>
      <c r="AI9" t="str">
        <f t="shared" si="0"/>
        <v>Forty  Thousand One Hundred and Eighteen</v>
      </c>
    </row>
    <row r="10" spans="1:35" x14ac:dyDescent="0.35">
      <c r="A10" s="5" t="s">
        <v>32</v>
      </c>
      <c r="B10" s="5" t="s">
        <v>33</v>
      </c>
      <c r="C10" s="3" t="s">
        <v>72</v>
      </c>
      <c r="D10" s="6" t="s">
        <v>62</v>
      </c>
      <c r="E10" t="s">
        <v>68</v>
      </c>
      <c r="F10" t="s">
        <v>69</v>
      </c>
      <c r="G10" s="7">
        <v>15550100112470</v>
      </c>
      <c r="H10" s="7" t="s">
        <v>168</v>
      </c>
      <c r="I10" s="7">
        <v>101736013234</v>
      </c>
      <c r="K10" s="8" t="s">
        <v>133</v>
      </c>
      <c r="L10" s="3" t="s">
        <v>134</v>
      </c>
      <c r="M10">
        <v>31</v>
      </c>
      <c r="N10">
        <v>2</v>
      </c>
      <c r="O10" s="8" t="s">
        <v>133</v>
      </c>
      <c r="P10" s="21">
        <v>22500</v>
      </c>
      <c r="Q10" s="9">
        <v>21048</v>
      </c>
      <c r="R10" s="21">
        <v>11250</v>
      </c>
      <c r="S10" s="9">
        <v>10524</v>
      </c>
      <c r="T10" s="21">
        <v>1600</v>
      </c>
      <c r="U10" s="9">
        <v>1497</v>
      </c>
      <c r="V10" s="21">
        <v>6768</v>
      </c>
      <c r="W10" s="9">
        <v>6331</v>
      </c>
      <c r="X10" s="21">
        <v>42118</v>
      </c>
      <c r="Y10" s="9">
        <v>39400</v>
      </c>
      <c r="Z10" s="9">
        <v>1800</v>
      </c>
      <c r="AA10" s="10">
        <v>200</v>
      </c>
      <c r="AB10" s="17">
        <v>0</v>
      </c>
      <c r="AC10" s="9">
        <v>2000</v>
      </c>
      <c r="AD10" s="9">
        <v>1800</v>
      </c>
      <c r="AE10" s="9">
        <v>1012</v>
      </c>
      <c r="AF10" s="9">
        <v>2812</v>
      </c>
      <c r="AG10" s="21">
        <v>45000</v>
      </c>
      <c r="AH10" s="9">
        <v>37400</v>
      </c>
      <c r="AI10" t="str">
        <f t="shared" si="0"/>
        <v>Thirty Seven Thousand Four Hundred</v>
      </c>
    </row>
    <row r="11" spans="1:35" ht="29" x14ac:dyDescent="0.35">
      <c r="A11" s="14" t="s">
        <v>136</v>
      </c>
      <c r="B11" t="s">
        <v>152</v>
      </c>
      <c r="C11" s="3" t="s">
        <v>72</v>
      </c>
      <c r="D11" t="str">
        <f>VLOOKUP($A$38,'[1]Tech Employee'!$B$2:$AM$52,6,0)</f>
        <v>Graduate Trainee Engineer</v>
      </c>
      <c r="E11" t="s">
        <v>68</v>
      </c>
      <c r="F11" t="s">
        <v>69</v>
      </c>
      <c r="G11" s="7">
        <v>99980130961951</v>
      </c>
      <c r="H11" s="7" t="s">
        <v>168</v>
      </c>
      <c r="I11" s="7">
        <v>102317571939</v>
      </c>
      <c r="K11" s="8" t="s">
        <v>133</v>
      </c>
      <c r="L11" s="3" t="s">
        <v>135</v>
      </c>
      <c r="M11">
        <v>31</v>
      </c>
      <c r="N11">
        <v>0</v>
      </c>
      <c r="O11" s="8" t="s">
        <v>133</v>
      </c>
      <c r="P11" s="9">
        <v>11500</v>
      </c>
      <c r="Q11" s="9">
        <v>11500</v>
      </c>
      <c r="R11" s="9">
        <v>5750</v>
      </c>
      <c r="S11" s="9">
        <v>5750</v>
      </c>
      <c r="T11" s="9">
        <v>1600</v>
      </c>
      <c r="U11" s="9">
        <v>1600</v>
      </c>
      <c r="V11" s="9">
        <v>2217</v>
      </c>
      <c r="W11" s="9">
        <v>2217</v>
      </c>
      <c r="X11" s="9">
        <v>21067</v>
      </c>
      <c r="Y11" s="9">
        <v>21067</v>
      </c>
      <c r="Z11" s="9">
        <v>1380</v>
      </c>
      <c r="AA11" s="10">
        <v>200</v>
      </c>
      <c r="AB11" s="18"/>
      <c r="AC11" s="9">
        <v>1580</v>
      </c>
      <c r="AD11" s="9">
        <v>1380</v>
      </c>
      <c r="AE11" s="10">
        <v>553</v>
      </c>
      <c r="AF11" s="9">
        <v>1933</v>
      </c>
      <c r="AG11" s="21">
        <v>23000</v>
      </c>
      <c r="AH11" s="9">
        <v>19487</v>
      </c>
      <c r="AI11" t="str">
        <f t="shared" si="0"/>
        <v>Nineteen Thousand Four Hundred and Eighty Seven</v>
      </c>
    </row>
    <row r="12" spans="1:35" x14ac:dyDescent="0.35">
      <c r="A12" s="5" t="s">
        <v>46</v>
      </c>
      <c r="B12" s="5" t="s">
        <v>47</v>
      </c>
      <c r="C12" s="3" t="s">
        <v>72</v>
      </c>
      <c r="D12" s="6" t="s">
        <v>64</v>
      </c>
      <c r="E12" t="s">
        <v>68</v>
      </c>
      <c r="F12" t="s">
        <v>69</v>
      </c>
      <c r="G12" s="7">
        <v>99980130961894</v>
      </c>
      <c r="H12" s="7" t="s">
        <v>168</v>
      </c>
      <c r="I12" s="7">
        <v>102317547528</v>
      </c>
      <c r="K12" s="8" t="s">
        <v>133</v>
      </c>
      <c r="L12" s="3" t="s">
        <v>134</v>
      </c>
      <c r="M12">
        <v>31</v>
      </c>
      <c r="N12">
        <v>0</v>
      </c>
      <c r="O12" s="8" t="s">
        <v>133</v>
      </c>
      <c r="P12" s="21">
        <v>25000</v>
      </c>
      <c r="Q12" s="9">
        <v>25000</v>
      </c>
      <c r="R12" s="21">
        <v>12500</v>
      </c>
      <c r="S12" s="9">
        <v>12500</v>
      </c>
      <c r="T12" s="21">
        <v>1600</v>
      </c>
      <c r="U12" s="9">
        <v>1600</v>
      </c>
      <c r="V12" s="21">
        <v>7898</v>
      </c>
      <c r="W12" s="9">
        <v>7898</v>
      </c>
      <c r="X12" s="21">
        <v>46998</v>
      </c>
      <c r="Y12" s="9">
        <v>46998</v>
      </c>
      <c r="Z12" s="9">
        <v>1800</v>
      </c>
      <c r="AA12" s="10">
        <v>200</v>
      </c>
      <c r="AB12" s="17">
        <v>0</v>
      </c>
      <c r="AC12" s="9">
        <v>2000</v>
      </c>
      <c r="AD12" s="9">
        <v>1800</v>
      </c>
      <c r="AE12" s="9">
        <v>1202</v>
      </c>
      <c r="AF12" s="9">
        <v>3002</v>
      </c>
      <c r="AG12" s="21">
        <v>50000</v>
      </c>
      <c r="AH12" s="9">
        <v>44998</v>
      </c>
      <c r="AI12" t="str">
        <f t="shared" ref="AI12:AI20" si="1">CHOOSE(--LEFT(TEXT(AH12,"000000.00"))+1,,"One","Two","Three","Four","Five","Six","Seven","Eight","Nine")&amp;IF(--LEFT(TEXT(AH12,"000000.00"))=0,""," Lakh ")&amp;IF(--MID(TEXT(AH12,"000000.00"),2,1)&lt;&gt;1,CHOOSE(--MID(TEXT(AH12,"000000.00"),2,1)+1,,"","Twenty ","Thirty ","Forty ","Fifty ","Sixty ","Seventy ","Eighty ","Ninety "),"")&amp;IF(--MID(TEXT(AH12,"000000.00"),2,1)&lt;&gt;1,CHOOSE(--MID(TEXT(AH12,"000000.00"),3,1)+1,,"One","Two","Three","Four","Five","Six","Seven","Eight","Nine"),CHOOSE(--MID(TEXT(AH12,"000000.00"),3,1)+1,"Ten","Eleven","Twelve","Thirteen","Fourteen","Fifteen","Sixteen","Seventeen","Eighteen","Nineteen"))&amp;IF((--MID(TEXT(AH12,"000000.00"),2,1)+--MID(TEXT(AH12,"000000.00"),3,1))=0,""," Thousand ")&amp;CHOOSE(--MID(TEXT(AH12,"000000.00"),4,1)+1,,"One","Two","Three","Four","Five","Six","Seven","Eight","Nine")&amp;IF(--MID(TEXT(AH12,"000000.00"),4,1)=0,"",IF(AND(--MID(TEXT(AH12,"000000.00"),5,1)=0,--MID(TEXT(AH12,"000000.00"),6,1)=0)," Hundred"," Hundred and "))&amp;IF(--MID(TEXT(AH12,"000000.00"),5,1)&lt;&gt;1,CHOOSE(--MID(TEXT(AH12,"000000.00"),5,1)+1,,"","Twenty ","Thirty ","Forty ","Fifty ","Sixty ","Seventy ","Eighty ","Ninety "),"")&amp;IF(--MID(TEXT(AH12,"000000.00"),5,1)&lt;&gt;1,CHOOSE(--MID(TEXT(AH12,"000000.00"),6,1)+1,,"One","Two","Three","Four","Five","Six","Seven","Eight","Nine"),CHOOSE(--MID(TEXT(AH12,"000000.00"),6,1)+1,"Ten","Eleven","Twelve","Thirteen","Fourteen","Fifteen","Sixteen","Seventeen","Eighteen","Nineteen"))</f>
        <v>Forty Four Thousand Nine Hundred and Ninety Eight</v>
      </c>
    </row>
    <row r="13" spans="1:35" ht="29" x14ac:dyDescent="0.35">
      <c r="A13" s="5" t="s">
        <v>48</v>
      </c>
      <c r="B13" s="5" t="s">
        <v>49</v>
      </c>
      <c r="C13" s="3" t="s">
        <v>72</v>
      </c>
      <c r="D13" s="6" t="s">
        <v>63</v>
      </c>
      <c r="E13" t="s">
        <v>68</v>
      </c>
      <c r="F13" t="s">
        <v>69</v>
      </c>
      <c r="G13" s="7">
        <v>99980130961878</v>
      </c>
      <c r="H13" s="7" t="s">
        <v>168</v>
      </c>
      <c r="I13" s="7">
        <v>102317765401</v>
      </c>
      <c r="K13" s="8" t="s">
        <v>133</v>
      </c>
      <c r="L13" s="3" t="s">
        <v>134</v>
      </c>
      <c r="M13">
        <v>31</v>
      </c>
      <c r="N13">
        <v>1</v>
      </c>
      <c r="O13" s="8" t="s">
        <v>133</v>
      </c>
      <c r="P13" s="21">
        <v>30000</v>
      </c>
      <c r="Q13" s="9">
        <v>29032</v>
      </c>
      <c r="R13" s="21">
        <v>15000</v>
      </c>
      <c r="S13" s="9">
        <v>14516</v>
      </c>
      <c r="T13" s="21">
        <v>1600</v>
      </c>
      <c r="U13" s="9">
        <v>1548</v>
      </c>
      <c r="V13" s="21">
        <v>10157</v>
      </c>
      <c r="W13" s="9">
        <v>9829</v>
      </c>
      <c r="X13" s="21">
        <v>56757</v>
      </c>
      <c r="Y13" s="9">
        <v>54926</v>
      </c>
      <c r="Z13" s="9">
        <v>1800</v>
      </c>
      <c r="AA13" s="10">
        <v>200</v>
      </c>
      <c r="AB13" s="17">
        <v>0</v>
      </c>
      <c r="AC13" s="9">
        <v>2000</v>
      </c>
      <c r="AD13" s="9">
        <v>1800</v>
      </c>
      <c r="AE13" s="9">
        <v>1396</v>
      </c>
      <c r="AF13" s="9">
        <v>3196</v>
      </c>
      <c r="AG13" s="21">
        <v>60000</v>
      </c>
      <c r="AH13" s="9">
        <v>52926</v>
      </c>
      <c r="AI13" t="str">
        <f t="shared" si="1"/>
        <v>Fifty Two Thousand Nine Hundred and Twenty Six</v>
      </c>
    </row>
    <row r="14" spans="1:35" x14ac:dyDescent="0.35">
      <c r="A14" s="5" t="s">
        <v>113</v>
      </c>
      <c r="B14" s="5" t="s">
        <v>114</v>
      </c>
      <c r="C14" s="3" t="s">
        <v>119</v>
      </c>
      <c r="D14" s="6" t="s">
        <v>126</v>
      </c>
      <c r="E14" t="s">
        <v>68</v>
      </c>
      <c r="F14" t="s">
        <v>69</v>
      </c>
      <c r="G14" s="7" t="s">
        <v>179</v>
      </c>
      <c r="H14" s="7" t="s">
        <v>124</v>
      </c>
      <c r="I14" s="7">
        <v>102321858303</v>
      </c>
      <c r="K14" s="8" t="s">
        <v>133</v>
      </c>
      <c r="L14" s="3" t="s">
        <v>134</v>
      </c>
      <c r="M14">
        <v>31</v>
      </c>
      <c r="N14">
        <v>0</v>
      </c>
      <c r="O14" s="8" t="s">
        <v>133</v>
      </c>
      <c r="P14" s="9">
        <v>11500</v>
      </c>
      <c r="Q14" s="9">
        <v>11500</v>
      </c>
      <c r="R14" s="9">
        <v>5750</v>
      </c>
      <c r="S14" s="9">
        <v>5750</v>
      </c>
      <c r="T14" s="9">
        <v>1600</v>
      </c>
      <c r="U14" s="9">
        <v>1600</v>
      </c>
      <c r="V14" s="9">
        <v>2217</v>
      </c>
      <c r="W14" s="9">
        <v>2217</v>
      </c>
      <c r="X14" s="9">
        <v>21067</v>
      </c>
      <c r="Y14" s="9">
        <v>21067</v>
      </c>
      <c r="Z14" s="9">
        <v>1380</v>
      </c>
      <c r="AA14" s="10">
        <v>200</v>
      </c>
      <c r="AB14" s="10" t="s">
        <v>194</v>
      </c>
      <c r="AC14" s="9">
        <v>1580</v>
      </c>
      <c r="AD14" s="9">
        <v>1380</v>
      </c>
      <c r="AE14" s="10">
        <v>553</v>
      </c>
      <c r="AF14" s="9">
        <v>1933</v>
      </c>
      <c r="AG14" s="9">
        <v>23000</v>
      </c>
      <c r="AH14" s="9">
        <v>19487</v>
      </c>
      <c r="AI14" t="str">
        <f t="shared" si="1"/>
        <v>Nineteen Thousand Four Hundred and Eighty Seven</v>
      </c>
    </row>
    <row r="15" spans="1:35" ht="29" x14ac:dyDescent="0.35">
      <c r="A15" s="5" t="s">
        <v>50</v>
      </c>
      <c r="B15" s="5" t="s">
        <v>51</v>
      </c>
      <c r="C15" s="3" t="s">
        <v>72</v>
      </c>
      <c r="D15" s="6" t="s">
        <v>63</v>
      </c>
      <c r="E15" t="s">
        <v>68</v>
      </c>
      <c r="F15" t="s">
        <v>69</v>
      </c>
      <c r="G15" s="7">
        <v>615728726</v>
      </c>
      <c r="H15" s="7" t="s">
        <v>197</v>
      </c>
      <c r="I15" s="7">
        <v>102270657335</v>
      </c>
      <c r="K15" s="8" t="s">
        <v>133</v>
      </c>
      <c r="L15" s="3" t="s">
        <v>134</v>
      </c>
      <c r="M15">
        <v>31</v>
      </c>
      <c r="N15">
        <v>0</v>
      </c>
      <c r="O15" s="8" t="s">
        <v>133</v>
      </c>
      <c r="P15" s="21">
        <v>30000</v>
      </c>
      <c r="Q15" s="9">
        <v>30000</v>
      </c>
      <c r="R15" s="21">
        <v>15000</v>
      </c>
      <c r="S15" s="9">
        <v>15000</v>
      </c>
      <c r="T15" s="21">
        <v>1600</v>
      </c>
      <c r="U15" s="9">
        <v>1600</v>
      </c>
      <c r="V15" s="21">
        <v>10157</v>
      </c>
      <c r="W15" s="9">
        <v>10157</v>
      </c>
      <c r="X15" s="21">
        <v>56757</v>
      </c>
      <c r="Y15" s="9">
        <v>56757</v>
      </c>
      <c r="Z15" s="9">
        <v>1800</v>
      </c>
      <c r="AA15" s="10">
        <v>200</v>
      </c>
      <c r="AB15" s="17">
        <v>0</v>
      </c>
      <c r="AC15" s="9">
        <v>2000</v>
      </c>
      <c r="AD15" s="9">
        <v>1800</v>
      </c>
      <c r="AE15" s="9">
        <v>1443</v>
      </c>
      <c r="AF15" s="9">
        <v>3243</v>
      </c>
      <c r="AG15" s="21">
        <v>60000</v>
      </c>
      <c r="AH15" s="9">
        <v>54757</v>
      </c>
      <c r="AI15" t="str">
        <f t="shared" si="1"/>
        <v>Fifty Four Thousand Seven Hundred and Fifty Seven</v>
      </c>
    </row>
    <row r="16" spans="1:35" x14ac:dyDescent="0.35">
      <c r="A16" s="5" t="s">
        <v>130</v>
      </c>
      <c r="B16" s="5" t="s">
        <v>131</v>
      </c>
      <c r="C16" s="3" t="s">
        <v>72</v>
      </c>
      <c r="D16" s="6" t="s">
        <v>127</v>
      </c>
      <c r="E16" t="s">
        <v>68</v>
      </c>
      <c r="F16" t="s">
        <v>69</v>
      </c>
      <c r="G16" s="7">
        <v>99980130963882</v>
      </c>
      <c r="H16" s="7" t="s">
        <v>168</v>
      </c>
      <c r="I16" s="7">
        <v>102317792928</v>
      </c>
      <c r="K16" s="8" t="s">
        <v>133</v>
      </c>
      <c r="L16" s="3" t="s">
        <v>134</v>
      </c>
      <c r="M16">
        <v>31</v>
      </c>
      <c r="N16">
        <v>0</v>
      </c>
      <c r="O16" s="8" t="s">
        <v>133</v>
      </c>
      <c r="P16" s="9">
        <v>7500</v>
      </c>
      <c r="Q16" s="9">
        <v>7500</v>
      </c>
      <c r="R16" s="9">
        <v>3750</v>
      </c>
      <c r="S16" s="9">
        <v>3750</v>
      </c>
      <c r="T16" s="9">
        <v>1600</v>
      </c>
      <c r="U16" s="9">
        <v>1600</v>
      </c>
      <c r="V16" s="10">
        <v>889</v>
      </c>
      <c r="W16" s="10">
        <v>889</v>
      </c>
      <c r="X16" s="9">
        <v>13739</v>
      </c>
      <c r="Y16" s="9">
        <v>13739</v>
      </c>
      <c r="Z16" s="10">
        <v>900</v>
      </c>
      <c r="AA16" s="10">
        <v>200</v>
      </c>
      <c r="AB16" s="10" t="s">
        <v>194</v>
      </c>
      <c r="AC16" s="9">
        <v>1100</v>
      </c>
      <c r="AD16" s="10">
        <v>900</v>
      </c>
      <c r="AE16" s="10">
        <v>361</v>
      </c>
      <c r="AF16" s="9">
        <v>1261</v>
      </c>
      <c r="AG16" s="9">
        <v>15000</v>
      </c>
      <c r="AH16" s="9">
        <v>12639</v>
      </c>
      <c r="AI16" t="str">
        <f t="shared" si="1"/>
        <v>Twelve Thousand Six Hundred and Thirty Nine</v>
      </c>
    </row>
    <row r="17" spans="1:35" x14ac:dyDescent="0.35">
      <c r="A17" s="5" t="s">
        <v>52</v>
      </c>
      <c r="B17" s="5" t="s">
        <v>53</v>
      </c>
      <c r="C17" s="3" t="s">
        <v>72</v>
      </c>
      <c r="D17" s="6" t="s">
        <v>65</v>
      </c>
      <c r="E17" t="s">
        <v>68</v>
      </c>
      <c r="F17" t="s">
        <v>69</v>
      </c>
      <c r="G17" s="7">
        <v>99980130961902</v>
      </c>
      <c r="H17" s="7" t="s">
        <v>168</v>
      </c>
      <c r="I17" s="7">
        <v>102317543305</v>
      </c>
      <c r="K17" s="8" t="s">
        <v>133</v>
      </c>
      <c r="L17" s="3" t="s">
        <v>134</v>
      </c>
      <c r="M17">
        <v>31</v>
      </c>
      <c r="N17">
        <v>0</v>
      </c>
      <c r="O17" s="8" t="s">
        <v>133</v>
      </c>
      <c r="P17" s="21">
        <v>17500</v>
      </c>
      <c r="Q17" s="9">
        <v>17500</v>
      </c>
      <c r="R17" s="21">
        <v>8750</v>
      </c>
      <c r="S17" s="9">
        <v>8750</v>
      </c>
      <c r="T17" s="21">
        <v>1600</v>
      </c>
      <c r="U17" s="9">
        <v>1600</v>
      </c>
      <c r="V17" s="21">
        <v>4508</v>
      </c>
      <c r="W17" s="9">
        <v>4508</v>
      </c>
      <c r="X17" s="21">
        <v>32358</v>
      </c>
      <c r="Y17" s="9">
        <v>32358</v>
      </c>
      <c r="Z17" s="9">
        <v>1800</v>
      </c>
      <c r="AA17" s="10">
        <v>200</v>
      </c>
      <c r="AB17" s="17">
        <v>0</v>
      </c>
      <c r="AC17" s="9">
        <v>2000</v>
      </c>
      <c r="AD17" s="9">
        <v>1800</v>
      </c>
      <c r="AE17" s="10">
        <v>842</v>
      </c>
      <c r="AF17" s="9">
        <v>2642</v>
      </c>
      <c r="AG17" s="21">
        <v>35000</v>
      </c>
      <c r="AH17" s="9">
        <v>30358</v>
      </c>
      <c r="AI17" t="str">
        <f t="shared" si="1"/>
        <v>Thirty  Thousand Three Hundred and Fifty Eight</v>
      </c>
    </row>
    <row r="18" spans="1:35" x14ac:dyDescent="0.35">
      <c r="A18" s="5" t="s">
        <v>54</v>
      </c>
      <c r="B18" s="5" t="s">
        <v>55</v>
      </c>
      <c r="C18" s="3" t="s">
        <v>72</v>
      </c>
      <c r="D18" s="6" t="s">
        <v>65</v>
      </c>
      <c r="E18" t="s">
        <v>68</v>
      </c>
      <c r="F18" t="s">
        <v>69</v>
      </c>
      <c r="G18" s="7">
        <v>99980130961761</v>
      </c>
      <c r="H18" s="7" t="s">
        <v>168</v>
      </c>
      <c r="I18" s="7">
        <v>102317508713</v>
      </c>
      <c r="K18" s="8" t="s">
        <v>133</v>
      </c>
      <c r="L18" s="3" t="s">
        <v>134</v>
      </c>
      <c r="M18">
        <v>31</v>
      </c>
      <c r="N18">
        <v>0</v>
      </c>
      <c r="O18" s="8" t="s">
        <v>133</v>
      </c>
      <c r="P18" s="21">
        <v>17500</v>
      </c>
      <c r="Q18" s="9">
        <v>17500</v>
      </c>
      <c r="R18" s="21">
        <v>8750</v>
      </c>
      <c r="S18" s="9">
        <v>8750</v>
      </c>
      <c r="T18" s="21">
        <v>1600</v>
      </c>
      <c r="U18" s="9">
        <v>1600</v>
      </c>
      <c r="V18" s="21">
        <v>4508</v>
      </c>
      <c r="W18" s="9">
        <v>4508</v>
      </c>
      <c r="X18" s="21">
        <v>32358</v>
      </c>
      <c r="Y18" s="9">
        <v>32358</v>
      </c>
      <c r="Z18" s="9">
        <v>1800</v>
      </c>
      <c r="AA18" s="10">
        <v>200</v>
      </c>
      <c r="AB18" s="17">
        <v>0</v>
      </c>
      <c r="AC18" s="9">
        <v>2000</v>
      </c>
      <c r="AD18" s="9">
        <v>1800</v>
      </c>
      <c r="AE18" s="10">
        <v>842</v>
      </c>
      <c r="AF18" s="9">
        <v>2642</v>
      </c>
      <c r="AG18" s="21">
        <v>35000</v>
      </c>
      <c r="AH18" s="9">
        <v>30358</v>
      </c>
      <c r="AI18" t="str">
        <f t="shared" si="1"/>
        <v>Thirty  Thousand Three Hundred and Fifty Eight</v>
      </c>
    </row>
    <row r="19" spans="1:35" x14ac:dyDescent="0.35">
      <c r="A19" s="5" t="s">
        <v>103</v>
      </c>
      <c r="B19" s="5" t="s">
        <v>104</v>
      </c>
      <c r="C19" s="3" t="s">
        <v>119</v>
      </c>
      <c r="D19" s="6" t="s">
        <v>62</v>
      </c>
      <c r="E19" t="s">
        <v>68</v>
      </c>
      <c r="F19" t="s">
        <v>69</v>
      </c>
      <c r="G19" s="7">
        <v>99980130961787</v>
      </c>
      <c r="H19" s="7" t="s">
        <v>168</v>
      </c>
      <c r="I19" s="7">
        <v>101878246332</v>
      </c>
      <c r="K19" s="8" t="s">
        <v>133</v>
      </c>
      <c r="L19" s="3" t="s">
        <v>134</v>
      </c>
      <c r="M19">
        <v>31</v>
      </c>
      <c r="N19">
        <v>0</v>
      </c>
      <c r="O19" s="8" t="s">
        <v>133</v>
      </c>
      <c r="P19" s="9">
        <v>22500</v>
      </c>
      <c r="Q19" s="9">
        <v>22500</v>
      </c>
      <c r="R19" s="9">
        <v>11250</v>
      </c>
      <c r="S19" s="9">
        <v>11250</v>
      </c>
      <c r="T19" s="9">
        <v>1600</v>
      </c>
      <c r="U19" s="9">
        <v>1600</v>
      </c>
      <c r="V19" s="9">
        <v>6768</v>
      </c>
      <c r="W19" s="9">
        <v>6768</v>
      </c>
      <c r="X19" s="9">
        <v>42118</v>
      </c>
      <c r="Y19" s="9">
        <v>42118</v>
      </c>
      <c r="Z19" s="9">
        <v>1800</v>
      </c>
      <c r="AA19" s="10">
        <v>200</v>
      </c>
      <c r="AB19" s="10" t="s">
        <v>194</v>
      </c>
      <c r="AC19" s="9">
        <v>2000</v>
      </c>
      <c r="AD19" s="9">
        <v>1800</v>
      </c>
      <c r="AE19" s="9">
        <v>1082</v>
      </c>
      <c r="AF19" s="9">
        <v>2882</v>
      </c>
      <c r="AG19" s="9">
        <v>45000</v>
      </c>
      <c r="AH19" s="9">
        <v>40118</v>
      </c>
      <c r="AI19" t="str">
        <f t="shared" si="1"/>
        <v>Forty  Thousand One Hundred and Eighteen</v>
      </c>
    </row>
    <row r="20" spans="1:35" ht="29" x14ac:dyDescent="0.35">
      <c r="A20" s="14" t="s">
        <v>137</v>
      </c>
      <c r="B20" t="s">
        <v>153</v>
      </c>
      <c r="C20" s="3" t="s">
        <v>72</v>
      </c>
      <c r="D20" t="str">
        <f>VLOOKUP($A20,'[1]Tech Employee'!$B$2:$AM$52,6,0)</f>
        <v>Associate Software Engineer</v>
      </c>
      <c r="E20" t="s">
        <v>68</v>
      </c>
      <c r="F20" t="s">
        <v>69</v>
      </c>
      <c r="G20" s="7">
        <v>37182972098</v>
      </c>
      <c r="H20" s="7" t="s">
        <v>198</v>
      </c>
      <c r="I20" s="7">
        <v>102213700679</v>
      </c>
      <c r="K20" s="8" t="s">
        <v>133</v>
      </c>
      <c r="L20" s="3" t="s">
        <v>135</v>
      </c>
      <c r="M20">
        <v>31</v>
      </c>
      <c r="N20">
        <v>1</v>
      </c>
      <c r="O20" s="8" t="s">
        <v>133</v>
      </c>
      <c r="P20" s="9">
        <v>11129</v>
      </c>
      <c r="Q20" s="9">
        <v>11129</v>
      </c>
      <c r="R20" s="9">
        <v>5565</v>
      </c>
      <c r="S20" s="9">
        <v>5565</v>
      </c>
      <c r="T20" s="9">
        <v>1548</v>
      </c>
      <c r="U20" s="9">
        <v>1548</v>
      </c>
      <c r="V20" s="9">
        <v>2188</v>
      </c>
      <c r="W20" s="9">
        <v>2188</v>
      </c>
      <c r="X20" s="9">
        <v>20430</v>
      </c>
      <c r="Y20" s="9">
        <v>20430</v>
      </c>
      <c r="Z20" s="9">
        <v>1335</v>
      </c>
      <c r="AA20" s="10">
        <v>200</v>
      </c>
      <c r="AB20" s="18"/>
      <c r="AC20" s="9">
        <v>1535</v>
      </c>
      <c r="AD20" s="9">
        <v>1335</v>
      </c>
      <c r="AE20" s="10">
        <v>535</v>
      </c>
      <c r="AF20" s="9">
        <v>1871</v>
      </c>
      <c r="AG20" s="9">
        <v>23000</v>
      </c>
      <c r="AH20" s="9">
        <v>18078</v>
      </c>
      <c r="AI20" t="str">
        <f t="shared" si="1"/>
        <v>Eighteen Thousand Seventy Eight</v>
      </c>
    </row>
    <row r="21" spans="1:35" ht="29" x14ac:dyDescent="0.35">
      <c r="A21" s="5" t="s">
        <v>56</v>
      </c>
      <c r="B21" s="5" t="s">
        <v>57</v>
      </c>
      <c r="C21" s="3" t="s">
        <v>72</v>
      </c>
      <c r="D21" s="6" t="s">
        <v>63</v>
      </c>
      <c r="E21" t="s">
        <v>68</v>
      </c>
      <c r="F21" t="s">
        <v>69</v>
      </c>
      <c r="G21" s="7">
        <v>15550100112371</v>
      </c>
      <c r="H21" s="7" t="s">
        <v>168</v>
      </c>
      <c r="I21" s="7">
        <v>102000268989</v>
      </c>
      <c r="K21" s="8" t="s">
        <v>133</v>
      </c>
      <c r="L21" s="3" t="s">
        <v>134</v>
      </c>
      <c r="M21">
        <v>31</v>
      </c>
      <c r="N21">
        <v>2</v>
      </c>
      <c r="O21" s="8" t="s">
        <v>133</v>
      </c>
      <c r="P21" s="21">
        <v>30000</v>
      </c>
      <c r="Q21" s="9">
        <v>28065</v>
      </c>
      <c r="R21" s="21">
        <v>15000</v>
      </c>
      <c r="S21" s="9">
        <v>14032</v>
      </c>
      <c r="T21" s="21">
        <v>1600</v>
      </c>
      <c r="U21" s="9">
        <v>1497</v>
      </c>
      <c r="V21" s="21">
        <v>10157</v>
      </c>
      <c r="W21" s="9">
        <v>9502</v>
      </c>
      <c r="X21" s="21">
        <v>56757</v>
      </c>
      <c r="Y21" s="9">
        <v>53095</v>
      </c>
      <c r="Z21" s="9">
        <v>1800</v>
      </c>
      <c r="AA21" s="10">
        <v>200</v>
      </c>
      <c r="AB21" s="17">
        <v>0</v>
      </c>
      <c r="AC21" s="9">
        <v>2000</v>
      </c>
      <c r="AD21" s="9">
        <v>1800</v>
      </c>
      <c r="AE21" s="9">
        <v>1350</v>
      </c>
      <c r="AF21" s="9">
        <v>3150</v>
      </c>
      <c r="AG21" s="21">
        <v>60000</v>
      </c>
      <c r="AH21" s="9">
        <v>51095</v>
      </c>
      <c r="AI21" t="str">
        <f t="shared" ref="AI21:AI39" si="2">CHOOSE(--LEFT(TEXT(AH21,"000000.00"))+1,,"One","Two","Three","Four","Five","Six","Seven","Eight","Nine")&amp;IF(--LEFT(TEXT(AH21,"000000.00"))=0,""," Lakh ")&amp;IF(--MID(TEXT(AH21,"000000.00"),2,1)&lt;&gt;1,CHOOSE(--MID(TEXT(AH21,"000000.00"),2,1)+1,,"","Twenty ","Thirty ","Forty ","Fifty ","Sixty ","Seventy ","Eighty ","Ninety "),"")&amp;IF(--MID(TEXT(AH21,"000000.00"),2,1)&lt;&gt;1,CHOOSE(--MID(TEXT(AH21,"000000.00"),3,1)+1,,"One","Two","Three","Four","Five","Six","Seven","Eight","Nine"),CHOOSE(--MID(TEXT(AH21,"000000.00"),3,1)+1,"Ten","Eleven","Twelve","Thirteen","Fourteen","Fifteen","Sixteen","Seventeen","Eighteen","Nineteen"))&amp;IF((--MID(TEXT(AH21,"000000.00"),2,1)+--MID(TEXT(AH21,"000000.00"),3,1))=0,""," Thousand ")&amp;CHOOSE(--MID(TEXT(AH21,"000000.00"),4,1)+1,,"One","Two","Three","Four","Five","Six","Seven","Eight","Nine")&amp;IF(--MID(TEXT(AH21,"000000.00"),4,1)=0,"",IF(AND(--MID(TEXT(AH21,"000000.00"),5,1)=0,--MID(TEXT(AH21,"000000.00"),6,1)=0)," Hundred"," Hundred and "))&amp;IF(--MID(TEXT(AH21,"000000.00"),5,1)&lt;&gt;1,CHOOSE(--MID(TEXT(AH21,"000000.00"),5,1)+1,,"","Twenty ","Thirty ","Forty ","Fifty ","Sixty ","Seventy ","Eighty ","Ninety "),"")&amp;IF(--MID(TEXT(AH21,"000000.00"),5,1)&lt;&gt;1,CHOOSE(--MID(TEXT(AH21,"000000.00"),6,1)+1,,"One","Two","Three","Four","Five","Six","Seven","Eight","Nine"),CHOOSE(--MID(TEXT(AH21,"000000.00"),6,1)+1,"Ten","Eleven","Twelve","Thirteen","Fourteen","Fifteen","Sixteen","Seventeen","Eighteen","Nineteen"))</f>
        <v>Fifty One Thousand Ninety Five</v>
      </c>
    </row>
    <row r="22" spans="1:35" ht="29" x14ac:dyDescent="0.35">
      <c r="A22" s="5" t="s">
        <v>58</v>
      </c>
      <c r="B22" s="5" t="s">
        <v>59</v>
      </c>
      <c r="C22" s="3" t="s">
        <v>72</v>
      </c>
      <c r="D22" s="6" t="s">
        <v>63</v>
      </c>
      <c r="E22" t="s">
        <v>68</v>
      </c>
      <c r="F22" t="s">
        <v>69</v>
      </c>
      <c r="G22" s="7" t="s">
        <v>174</v>
      </c>
      <c r="H22" s="7" t="s">
        <v>175</v>
      </c>
      <c r="I22" s="7">
        <v>100640473426</v>
      </c>
      <c r="K22" s="8" t="s">
        <v>133</v>
      </c>
      <c r="L22" s="3" t="s">
        <v>134</v>
      </c>
      <c r="M22">
        <v>31</v>
      </c>
      <c r="N22">
        <v>0</v>
      </c>
      <c r="O22" s="8" t="s">
        <v>133</v>
      </c>
      <c r="P22" s="21">
        <v>30000</v>
      </c>
      <c r="Q22" s="9">
        <v>30000</v>
      </c>
      <c r="R22" s="21">
        <v>15000</v>
      </c>
      <c r="S22" s="9">
        <v>15000</v>
      </c>
      <c r="T22" s="21">
        <v>1600</v>
      </c>
      <c r="U22" s="9">
        <v>1600</v>
      </c>
      <c r="V22" s="21">
        <v>10157</v>
      </c>
      <c r="W22" s="9">
        <v>10157</v>
      </c>
      <c r="X22" s="21">
        <v>56757</v>
      </c>
      <c r="Y22" s="9">
        <v>56757</v>
      </c>
      <c r="Z22" s="9">
        <v>1800</v>
      </c>
      <c r="AA22" s="10">
        <v>200</v>
      </c>
      <c r="AB22" s="17">
        <v>0</v>
      </c>
      <c r="AC22" s="9">
        <v>2000</v>
      </c>
      <c r="AD22" s="9">
        <v>1800</v>
      </c>
      <c r="AE22" s="9">
        <v>1443</v>
      </c>
      <c r="AF22" s="9">
        <v>3243</v>
      </c>
      <c r="AG22" s="21">
        <v>60000</v>
      </c>
      <c r="AH22" s="9">
        <v>54757</v>
      </c>
      <c r="AI22" t="str">
        <f t="shared" si="2"/>
        <v>Fifty Four Thousand Seven Hundred and Fifty Seven</v>
      </c>
    </row>
    <row r="23" spans="1:35" x14ac:dyDescent="0.35">
      <c r="A23" s="5" t="s">
        <v>28</v>
      </c>
      <c r="B23" s="5" t="s">
        <v>29</v>
      </c>
      <c r="C23" s="3" t="s">
        <v>71</v>
      </c>
      <c r="D23" s="6" t="s">
        <v>61</v>
      </c>
      <c r="E23" t="s">
        <v>67</v>
      </c>
      <c r="F23" t="s">
        <v>69</v>
      </c>
      <c r="G23" s="7">
        <v>99980130961795</v>
      </c>
      <c r="H23" s="7" t="s">
        <v>168</v>
      </c>
      <c r="I23" s="7"/>
      <c r="K23" s="8" t="s">
        <v>133</v>
      </c>
      <c r="L23" s="3" t="s">
        <v>134</v>
      </c>
      <c r="M23">
        <v>31</v>
      </c>
      <c r="N23">
        <v>1</v>
      </c>
      <c r="O23" s="8" t="s">
        <v>133</v>
      </c>
      <c r="P23" s="9">
        <v>50000</v>
      </c>
      <c r="Q23" s="9">
        <v>48387</v>
      </c>
      <c r="R23" s="9">
        <v>25000</v>
      </c>
      <c r="S23" s="9">
        <v>24194</v>
      </c>
      <c r="T23" s="9">
        <v>1600</v>
      </c>
      <c r="U23" s="9">
        <v>1548</v>
      </c>
      <c r="V23" s="9">
        <v>19195</v>
      </c>
      <c r="W23" s="9">
        <v>18498</v>
      </c>
      <c r="X23" s="9">
        <v>95795</v>
      </c>
      <c r="Y23" s="9">
        <v>92627</v>
      </c>
      <c r="Z23" s="9">
        <v>1800</v>
      </c>
      <c r="AA23" s="10">
        <v>200</v>
      </c>
      <c r="AB23" s="10">
        <v>0</v>
      </c>
      <c r="AC23" s="9">
        <v>2000</v>
      </c>
      <c r="AD23" s="9">
        <v>1800</v>
      </c>
      <c r="AE23" s="9">
        <v>2405</v>
      </c>
      <c r="AF23" s="9">
        <v>4205</v>
      </c>
      <c r="AG23" s="9">
        <v>99690</v>
      </c>
      <c r="AH23" s="9">
        <v>90627</v>
      </c>
      <c r="AI23" t="str">
        <f t="shared" si="2"/>
        <v>Ninety  Thousand Six Hundred and Twenty Seven</v>
      </c>
    </row>
    <row r="24" spans="1:35" x14ac:dyDescent="0.35">
      <c r="A24" s="5" t="s">
        <v>83</v>
      </c>
      <c r="B24" s="5" t="s">
        <v>84</v>
      </c>
      <c r="C24" s="3" t="s">
        <v>119</v>
      </c>
      <c r="D24" s="6" t="s">
        <v>65</v>
      </c>
      <c r="E24" t="s">
        <v>68</v>
      </c>
      <c r="F24" t="s">
        <v>69</v>
      </c>
      <c r="G24" s="7">
        <v>15550100112314</v>
      </c>
      <c r="H24" s="7" t="s">
        <v>168</v>
      </c>
      <c r="I24" s="7">
        <v>101496699678</v>
      </c>
      <c r="K24" s="8" t="s">
        <v>133</v>
      </c>
      <c r="L24" s="3" t="s">
        <v>134</v>
      </c>
      <c r="M24">
        <v>31</v>
      </c>
      <c r="N24">
        <v>1</v>
      </c>
      <c r="O24" s="8" t="s">
        <v>133</v>
      </c>
      <c r="P24" s="9">
        <v>17500</v>
      </c>
      <c r="Q24" s="9">
        <v>16935</v>
      </c>
      <c r="R24" s="9">
        <v>8750</v>
      </c>
      <c r="S24" s="9">
        <v>8468</v>
      </c>
      <c r="T24" s="9">
        <v>1600</v>
      </c>
      <c r="U24" s="9">
        <v>1548</v>
      </c>
      <c r="V24" s="9">
        <v>4508</v>
      </c>
      <c r="W24" s="9">
        <v>4363</v>
      </c>
      <c r="X24" s="9">
        <v>32358</v>
      </c>
      <c r="Y24" s="9">
        <v>31314</v>
      </c>
      <c r="Z24" s="9">
        <v>1800</v>
      </c>
      <c r="AA24" s="10">
        <v>200</v>
      </c>
      <c r="AB24" s="10" t="s">
        <v>194</v>
      </c>
      <c r="AC24" s="9">
        <v>2000</v>
      </c>
      <c r="AD24" s="9">
        <v>1800</v>
      </c>
      <c r="AE24" s="10">
        <v>815</v>
      </c>
      <c r="AF24" s="9">
        <v>2615</v>
      </c>
      <c r="AG24" s="9">
        <v>35000</v>
      </c>
      <c r="AH24" s="9">
        <v>29314</v>
      </c>
      <c r="AI24" t="str">
        <f t="shared" si="2"/>
        <v>Twenty Nine Thousand Three Hundred and Fourteen</v>
      </c>
    </row>
    <row r="25" spans="1:35" x14ac:dyDescent="0.35">
      <c r="A25" s="5" t="s">
        <v>85</v>
      </c>
      <c r="B25" s="5" t="s">
        <v>86</v>
      </c>
      <c r="C25" s="3" t="s">
        <v>119</v>
      </c>
      <c r="D25" s="6" t="s">
        <v>125</v>
      </c>
      <c r="E25" t="s">
        <v>68</v>
      </c>
      <c r="F25" t="s">
        <v>69</v>
      </c>
      <c r="G25" s="7" t="s">
        <v>176</v>
      </c>
      <c r="H25" s="7" t="s">
        <v>120</v>
      </c>
      <c r="I25" s="7">
        <v>101812070660</v>
      </c>
      <c r="K25" s="8" t="s">
        <v>133</v>
      </c>
      <c r="L25" s="3" t="s">
        <v>134</v>
      </c>
      <c r="M25">
        <v>31</v>
      </c>
      <c r="N25">
        <v>0</v>
      </c>
      <c r="O25" s="8" t="s">
        <v>133</v>
      </c>
      <c r="P25" s="9">
        <v>15000</v>
      </c>
      <c r="Q25" s="9">
        <v>15000</v>
      </c>
      <c r="R25" s="9">
        <v>7500</v>
      </c>
      <c r="S25" s="9">
        <v>7500</v>
      </c>
      <c r="T25" s="9">
        <v>1600</v>
      </c>
      <c r="U25" s="9">
        <v>1600</v>
      </c>
      <c r="V25" s="9">
        <v>3379</v>
      </c>
      <c r="W25" s="9">
        <v>3379</v>
      </c>
      <c r="X25" s="9">
        <v>27479</v>
      </c>
      <c r="Y25" s="9">
        <v>27479</v>
      </c>
      <c r="Z25" s="9">
        <v>1800</v>
      </c>
      <c r="AA25" s="10">
        <v>200</v>
      </c>
      <c r="AB25" s="10" t="s">
        <v>194</v>
      </c>
      <c r="AC25" s="9">
        <v>2000</v>
      </c>
      <c r="AD25" s="9">
        <v>1800</v>
      </c>
      <c r="AE25" s="10">
        <v>721</v>
      </c>
      <c r="AF25" s="9">
        <v>2521</v>
      </c>
      <c r="AG25" s="9">
        <v>30000</v>
      </c>
      <c r="AH25" s="9">
        <v>25479</v>
      </c>
      <c r="AI25" t="str">
        <f t="shared" si="2"/>
        <v>Twenty Five Thousand Four Hundred and Seventy Nine</v>
      </c>
    </row>
    <row r="26" spans="1:35" x14ac:dyDescent="0.35">
      <c r="A26" s="5" t="s">
        <v>117</v>
      </c>
      <c r="B26" s="5" t="s">
        <v>118</v>
      </c>
      <c r="C26" s="3" t="s">
        <v>119</v>
      </c>
      <c r="D26" s="6" t="s">
        <v>132</v>
      </c>
      <c r="E26" t="s">
        <v>68</v>
      </c>
      <c r="F26" t="s">
        <v>69</v>
      </c>
      <c r="G26" s="7">
        <v>111101513423</v>
      </c>
      <c r="H26" s="7" t="s">
        <v>129</v>
      </c>
      <c r="I26" s="7">
        <v>102135829120</v>
      </c>
      <c r="K26" s="8" t="s">
        <v>133</v>
      </c>
      <c r="L26" s="3" t="s">
        <v>134</v>
      </c>
      <c r="M26">
        <v>31</v>
      </c>
      <c r="N26">
        <v>4.5</v>
      </c>
      <c r="O26" s="8" t="s">
        <v>133</v>
      </c>
      <c r="P26" s="9">
        <v>17500</v>
      </c>
      <c r="Q26" s="9">
        <v>14960</v>
      </c>
      <c r="R26" s="9">
        <v>8750</v>
      </c>
      <c r="S26" s="9">
        <v>7480</v>
      </c>
      <c r="T26" s="9">
        <v>1600</v>
      </c>
      <c r="U26" s="9">
        <v>1368</v>
      </c>
      <c r="V26" s="9">
        <v>4508</v>
      </c>
      <c r="W26" s="9">
        <v>3858</v>
      </c>
      <c r="X26" s="9">
        <v>32358</v>
      </c>
      <c r="Y26" s="9">
        <v>27665</v>
      </c>
      <c r="Z26" s="9">
        <v>1795</v>
      </c>
      <c r="AA26" s="10">
        <v>200</v>
      </c>
      <c r="AB26" s="10" t="s">
        <v>194</v>
      </c>
      <c r="AC26" s="9">
        <v>1995</v>
      </c>
      <c r="AD26" s="9">
        <v>1795</v>
      </c>
      <c r="AE26" s="10">
        <v>720</v>
      </c>
      <c r="AF26" s="9">
        <v>2515</v>
      </c>
      <c r="AG26" s="9">
        <v>35000</v>
      </c>
      <c r="AH26" s="9">
        <v>25670</v>
      </c>
      <c r="AI26" t="str">
        <f t="shared" si="2"/>
        <v xml:space="preserve">Twenty Five Thousand Six Hundred and Seventy </v>
      </c>
    </row>
    <row r="27" spans="1:35" x14ac:dyDescent="0.35">
      <c r="A27" s="5" t="s">
        <v>87</v>
      </c>
      <c r="B27" s="5" t="s">
        <v>88</v>
      </c>
      <c r="C27" s="3" t="s">
        <v>119</v>
      </c>
      <c r="D27" s="6" t="s">
        <v>64</v>
      </c>
      <c r="E27" t="s">
        <v>68</v>
      </c>
      <c r="F27" t="s">
        <v>69</v>
      </c>
      <c r="G27" s="7" t="s">
        <v>177</v>
      </c>
      <c r="H27" s="7" t="s">
        <v>121</v>
      </c>
      <c r="I27" s="7">
        <v>101577152605</v>
      </c>
      <c r="K27" s="8" t="s">
        <v>133</v>
      </c>
      <c r="L27" s="3" t="s">
        <v>134</v>
      </c>
      <c r="M27">
        <v>31</v>
      </c>
      <c r="N27">
        <v>0</v>
      </c>
      <c r="O27" s="8" t="s">
        <v>133</v>
      </c>
      <c r="P27" s="9">
        <v>25000</v>
      </c>
      <c r="Q27" s="9">
        <v>25000</v>
      </c>
      <c r="R27" s="9">
        <v>12500</v>
      </c>
      <c r="S27" s="9">
        <v>12500</v>
      </c>
      <c r="T27" s="9">
        <v>1600</v>
      </c>
      <c r="U27" s="9">
        <v>1600</v>
      </c>
      <c r="V27" s="9">
        <v>7898</v>
      </c>
      <c r="W27" s="9">
        <v>7898</v>
      </c>
      <c r="X27" s="9">
        <v>46998</v>
      </c>
      <c r="Y27" s="9">
        <v>46998</v>
      </c>
      <c r="Z27" s="9">
        <v>1800</v>
      </c>
      <c r="AA27" s="10">
        <v>200</v>
      </c>
      <c r="AB27" s="10" t="s">
        <v>194</v>
      </c>
      <c r="AC27" s="9">
        <v>2000</v>
      </c>
      <c r="AD27" s="9">
        <v>1800</v>
      </c>
      <c r="AE27" s="9">
        <v>1202</v>
      </c>
      <c r="AF27" s="9">
        <v>3002</v>
      </c>
      <c r="AG27" s="9">
        <v>50000</v>
      </c>
      <c r="AH27" s="9">
        <v>44998</v>
      </c>
      <c r="AI27" t="str">
        <f t="shared" si="2"/>
        <v>Forty Four Thousand Nine Hundred and Ninety Eight</v>
      </c>
    </row>
    <row r="28" spans="1:35" x14ac:dyDescent="0.35">
      <c r="A28" s="5" t="s">
        <v>89</v>
      </c>
      <c r="B28" s="5" t="s">
        <v>90</v>
      </c>
      <c r="C28" s="3" t="s">
        <v>73</v>
      </c>
      <c r="D28" s="6" t="s">
        <v>126</v>
      </c>
      <c r="E28" t="s">
        <v>68</v>
      </c>
      <c r="F28" t="s">
        <v>69</v>
      </c>
      <c r="G28" s="7">
        <v>55560103431927</v>
      </c>
      <c r="H28" s="7" t="s">
        <v>168</v>
      </c>
      <c r="I28" s="7">
        <v>102241197755</v>
      </c>
      <c r="K28" s="8" t="s">
        <v>133</v>
      </c>
      <c r="L28" s="3" t="s">
        <v>134</v>
      </c>
      <c r="M28">
        <v>31</v>
      </c>
      <c r="N28">
        <v>1</v>
      </c>
      <c r="O28" s="8" t="s">
        <v>133</v>
      </c>
      <c r="P28" s="9">
        <v>11103</v>
      </c>
      <c r="Q28" s="9">
        <v>11129</v>
      </c>
      <c r="R28" s="9">
        <v>5552</v>
      </c>
      <c r="S28" s="9">
        <v>5565</v>
      </c>
      <c r="T28" s="9">
        <v>1545</v>
      </c>
      <c r="U28" s="9">
        <v>1548</v>
      </c>
      <c r="V28" s="9">
        <v>2186</v>
      </c>
      <c r="W28" s="9">
        <v>2188</v>
      </c>
      <c r="X28" s="9">
        <v>20386</v>
      </c>
      <c r="Y28" s="9">
        <v>20430</v>
      </c>
      <c r="Z28" s="9">
        <v>1335</v>
      </c>
      <c r="AA28" s="10">
        <v>200</v>
      </c>
      <c r="AB28" s="10" t="s">
        <v>194</v>
      </c>
      <c r="AC28" s="9">
        <v>1535</v>
      </c>
      <c r="AD28" s="9">
        <v>1335</v>
      </c>
      <c r="AE28" s="10">
        <v>535</v>
      </c>
      <c r="AF28" s="9">
        <v>1871</v>
      </c>
      <c r="AG28" s="9">
        <v>22253</v>
      </c>
      <c r="AH28" s="9">
        <v>18895</v>
      </c>
      <c r="AI28" t="str">
        <f t="shared" si="2"/>
        <v>Eighteen Thousand Eight Hundred and Ninety Five</v>
      </c>
    </row>
    <row r="29" spans="1:35" x14ac:dyDescent="0.35">
      <c r="A29" s="5" t="s">
        <v>91</v>
      </c>
      <c r="B29" s="5" t="s">
        <v>92</v>
      </c>
      <c r="C29" s="3" t="s">
        <v>119</v>
      </c>
      <c r="D29" s="6" t="s">
        <v>127</v>
      </c>
      <c r="E29" t="s">
        <v>68</v>
      </c>
      <c r="F29" t="s">
        <v>69</v>
      </c>
      <c r="G29" s="7">
        <v>15550100112355</v>
      </c>
      <c r="H29" s="7" t="s">
        <v>168</v>
      </c>
      <c r="I29" s="7">
        <v>102260670501</v>
      </c>
      <c r="K29" s="8" t="s">
        <v>133</v>
      </c>
      <c r="L29" s="3" t="s">
        <v>134</v>
      </c>
      <c r="M29">
        <v>31</v>
      </c>
      <c r="N29">
        <v>0</v>
      </c>
      <c r="O29" s="8" t="s">
        <v>133</v>
      </c>
      <c r="P29" s="9">
        <v>7500</v>
      </c>
      <c r="Q29" s="9">
        <v>7500</v>
      </c>
      <c r="R29" s="9">
        <v>3750</v>
      </c>
      <c r="S29" s="9">
        <v>3750</v>
      </c>
      <c r="T29" s="9">
        <v>1600</v>
      </c>
      <c r="U29" s="9">
        <v>1600</v>
      </c>
      <c r="V29" s="10">
        <v>889</v>
      </c>
      <c r="W29" s="10">
        <v>889</v>
      </c>
      <c r="X29" s="9">
        <v>13739</v>
      </c>
      <c r="Y29" s="9">
        <v>13739</v>
      </c>
      <c r="Z29" s="10">
        <v>900</v>
      </c>
      <c r="AA29" s="10">
        <v>150</v>
      </c>
      <c r="AB29" s="10" t="s">
        <v>194</v>
      </c>
      <c r="AC29" s="9">
        <v>1050</v>
      </c>
      <c r="AD29" s="10">
        <v>900</v>
      </c>
      <c r="AE29" s="10">
        <v>361</v>
      </c>
      <c r="AF29" s="9">
        <v>1261</v>
      </c>
      <c r="AG29" s="9">
        <v>15000</v>
      </c>
      <c r="AH29" s="9">
        <v>12689</v>
      </c>
      <c r="AI29" t="str">
        <f t="shared" si="2"/>
        <v>Twelve Thousand Six Hundred and Eighty Nine</v>
      </c>
    </row>
    <row r="30" spans="1:35" x14ac:dyDescent="0.35">
      <c r="A30" s="5" t="s">
        <v>93</v>
      </c>
      <c r="B30" s="5" t="s">
        <v>94</v>
      </c>
      <c r="C30" s="3" t="s">
        <v>119</v>
      </c>
      <c r="D30" s="6" t="s">
        <v>127</v>
      </c>
      <c r="E30" t="s">
        <v>68</v>
      </c>
      <c r="F30" t="s">
        <v>69</v>
      </c>
      <c r="G30" s="7">
        <v>15550100112280</v>
      </c>
      <c r="H30" s="7" t="s">
        <v>168</v>
      </c>
      <c r="I30" s="7">
        <v>102241771762</v>
      </c>
      <c r="K30" s="8" t="s">
        <v>133</v>
      </c>
      <c r="L30" s="3" t="s">
        <v>134</v>
      </c>
      <c r="M30">
        <v>31</v>
      </c>
      <c r="N30">
        <v>0</v>
      </c>
      <c r="O30" s="8" t="s">
        <v>133</v>
      </c>
      <c r="P30" s="9">
        <v>7500</v>
      </c>
      <c r="Q30" s="9">
        <v>7500</v>
      </c>
      <c r="R30" s="9">
        <v>3750</v>
      </c>
      <c r="S30" s="9">
        <v>3750</v>
      </c>
      <c r="T30" s="9">
        <v>1600</v>
      </c>
      <c r="U30" s="9">
        <v>1600</v>
      </c>
      <c r="V30" s="10">
        <v>889</v>
      </c>
      <c r="W30" s="10">
        <v>889</v>
      </c>
      <c r="X30" s="9">
        <v>13739</v>
      </c>
      <c r="Y30" s="9">
        <v>13739</v>
      </c>
      <c r="Z30" s="10">
        <v>900</v>
      </c>
      <c r="AA30" s="10">
        <v>150</v>
      </c>
      <c r="AB30" s="10" t="s">
        <v>194</v>
      </c>
      <c r="AC30" s="9">
        <v>1050</v>
      </c>
      <c r="AD30" s="10">
        <v>900</v>
      </c>
      <c r="AE30" s="10">
        <v>361</v>
      </c>
      <c r="AF30" s="9">
        <v>1261</v>
      </c>
      <c r="AG30" s="9">
        <v>15000</v>
      </c>
      <c r="AH30" s="9">
        <v>12689</v>
      </c>
      <c r="AI30" t="str">
        <f t="shared" si="2"/>
        <v>Twelve Thousand Six Hundred and Eighty Nine</v>
      </c>
    </row>
    <row r="31" spans="1:35" x14ac:dyDescent="0.35">
      <c r="A31" s="5" t="s">
        <v>95</v>
      </c>
      <c r="B31" s="5" t="s">
        <v>96</v>
      </c>
      <c r="C31" s="3" t="s">
        <v>119</v>
      </c>
      <c r="D31" s="6" t="s">
        <v>127</v>
      </c>
      <c r="E31" t="s">
        <v>68</v>
      </c>
      <c r="F31" t="s">
        <v>69</v>
      </c>
      <c r="G31" s="7">
        <v>15550100112272</v>
      </c>
      <c r="H31" s="7" t="s">
        <v>168</v>
      </c>
      <c r="I31" s="7">
        <v>101865114927</v>
      </c>
      <c r="K31" s="8" t="s">
        <v>133</v>
      </c>
      <c r="L31" s="3" t="s">
        <v>134</v>
      </c>
      <c r="M31">
        <v>31</v>
      </c>
      <c r="N31">
        <v>0</v>
      </c>
      <c r="O31" s="8" t="s">
        <v>133</v>
      </c>
      <c r="P31" s="9">
        <v>7500</v>
      </c>
      <c r="Q31" s="9">
        <v>7500</v>
      </c>
      <c r="R31" s="9">
        <v>3750</v>
      </c>
      <c r="S31" s="9">
        <v>3750</v>
      </c>
      <c r="T31" s="9">
        <v>1600</v>
      </c>
      <c r="U31" s="9">
        <v>1600</v>
      </c>
      <c r="V31" s="10">
        <v>889</v>
      </c>
      <c r="W31" s="10">
        <v>889</v>
      </c>
      <c r="X31" s="9">
        <v>13739</v>
      </c>
      <c r="Y31" s="9">
        <v>13739</v>
      </c>
      <c r="Z31" s="10">
        <v>900</v>
      </c>
      <c r="AA31" s="10">
        <v>150</v>
      </c>
      <c r="AB31" s="10" t="s">
        <v>194</v>
      </c>
      <c r="AC31" s="9">
        <v>1050</v>
      </c>
      <c r="AD31" s="10">
        <v>900</v>
      </c>
      <c r="AE31" s="10">
        <v>361</v>
      </c>
      <c r="AF31" s="9">
        <v>1261</v>
      </c>
      <c r="AG31" s="9">
        <v>15000</v>
      </c>
      <c r="AH31" s="9">
        <v>12689</v>
      </c>
      <c r="AI31" t="str">
        <f t="shared" si="2"/>
        <v>Twelve Thousand Six Hundred and Eighty Nine</v>
      </c>
    </row>
    <row r="32" spans="1:35" x14ac:dyDescent="0.35">
      <c r="A32" s="5" t="s">
        <v>99</v>
      </c>
      <c r="B32" s="5" t="s">
        <v>100</v>
      </c>
      <c r="C32" s="3" t="s">
        <v>119</v>
      </c>
      <c r="D32" s="6" t="s">
        <v>126</v>
      </c>
      <c r="E32" t="s">
        <v>68</v>
      </c>
      <c r="F32" t="s">
        <v>69</v>
      </c>
      <c r="G32" s="7">
        <v>15550100112306</v>
      </c>
      <c r="H32" s="7" t="s">
        <v>168</v>
      </c>
      <c r="I32" s="7">
        <v>101923719120</v>
      </c>
      <c r="K32" s="8" t="s">
        <v>133</v>
      </c>
      <c r="L32" s="3" t="s">
        <v>134</v>
      </c>
      <c r="M32">
        <v>31</v>
      </c>
      <c r="N32">
        <v>0</v>
      </c>
      <c r="O32" s="8" t="s">
        <v>133</v>
      </c>
      <c r="P32" s="9">
        <v>7500</v>
      </c>
      <c r="Q32" s="9">
        <v>7500</v>
      </c>
      <c r="R32" s="9">
        <v>3750</v>
      </c>
      <c r="S32" s="9">
        <v>3750</v>
      </c>
      <c r="T32" s="9">
        <v>1600</v>
      </c>
      <c r="U32" s="9">
        <v>1600</v>
      </c>
      <c r="V32" s="10">
        <v>889</v>
      </c>
      <c r="W32" s="10">
        <v>889</v>
      </c>
      <c r="X32" s="9">
        <v>13739</v>
      </c>
      <c r="Y32" s="9">
        <v>13739</v>
      </c>
      <c r="Z32" s="10">
        <v>900</v>
      </c>
      <c r="AA32" s="10">
        <v>150</v>
      </c>
      <c r="AB32" s="10" t="s">
        <v>194</v>
      </c>
      <c r="AC32" s="9">
        <v>1050</v>
      </c>
      <c r="AD32" s="10">
        <v>900</v>
      </c>
      <c r="AE32" s="10">
        <v>361</v>
      </c>
      <c r="AF32" s="9">
        <v>1261</v>
      </c>
      <c r="AG32" s="9">
        <v>15000</v>
      </c>
      <c r="AH32" s="9">
        <v>12689</v>
      </c>
      <c r="AI32" t="str">
        <f t="shared" si="2"/>
        <v>Twelve Thousand Six Hundred and Eighty Nine</v>
      </c>
    </row>
    <row r="33" spans="1:35" x14ac:dyDescent="0.35">
      <c r="A33" s="5" t="s">
        <v>101</v>
      </c>
      <c r="B33" s="5" t="s">
        <v>102</v>
      </c>
      <c r="C33" s="3" t="s">
        <v>119</v>
      </c>
      <c r="D33" s="6" t="s">
        <v>126</v>
      </c>
      <c r="E33" t="s">
        <v>68</v>
      </c>
      <c r="F33" t="s">
        <v>69</v>
      </c>
      <c r="G33" s="7">
        <v>15550100112298</v>
      </c>
      <c r="H33" s="7" t="s">
        <v>168</v>
      </c>
      <c r="I33" s="7">
        <v>102273733458</v>
      </c>
      <c r="K33" s="8" t="s">
        <v>133</v>
      </c>
      <c r="L33" s="3" t="s">
        <v>134</v>
      </c>
      <c r="M33">
        <v>31</v>
      </c>
      <c r="N33">
        <v>0</v>
      </c>
      <c r="O33" s="8" t="s">
        <v>133</v>
      </c>
      <c r="P33" s="9">
        <v>7500</v>
      </c>
      <c r="Q33" s="9">
        <v>7500</v>
      </c>
      <c r="R33" s="9">
        <v>3750</v>
      </c>
      <c r="S33" s="9">
        <v>3750</v>
      </c>
      <c r="T33" s="9">
        <v>1600</v>
      </c>
      <c r="U33" s="9">
        <v>1600</v>
      </c>
      <c r="V33" s="10">
        <v>889</v>
      </c>
      <c r="W33" s="10">
        <v>889</v>
      </c>
      <c r="X33" s="9">
        <v>13739</v>
      </c>
      <c r="Y33" s="9">
        <v>13739</v>
      </c>
      <c r="Z33" s="10">
        <v>900</v>
      </c>
      <c r="AA33" s="10">
        <v>150</v>
      </c>
      <c r="AB33" s="10" t="s">
        <v>194</v>
      </c>
      <c r="AC33" s="9">
        <v>1050</v>
      </c>
      <c r="AD33" s="10">
        <v>900</v>
      </c>
      <c r="AE33" s="10">
        <v>361</v>
      </c>
      <c r="AF33" s="9">
        <v>1261</v>
      </c>
      <c r="AG33" s="9">
        <v>15000</v>
      </c>
      <c r="AH33" s="9">
        <v>12689</v>
      </c>
      <c r="AI33" t="str">
        <f t="shared" si="2"/>
        <v>Twelve Thousand Six Hundred and Eighty Nine</v>
      </c>
    </row>
    <row r="34" spans="1:35" x14ac:dyDescent="0.35">
      <c r="A34" s="5" t="s">
        <v>97</v>
      </c>
      <c r="B34" s="5" t="s">
        <v>98</v>
      </c>
      <c r="C34" s="3" t="s">
        <v>119</v>
      </c>
      <c r="D34" s="6" t="s">
        <v>127</v>
      </c>
      <c r="E34" t="s">
        <v>68</v>
      </c>
      <c r="F34" t="s">
        <v>69</v>
      </c>
      <c r="G34" s="7" t="s">
        <v>178</v>
      </c>
      <c r="H34" s="7" t="s">
        <v>123</v>
      </c>
      <c r="I34" s="7"/>
      <c r="K34" s="8" t="s">
        <v>133</v>
      </c>
      <c r="L34" s="3" t="s">
        <v>134</v>
      </c>
      <c r="M34">
        <v>31</v>
      </c>
      <c r="N34">
        <v>17</v>
      </c>
      <c r="O34" s="8" t="s">
        <v>133</v>
      </c>
      <c r="P34" s="9">
        <v>7000</v>
      </c>
      <c r="Q34" s="9">
        <v>3387</v>
      </c>
      <c r="R34" s="9">
        <v>3500</v>
      </c>
      <c r="S34" s="9">
        <v>1694</v>
      </c>
      <c r="T34" s="9">
        <v>1493</v>
      </c>
      <c r="U34" s="10">
        <v>723</v>
      </c>
      <c r="V34" s="10">
        <v>886</v>
      </c>
      <c r="W34" s="10">
        <v>624</v>
      </c>
      <c r="X34" s="9">
        <v>12879</v>
      </c>
      <c r="Y34" s="9">
        <v>6428</v>
      </c>
      <c r="Z34" s="10">
        <v>406</v>
      </c>
      <c r="AA34" s="10">
        <v>150</v>
      </c>
      <c r="AB34" s="10" t="s">
        <v>194</v>
      </c>
      <c r="AC34" s="10">
        <v>556</v>
      </c>
      <c r="AD34" s="10">
        <v>406</v>
      </c>
      <c r="AE34" s="10">
        <v>163</v>
      </c>
      <c r="AF34" s="10">
        <v>569</v>
      </c>
      <c r="AG34" s="9">
        <v>14056</v>
      </c>
      <c r="AH34" s="9">
        <v>5871</v>
      </c>
      <c r="AI34" t="str">
        <f t="shared" si="2"/>
        <v>Five Thousand Eight Hundred and Seventy One</v>
      </c>
    </row>
    <row r="35" spans="1:35" x14ac:dyDescent="0.35">
      <c r="A35" s="5" t="s">
        <v>105</v>
      </c>
      <c r="B35" s="5" t="s">
        <v>106</v>
      </c>
      <c r="C35" s="3" t="s">
        <v>119</v>
      </c>
      <c r="D35" s="6" t="s">
        <v>62</v>
      </c>
      <c r="E35" t="s">
        <v>68</v>
      </c>
      <c r="F35" t="s">
        <v>69</v>
      </c>
      <c r="G35" s="7">
        <v>37097117593</v>
      </c>
      <c r="H35" s="7" t="s">
        <v>199</v>
      </c>
      <c r="I35" s="7">
        <v>102318333072</v>
      </c>
      <c r="K35" s="8" t="s">
        <v>133</v>
      </c>
      <c r="L35" s="3" t="s">
        <v>134</v>
      </c>
      <c r="M35">
        <v>31</v>
      </c>
      <c r="N35">
        <v>0</v>
      </c>
      <c r="O35" s="8" t="s">
        <v>133</v>
      </c>
      <c r="P35" s="9">
        <v>22500</v>
      </c>
      <c r="Q35" s="9">
        <v>22500</v>
      </c>
      <c r="R35" s="9">
        <v>11250</v>
      </c>
      <c r="S35" s="9">
        <v>11250</v>
      </c>
      <c r="T35" s="9">
        <v>1600</v>
      </c>
      <c r="U35" s="9">
        <v>1600</v>
      </c>
      <c r="V35" s="9">
        <v>6768</v>
      </c>
      <c r="W35" s="9">
        <v>6768</v>
      </c>
      <c r="X35" s="9">
        <v>42118</v>
      </c>
      <c r="Y35" s="9">
        <v>42118</v>
      </c>
      <c r="Z35" s="9">
        <v>1800</v>
      </c>
      <c r="AA35" s="10">
        <v>200</v>
      </c>
      <c r="AB35" s="10" t="s">
        <v>194</v>
      </c>
      <c r="AC35" s="9">
        <v>2000</v>
      </c>
      <c r="AD35" s="9">
        <v>1800</v>
      </c>
      <c r="AE35" s="9">
        <v>1082</v>
      </c>
      <c r="AF35" s="9">
        <v>2882</v>
      </c>
      <c r="AG35" s="9">
        <v>45000</v>
      </c>
      <c r="AH35" s="9">
        <v>40118</v>
      </c>
      <c r="AI35" t="str">
        <f t="shared" si="2"/>
        <v>Forty  Thousand One Hundred and Eighteen</v>
      </c>
    </row>
    <row r="36" spans="1:35" x14ac:dyDescent="0.35">
      <c r="A36" s="5" t="s">
        <v>107</v>
      </c>
      <c r="B36" s="5" t="s">
        <v>108</v>
      </c>
      <c r="C36" s="3" t="s">
        <v>119</v>
      </c>
      <c r="D36" s="6" t="s">
        <v>128</v>
      </c>
      <c r="E36" t="s">
        <v>68</v>
      </c>
      <c r="F36" t="s">
        <v>69</v>
      </c>
      <c r="G36" s="7">
        <v>99980130961779</v>
      </c>
      <c r="H36" s="7" t="s">
        <v>168</v>
      </c>
      <c r="I36" s="7">
        <v>102319543030</v>
      </c>
      <c r="K36" s="8" t="s">
        <v>133</v>
      </c>
      <c r="L36" s="3" t="s">
        <v>134</v>
      </c>
      <c r="M36">
        <v>31</v>
      </c>
      <c r="N36">
        <v>0</v>
      </c>
      <c r="O36" s="8" t="s">
        <v>133</v>
      </c>
      <c r="P36" s="9">
        <v>15000</v>
      </c>
      <c r="Q36" s="9">
        <v>15000</v>
      </c>
      <c r="R36" s="9">
        <v>7500</v>
      </c>
      <c r="S36" s="9">
        <v>7500</v>
      </c>
      <c r="T36" s="9">
        <v>1600</v>
      </c>
      <c r="U36" s="9">
        <v>1600</v>
      </c>
      <c r="V36" s="9">
        <v>3379</v>
      </c>
      <c r="W36" s="9">
        <v>3379</v>
      </c>
      <c r="X36" s="9">
        <v>27479</v>
      </c>
      <c r="Y36" s="9">
        <v>27479</v>
      </c>
      <c r="Z36" s="9">
        <v>1800</v>
      </c>
      <c r="AA36" s="10">
        <v>200</v>
      </c>
      <c r="AB36" s="10" t="s">
        <v>194</v>
      </c>
      <c r="AC36" s="9">
        <v>2000</v>
      </c>
      <c r="AD36" s="9">
        <v>1800</v>
      </c>
      <c r="AE36" s="10">
        <v>721</v>
      </c>
      <c r="AF36" s="9">
        <v>2521</v>
      </c>
      <c r="AG36" s="9">
        <v>30000</v>
      </c>
      <c r="AH36" s="9">
        <v>25479</v>
      </c>
      <c r="AI36" t="str">
        <f t="shared" si="2"/>
        <v>Twenty Five Thousand Four Hundred and Seventy Nine</v>
      </c>
    </row>
    <row r="37" spans="1:35" x14ac:dyDescent="0.35">
      <c r="A37" s="5" t="s">
        <v>109</v>
      </c>
      <c r="B37" s="5" t="s">
        <v>110</v>
      </c>
      <c r="C37" s="3" t="s">
        <v>119</v>
      </c>
      <c r="D37" s="6" t="s">
        <v>127</v>
      </c>
      <c r="E37" t="s">
        <v>68</v>
      </c>
      <c r="F37" t="s">
        <v>69</v>
      </c>
      <c r="G37" s="7">
        <v>23520100016377</v>
      </c>
      <c r="H37" s="7" t="s">
        <v>170</v>
      </c>
      <c r="I37" s="7">
        <v>101662232168</v>
      </c>
      <c r="K37" s="8" t="s">
        <v>133</v>
      </c>
      <c r="L37" s="3" t="s">
        <v>134</v>
      </c>
      <c r="M37">
        <v>31</v>
      </c>
      <c r="N37">
        <v>1</v>
      </c>
      <c r="O37" s="8" t="s">
        <v>133</v>
      </c>
      <c r="P37" s="9">
        <v>7500</v>
      </c>
      <c r="Q37" s="9">
        <v>7258</v>
      </c>
      <c r="R37" s="9">
        <v>3750</v>
      </c>
      <c r="S37" s="9">
        <v>3629</v>
      </c>
      <c r="T37" s="9">
        <v>1600</v>
      </c>
      <c r="U37" s="9">
        <v>1548</v>
      </c>
      <c r="V37" s="10">
        <v>889</v>
      </c>
      <c r="W37" s="10">
        <v>889</v>
      </c>
      <c r="X37" s="9">
        <v>13739</v>
      </c>
      <c r="Y37" s="9">
        <v>13324</v>
      </c>
      <c r="Z37" s="10">
        <v>871</v>
      </c>
      <c r="AA37" s="10">
        <v>150</v>
      </c>
      <c r="AB37" s="10" t="s">
        <v>194</v>
      </c>
      <c r="AC37" s="9">
        <v>1021</v>
      </c>
      <c r="AD37" s="10">
        <v>871</v>
      </c>
      <c r="AE37" s="10">
        <v>349</v>
      </c>
      <c r="AF37" s="9">
        <v>1220</v>
      </c>
      <c r="AG37" s="9">
        <v>15000</v>
      </c>
      <c r="AH37" s="9">
        <v>12303</v>
      </c>
      <c r="AI37" t="str">
        <f t="shared" si="2"/>
        <v>Twelve Thousand Three Hundred and Three</v>
      </c>
    </row>
    <row r="38" spans="1:35" x14ac:dyDescent="0.35">
      <c r="A38" s="15" t="s">
        <v>111</v>
      </c>
      <c r="B38" s="5" t="s">
        <v>112</v>
      </c>
      <c r="C38" s="3" t="s">
        <v>119</v>
      </c>
      <c r="D38" s="6" t="s">
        <v>127</v>
      </c>
      <c r="E38" t="s">
        <v>68</v>
      </c>
      <c r="F38" t="s">
        <v>69</v>
      </c>
      <c r="G38" s="7">
        <v>15550100112322</v>
      </c>
      <c r="H38" s="7" t="s">
        <v>168</v>
      </c>
      <c r="I38" s="7">
        <v>102253787902</v>
      </c>
      <c r="K38" s="8" t="s">
        <v>133</v>
      </c>
      <c r="L38" s="3" t="s">
        <v>134</v>
      </c>
      <c r="M38">
        <v>31</v>
      </c>
      <c r="N38">
        <v>0</v>
      </c>
      <c r="O38" s="8" t="s">
        <v>133</v>
      </c>
      <c r="P38" s="9">
        <v>7500</v>
      </c>
      <c r="Q38" s="9">
        <v>7500</v>
      </c>
      <c r="R38" s="9">
        <v>3750</v>
      </c>
      <c r="S38" s="9">
        <v>3750</v>
      </c>
      <c r="T38" s="9">
        <v>1600</v>
      </c>
      <c r="U38" s="9">
        <v>1600</v>
      </c>
      <c r="V38" s="10">
        <v>889</v>
      </c>
      <c r="W38" s="10">
        <v>889</v>
      </c>
      <c r="X38" s="9">
        <v>13739</v>
      </c>
      <c r="Y38" s="9">
        <v>13739</v>
      </c>
      <c r="Z38" s="10">
        <v>900</v>
      </c>
      <c r="AA38" s="10">
        <v>150</v>
      </c>
      <c r="AB38" s="10" t="s">
        <v>194</v>
      </c>
      <c r="AC38" s="9">
        <v>1050</v>
      </c>
      <c r="AD38" s="10">
        <v>900</v>
      </c>
      <c r="AE38" s="10">
        <v>361</v>
      </c>
      <c r="AF38" s="9">
        <v>1261</v>
      </c>
      <c r="AG38" s="9">
        <v>15000</v>
      </c>
      <c r="AH38" s="9">
        <v>12689</v>
      </c>
      <c r="AI38" t="str">
        <f t="shared" si="2"/>
        <v>Twelve Thousand Six Hundred and Eighty Nine</v>
      </c>
    </row>
    <row r="39" spans="1:35" x14ac:dyDescent="0.35">
      <c r="A39" s="15" t="s">
        <v>115</v>
      </c>
      <c r="B39" s="5" t="s">
        <v>116</v>
      </c>
      <c r="C39" s="3" t="s">
        <v>73</v>
      </c>
      <c r="D39" s="6" t="s">
        <v>126</v>
      </c>
      <c r="E39" t="s">
        <v>68</v>
      </c>
      <c r="F39" t="s">
        <v>69</v>
      </c>
      <c r="G39" s="7">
        <v>15550100112363</v>
      </c>
      <c r="H39" s="7" t="s">
        <v>168</v>
      </c>
      <c r="I39" s="7">
        <v>102241103345</v>
      </c>
      <c r="K39" s="8" t="s">
        <v>133</v>
      </c>
      <c r="L39" s="3" t="s">
        <v>134</v>
      </c>
      <c r="M39">
        <v>31</v>
      </c>
      <c r="N39">
        <v>0</v>
      </c>
      <c r="O39" s="8" t="s">
        <v>133</v>
      </c>
      <c r="P39" s="9">
        <v>12000</v>
      </c>
      <c r="Q39" s="9">
        <v>12000</v>
      </c>
      <c r="R39" s="9">
        <v>6000</v>
      </c>
      <c r="S39" s="9">
        <v>6000</v>
      </c>
      <c r="T39" s="9">
        <v>1600</v>
      </c>
      <c r="U39" s="9">
        <v>1600</v>
      </c>
      <c r="V39" s="9">
        <v>2383</v>
      </c>
      <c r="W39" s="9">
        <v>2383</v>
      </c>
      <c r="X39" s="9">
        <v>21983</v>
      </c>
      <c r="Y39" s="9">
        <v>21983</v>
      </c>
      <c r="Z39" s="21">
        <v>1440</v>
      </c>
      <c r="AA39" s="17">
        <v>200</v>
      </c>
      <c r="AB39" s="10" t="s">
        <v>194</v>
      </c>
      <c r="AC39" s="9">
        <v>1640</v>
      </c>
      <c r="AD39" s="21">
        <v>1440</v>
      </c>
      <c r="AE39" s="17">
        <v>577</v>
      </c>
      <c r="AF39" s="9">
        <f>AD39+AE39</f>
        <v>2017</v>
      </c>
      <c r="AG39" s="9">
        <v>24000</v>
      </c>
      <c r="AH39" s="9">
        <v>20343</v>
      </c>
      <c r="AI39" t="str">
        <f t="shared" si="2"/>
        <v>Twenty  Thousand Three Hundred and Forty Three</v>
      </c>
    </row>
    <row r="40" spans="1:35" x14ac:dyDescent="0.35">
      <c r="A40" s="11" t="s">
        <v>138</v>
      </c>
      <c r="B40" t="s">
        <v>154</v>
      </c>
      <c r="C40" s="3" t="s">
        <v>195</v>
      </c>
      <c r="D40" t="str">
        <f>VLOOKUP($A40,'[1]Tech Employee'!$B$2:$AM$52,6,0)</f>
        <v>Software Engineer – I</v>
      </c>
      <c r="E40" t="s">
        <v>68</v>
      </c>
      <c r="F40" t="s">
        <v>69</v>
      </c>
      <c r="G40" s="7">
        <v>99980130961803</v>
      </c>
      <c r="H40" s="7" t="s">
        <v>168</v>
      </c>
      <c r="I40" s="7">
        <v>102330613460</v>
      </c>
      <c r="K40" s="8" t="s">
        <v>133</v>
      </c>
      <c r="L40" s="3" t="s">
        <v>135</v>
      </c>
      <c r="M40">
        <v>28</v>
      </c>
      <c r="N40">
        <v>1</v>
      </c>
      <c r="O40" s="8" t="s">
        <v>133</v>
      </c>
      <c r="P40" s="17">
        <v>17500</v>
      </c>
      <c r="Q40" s="21">
        <v>15242</v>
      </c>
      <c r="R40" s="17">
        <v>8750</v>
      </c>
      <c r="S40" s="21">
        <v>7621</v>
      </c>
      <c r="T40" s="17">
        <v>1600</v>
      </c>
      <c r="U40" s="21">
        <v>1394</v>
      </c>
      <c r="V40" s="17">
        <v>4508</v>
      </c>
      <c r="W40" s="21">
        <v>3927</v>
      </c>
      <c r="X40" s="17">
        <v>32358</v>
      </c>
      <c r="Y40" s="21">
        <v>28183</v>
      </c>
      <c r="Z40" s="21">
        <v>1800</v>
      </c>
      <c r="AA40" s="17">
        <v>200</v>
      </c>
      <c r="AB40" s="10" t="s">
        <v>194</v>
      </c>
      <c r="AC40" s="9">
        <f>Z40+AA40</f>
        <v>2000</v>
      </c>
      <c r="AD40" s="21">
        <v>1800</v>
      </c>
      <c r="AE40" s="17">
        <v>733</v>
      </c>
      <c r="AF40" s="9">
        <f t="shared" ref="AF40:AF53" si="3">AD40+AE40</f>
        <v>2533</v>
      </c>
      <c r="AG40" s="17">
        <v>35000</v>
      </c>
      <c r="AH40" s="21">
        <v>26183</v>
      </c>
      <c r="AI40" t="str">
        <f t="shared" ref="AI40:AI53" si="4">CHOOSE(--LEFT(TEXT(AH40,"000000.00"))+1,,"One","Two","Three","Four","Five","Six","Seven","Eight","Nine")&amp;IF(--LEFT(TEXT(AH40,"000000.00"))=0,""," Lakh ")&amp;IF(--MID(TEXT(AH40,"000000.00"),2,1)&lt;&gt;1,CHOOSE(--MID(TEXT(AH40,"000000.00"),2,1)+1,,"","Twenty ","Thirty ","Forty ","Fifty ","Sixty ","Seventy ","Eighty ","Ninety "),"")&amp;IF(--MID(TEXT(AH40,"000000.00"),2,1)&lt;&gt;1,CHOOSE(--MID(TEXT(AH40,"000000.00"),3,1)+1,,"One","Two","Three","Four","Five","Six","Seven","Eight","Nine"),CHOOSE(--MID(TEXT(AH40,"000000.00"),3,1)+1,"Ten","Eleven","Twelve","Thirteen","Fourteen","Fifteen","Sixteen","Seventeen","Eighteen","Nineteen"))&amp;IF((--MID(TEXT(AH40,"000000.00"),2,1)+--MID(TEXT(AH40,"000000.00"),3,1))=0,""," Thousand ")&amp;CHOOSE(--MID(TEXT(AH40,"000000.00"),4,1)+1,,"One","Two","Three","Four","Five","Six","Seven","Eight","Nine")&amp;IF(--MID(TEXT(AH40,"000000.00"),4,1)=0,"",IF(AND(--MID(TEXT(AH40,"000000.00"),5,1)=0,--MID(TEXT(AH40,"000000.00"),6,1)=0)," Hundred"," Hundred and "))&amp;IF(--MID(TEXT(AH40,"000000.00"),5,1)&lt;&gt;1,CHOOSE(--MID(TEXT(AH40,"000000.00"),5,1)+1,,"","Twenty ","Thirty ","Forty ","Fifty ","Sixty ","Seventy ","Eighty ","Ninety "),"")&amp;IF(--MID(TEXT(AH40,"000000.00"),5,1)&lt;&gt;1,CHOOSE(--MID(TEXT(AH40,"000000.00"),6,1)+1,,"One","Two","Three","Four","Five","Six","Seven","Eight","Nine"),CHOOSE(--MID(TEXT(AH40,"000000.00"),6,1)+1,"Ten","Eleven","Twelve","Thirteen","Fourteen","Fifteen","Sixteen","Seventeen","Eighteen","Nineteen"))</f>
        <v>Twenty Six Thousand One Hundred and Eighty Three</v>
      </c>
    </row>
    <row r="41" spans="1:35" x14ac:dyDescent="0.35">
      <c r="A41" s="11" t="s">
        <v>139</v>
      </c>
      <c r="B41" t="s">
        <v>155</v>
      </c>
      <c r="C41" s="3" t="s">
        <v>195</v>
      </c>
      <c r="D41" t="str">
        <f>VLOOKUP($A41,'[1]Tech Employee'!$B$2:$AM$52,6,0)</f>
        <v>Associate Software Engineer</v>
      </c>
      <c r="E41" t="s">
        <v>68</v>
      </c>
      <c r="F41" t="s">
        <v>69</v>
      </c>
      <c r="G41" s="7">
        <v>55560103622913</v>
      </c>
      <c r="H41" s="7" t="s">
        <v>122</v>
      </c>
      <c r="I41" s="7"/>
      <c r="K41" s="8" t="s">
        <v>133</v>
      </c>
      <c r="L41" s="3" t="s">
        <v>135</v>
      </c>
      <c r="M41">
        <v>28</v>
      </c>
      <c r="N41">
        <v>15.5</v>
      </c>
      <c r="O41" s="8" t="s">
        <v>133</v>
      </c>
      <c r="P41" s="17">
        <v>7500</v>
      </c>
      <c r="Q41" s="21">
        <v>3024</v>
      </c>
      <c r="R41" s="17">
        <v>3750</v>
      </c>
      <c r="S41" s="21">
        <v>1512</v>
      </c>
      <c r="T41" s="17">
        <v>1600</v>
      </c>
      <c r="U41" s="17">
        <v>645</v>
      </c>
      <c r="V41" s="17">
        <v>889</v>
      </c>
      <c r="W41" s="17">
        <v>575.14079000000004</v>
      </c>
      <c r="X41" s="17">
        <v>13739</v>
      </c>
      <c r="Y41" s="21">
        <v>5757</v>
      </c>
      <c r="Z41" s="17">
        <v>362</v>
      </c>
      <c r="AA41" s="17">
        <v>150</v>
      </c>
      <c r="AB41" s="10" t="s">
        <v>194</v>
      </c>
      <c r="AC41" s="9">
        <f t="shared" ref="AC41:AC53" si="5">Z41+AA41</f>
        <v>512</v>
      </c>
      <c r="AD41" s="17">
        <v>363</v>
      </c>
      <c r="AE41" s="17">
        <v>145</v>
      </c>
      <c r="AF41" s="9">
        <f t="shared" si="3"/>
        <v>508</v>
      </c>
      <c r="AG41" s="17">
        <v>15000</v>
      </c>
      <c r="AH41" s="21">
        <v>5013</v>
      </c>
      <c r="AI41" t="str">
        <f t="shared" si="4"/>
        <v>Five Thousand Thirteen</v>
      </c>
    </row>
    <row r="42" spans="1:35" x14ac:dyDescent="0.35">
      <c r="A42" s="11" t="s">
        <v>140</v>
      </c>
      <c r="B42" t="s">
        <v>156</v>
      </c>
      <c r="C42" s="3" t="s">
        <v>195</v>
      </c>
      <c r="D42" t="str">
        <f>VLOOKUP($A42,'[1]Tech Employee'!$B$2:$AM$52,6,0)</f>
        <v>Associate Software Engineer</v>
      </c>
      <c r="E42" t="s">
        <v>68</v>
      </c>
      <c r="F42" t="s">
        <v>69</v>
      </c>
      <c r="G42" s="7">
        <v>99980130961811</v>
      </c>
      <c r="H42" s="7" t="s">
        <v>168</v>
      </c>
      <c r="I42" s="7">
        <v>102182920805</v>
      </c>
      <c r="K42" s="8" t="s">
        <v>133</v>
      </c>
      <c r="L42" s="3" t="s">
        <v>135</v>
      </c>
      <c r="M42">
        <v>28</v>
      </c>
      <c r="N42">
        <v>0</v>
      </c>
      <c r="O42" s="8" t="s">
        <v>133</v>
      </c>
      <c r="P42" s="17">
        <v>11500</v>
      </c>
      <c r="Q42" s="21">
        <v>10387</v>
      </c>
      <c r="R42" s="17">
        <v>5750</v>
      </c>
      <c r="S42" s="21">
        <v>5194</v>
      </c>
      <c r="T42" s="17">
        <v>1600</v>
      </c>
      <c r="U42" s="21">
        <v>1445</v>
      </c>
      <c r="V42" s="17">
        <v>2217</v>
      </c>
      <c r="W42" s="21">
        <v>2123</v>
      </c>
      <c r="X42" s="17">
        <v>21067</v>
      </c>
      <c r="Y42" s="21">
        <v>19149</v>
      </c>
      <c r="Z42" s="21">
        <v>1246</v>
      </c>
      <c r="AA42" s="17">
        <v>200</v>
      </c>
      <c r="AB42" s="10" t="s">
        <v>194</v>
      </c>
      <c r="AC42" s="9">
        <f t="shared" si="5"/>
        <v>1446</v>
      </c>
      <c r="AD42" s="21">
        <v>1246</v>
      </c>
      <c r="AE42" s="17">
        <v>500</v>
      </c>
      <c r="AF42" s="9">
        <f t="shared" si="3"/>
        <v>1746</v>
      </c>
      <c r="AG42" s="17">
        <v>23000</v>
      </c>
      <c r="AH42" s="21">
        <v>16936</v>
      </c>
      <c r="AI42" t="str">
        <f t="shared" si="4"/>
        <v>Sixteen Thousand Nine Hundred and Thirty Six</v>
      </c>
    </row>
    <row r="43" spans="1:35" x14ac:dyDescent="0.35">
      <c r="A43" s="11" t="s">
        <v>141</v>
      </c>
      <c r="B43" t="s">
        <v>157</v>
      </c>
      <c r="C43" s="3" t="s">
        <v>195</v>
      </c>
      <c r="D43" t="str">
        <f>VLOOKUP($A43,'[1]Tech Employee'!$B$2:$AM$52,6,0)</f>
        <v>Software Engineer – I</v>
      </c>
      <c r="E43" t="s">
        <v>68</v>
      </c>
      <c r="F43" t="s">
        <v>69</v>
      </c>
      <c r="G43" s="7">
        <v>15550100112413</v>
      </c>
      <c r="H43" s="7" t="s">
        <v>168</v>
      </c>
      <c r="I43" s="7">
        <v>102254221664</v>
      </c>
      <c r="K43" s="8" t="s">
        <v>133</v>
      </c>
      <c r="L43" s="3" t="s">
        <v>135</v>
      </c>
      <c r="M43">
        <v>28</v>
      </c>
      <c r="N43">
        <v>0</v>
      </c>
      <c r="O43" s="8" t="s">
        <v>133</v>
      </c>
      <c r="P43" s="17">
        <v>15000</v>
      </c>
      <c r="Q43" s="21">
        <v>13548</v>
      </c>
      <c r="R43" s="17">
        <v>7500</v>
      </c>
      <c r="S43" s="21">
        <v>6774</v>
      </c>
      <c r="T43" s="17">
        <v>1600</v>
      </c>
      <c r="U43" s="21">
        <v>1445</v>
      </c>
      <c r="V43" s="17">
        <v>3379</v>
      </c>
      <c r="W43" s="21">
        <v>3209</v>
      </c>
      <c r="X43" s="17">
        <v>27479</v>
      </c>
      <c r="Y43" s="21">
        <v>24977</v>
      </c>
      <c r="Z43" s="21">
        <v>1626</v>
      </c>
      <c r="AA43" s="17">
        <v>200</v>
      </c>
      <c r="AB43" s="10" t="s">
        <v>194</v>
      </c>
      <c r="AC43" s="9">
        <f t="shared" si="5"/>
        <v>1826</v>
      </c>
      <c r="AD43" s="21">
        <v>1626</v>
      </c>
      <c r="AE43" s="17">
        <v>652</v>
      </c>
      <c r="AF43" s="9">
        <f t="shared" si="3"/>
        <v>2278</v>
      </c>
      <c r="AG43" s="17">
        <v>30000</v>
      </c>
      <c r="AH43" s="21">
        <v>23151</v>
      </c>
      <c r="AI43" t="str">
        <f t="shared" si="4"/>
        <v>Twenty Three Thousand One Hundred and Fifty One</v>
      </c>
    </row>
    <row r="44" spans="1:35" x14ac:dyDescent="0.35">
      <c r="A44" s="11" t="s">
        <v>142</v>
      </c>
      <c r="B44" t="s">
        <v>158</v>
      </c>
      <c r="C44" s="3" t="s">
        <v>195</v>
      </c>
      <c r="D44" t="str">
        <f>VLOOKUP($A44,'[1]Tech Employee'!$B$2:$AM$52,6,0)</f>
        <v>Software Engineer – II</v>
      </c>
      <c r="E44" t="s">
        <v>68</v>
      </c>
      <c r="F44" t="s">
        <v>69</v>
      </c>
      <c r="G44" s="7" t="s">
        <v>180</v>
      </c>
      <c r="H44" s="7" t="s">
        <v>181</v>
      </c>
      <c r="I44" s="7">
        <v>102012942344</v>
      </c>
      <c r="K44" s="8" t="s">
        <v>133</v>
      </c>
      <c r="L44" s="3" t="s">
        <v>135</v>
      </c>
      <c r="M44">
        <v>28</v>
      </c>
      <c r="N44">
        <v>0</v>
      </c>
      <c r="O44" s="8" t="s">
        <v>133</v>
      </c>
      <c r="P44" s="17">
        <v>22500</v>
      </c>
      <c r="Q44" s="21">
        <v>20323</v>
      </c>
      <c r="R44" s="17">
        <v>11250</v>
      </c>
      <c r="S44" s="21">
        <v>10161</v>
      </c>
      <c r="T44" s="17">
        <v>1600</v>
      </c>
      <c r="U44" s="21">
        <v>1445</v>
      </c>
      <c r="V44" s="17">
        <v>6768</v>
      </c>
      <c r="W44" s="21">
        <v>6113</v>
      </c>
      <c r="X44" s="17">
        <v>42118</v>
      </c>
      <c r="Y44" s="21">
        <v>38042</v>
      </c>
      <c r="Z44" s="21">
        <v>1800</v>
      </c>
      <c r="AA44" s="17">
        <v>200</v>
      </c>
      <c r="AB44" s="10" t="s">
        <v>194</v>
      </c>
      <c r="AC44" s="9">
        <f t="shared" si="5"/>
        <v>2000</v>
      </c>
      <c r="AD44" s="21">
        <v>1800</v>
      </c>
      <c r="AE44" s="17">
        <v>978</v>
      </c>
      <c r="AF44" s="9">
        <f t="shared" si="3"/>
        <v>2778</v>
      </c>
      <c r="AG44" s="17">
        <v>45000</v>
      </c>
      <c r="AH44" s="21">
        <v>36042</v>
      </c>
      <c r="AI44" t="str">
        <f t="shared" si="4"/>
        <v>Thirty Six Thousand Forty Two</v>
      </c>
    </row>
    <row r="45" spans="1:35" x14ac:dyDescent="0.35">
      <c r="A45" s="11" t="s">
        <v>143</v>
      </c>
      <c r="B45" t="s">
        <v>159</v>
      </c>
      <c r="C45" s="3" t="s">
        <v>195</v>
      </c>
      <c r="D45" t="str">
        <f>VLOOKUP($A45,'[1]Tech Employee'!$B$2:$AM$52,6,0)</f>
        <v>Associate Software Engineer</v>
      </c>
      <c r="E45" t="s">
        <v>68</v>
      </c>
      <c r="F45" t="s">
        <v>69</v>
      </c>
      <c r="G45" s="7" t="s">
        <v>182</v>
      </c>
      <c r="H45" s="7" t="s">
        <v>183</v>
      </c>
      <c r="I45" s="7">
        <v>102284526119</v>
      </c>
      <c r="K45" s="8" t="s">
        <v>133</v>
      </c>
      <c r="L45" s="3" t="s">
        <v>135</v>
      </c>
      <c r="M45">
        <v>28</v>
      </c>
      <c r="N45">
        <v>0</v>
      </c>
      <c r="O45" s="8" t="s">
        <v>133</v>
      </c>
      <c r="P45" s="17">
        <v>7500</v>
      </c>
      <c r="Q45" s="21">
        <v>6774</v>
      </c>
      <c r="R45" s="17">
        <v>3750</v>
      </c>
      <c r="S45" s="21">
        <v>3387</v>
      </c>
      <c r="T45" s="17">
        <v>1600</v>
      </c>
      <c r="U45" s="21">
        <v>1445</v>
      </c>
      <c r="V45" s="17">
        <v>889</v>
      </c>
      <c r="W45" s="17">
        <v>881.86384999999996</v>
      </c>
      <c r="X45" s="17">
        <v>13739</v>
      </c>
      <c r="Y45" s="21">
        <v>12488</v>
      </c>
      <c r="Z45" s="17">
        <v>812</v>
      </c>
      <c r="AA45" s="17">
        <v>150</v>
      </c>
      <c r="AB45" s="10" t="s">
        <v>194</v>
      </c>
      <c r="AC45" s="9">
        <f t="shared" si="5"/>
        <v>962</v>
      </c>
      <c r="AD45" s="17">
        <v>813</v>
      </c>
      <c r="AE45" s="17">
        <v>326</v>
      </c>
      <c r="AF45" s="9">
        <f t="shared" si="3"/>
        <v>1139</v>
      </c>
      <c r="AG45" s="17">
        <v>15000</v>
      </c>
      <c r="AH45" s="21">
        <v>11026</v>
      </c>
      <c r="AI45" t="str">
        <f t="shared" si="4"/>
        <v>Eleven Thousand Twenty Six</v>
      </c>
    </row>
    <row r="46" spans="1:35" x14ac:dyDescent="0.35">
      <c r="A46" s="11" t="s">
        <v>144</v>
      </c>
      <c r="B46" t="s">
        <v>160</v>
      </c>
      <c r="C46" s="3" t="s">
        <v>195</v>
      </c>
      <c r="D46" t="str">
        <f>VLOOKUP($A46,'[1]Tech Employee'!$B$2:$AM$52,6,0)</f>
        <v>Associate Software Engineer</v>
      </c>
      <c r="E46" t="s">
        <v>68</v>
      </c>
      <c r="F46" t="s">
        <v>69</v>
      </c>
      <c r="G46" s="7" t="s">
        <v>184</v>
      </c>
      <c r="H46" s="7" t="s">
        <v>185</v>
      </c>
      <c r="I46" s="7">
        <v>102273842210</v>
      </c>
      <c r="K46" s="8" t="s">
        <v>133</v>
      </c>
      <c r="L46" s="3" t="s">
        <v>135</v>
      </c>
      <c r="M46">
        <v>28</v>
      </c>
      <c r="N46">
        <v>0</v>
      </c>
      <c r="O46" s="8" t="s">
        <v>133</v>
      </c>
      <c r="P46" s="17">
        <v>7500</v>
      </c>
      <c r="Q46" s="21">
        <v>6774</v>
      </c>
      <c r="R46" s="17">
        <v>3750</v>
      </c>
      <c r="S46" s="21">
        <v>3387</v>
      </c>
      <c r="T46" s="17">
        <v>1600</v>
      </c>
      <c r="U46" s="21">
        <v>1445</v>
      </c>
      <c r="V46" s="17">
        <v>889</v>
      </c>
      <c r="W46" s="17">
        <v>881.86384999999996</v>
      </c>
      <c r="X46" s="17">
        <v>13739</v>
      </c>
      <c r="Y46" s="21">
        <v>12488</v>
      </c>
      <c r="Z46" s="17">
        <v>812</v>
      </c>
      <c r="AA46" s="17">
        <v>150</v>
      </c>
      <c r="AB46" s="10" t="s">
        <v>194</v>
      </c>
      <c r="AC46" s="9">
        <f t="shared" si="5"/>
        <v>962</v>
      </c>
      <c r="AD46" s="17">
        <v>813</v>
      </c>
      <c r="AE46" s="17">
        <v>326</v>
      </c>
      <c r="AF46" s="9">
        <f t="shared" si="3"/>
        <v>1139</v>
      </c>
      <c r="AG46" s="17">
        <v>15000</v>
      </c>
      <c r="AH46" s="21">
        <v>11026</v>
      </c>
      <c r="AI46" t="str">
        <f t="shared" si="4"/>
        <v>Eleven Thousand Twenty Six</v>
      </c>
    </row>
    <row r="47" spans="1:35" x14ac:dyDescent="0.35">
      <c r="A47" s="11" t="s">
        <v>145</v>
      </c>
      <c r="B47" t="s">
        <v>161</v>
      </c>
      <c r="C47" s="3" t="s">
        <v>195</v>
      </c>
      <c r="D47" t="str">
        <f>VLOOKUP($A47,'[1]Tech Employee'!$B$2:$AM$52,6,0)</f>
        <v>Associate Software Engineer</v>
      </c>
      <c r="E47" t="s">
        <v>68</v>
      </c>
      <c r="F47" t="s">
        <v>69</v>
      </c>
      <c r="G47" s="7" t="s">
        <v>186</v>
      </c>
      <c r="H47" s="7" t="s">
        <v>187</v>
      </c>
      <c r="I47" s="7">
        <v>101487108722</v>
      </c>
      <c r="K47" s="8" t="s">
        <v>133</v>
      </c>
      <c r="L47" s="3" t="s">
        <v>135</v>
      </c>
      <c r="M47">
        <v>28</v>
      </c>
      <c r="N47">
        <v>0</v>
      </c>
      <c r="O47" s="8" t="s">
        <v>133</v>
      </c>
      <c r="P47" s="17">
        <v>22500</v>
      </c>
      <c r="Q47" s="21">
        <v>20323</v>
      </c>
      <c r="R47" s="17">
        <v>11250</v>
      </c>
      <c r="S47" s="21">
        <v>10161</v>
      </c>
      <c r="T47" s="17">
        <v>1600</v>
      </c>
      <c r="U47" s="21">
        <v>1445</v>
      </c>
      <c r="V47" s="17">
        <v>6768</v>
      </c>
      <c r="W47" s="21">
        <v>6113</v>
      </c>
      <c r="X47" s="17">
        <v>42118</v>
      </c>
      <c r="Y47" s="21">
        <v>38042</v>
      </c>
      <c r="Z47" s="21">
        <v>1800</v>
      </c>
      <c r="AA47" s="17">
        <v>200</v>
      </c>
      <c r="AB47" s="10" t="s">
        <v>194</v>
      </c>
      <c r="AC47" s="9">
        <f t="shared" si="5"/>
        <v>2000</v>
      </c>
      <c r="AD47" s="21">
        <v>1800</v>
      </c>
      <c r="AE47" s="17">
        <v>978</v>
      </c>
      <c r="AF47" s="9">
        <f t="shared" si="3"/>
        <v>2778</v>
      </c>
      <c r="AG47" s="17">
        <v>45000</v>
      </c>
      <c r="AH47" s="21">
        <v>36042</v>
      </c>
      <c r="AI47" t="str">
        <f t="shared" si="4"/>
        <v>Thirty Six Thousand Forty Two</v>
      </c>
    </row>
    <row r="48" spans="1:35" x14ac:dyDescent="0.35">
      <c r="A48" s="12" t="s">
        <v>146</v>
      </c>
      <c r="B48" t="s">
        <v>162</v>
      </c>
      <c r="C48" s="3" t="s">
        <v>195</v>
      </c>
      <c r="D48" t="str">
        <f>VLOOKUP($A48,'[1]Tech Employee'!$B$2:$AM$52,6,0)</f>
        <v>Software Engineer – I</v>
      </c>
      <c r="E48" t="s">
        <v>68</v>
      </c>
      <c r="F48" t="s">
        <v>69</v>
      </c>
      <c r="G48" s="7">
        <v>99980130963841</v>
      </c>
      <c r="H48" s="7" t="s">
        <v>168</v>
      </c>
      <c r="I48" s="7">
        <v>102330619749</v>
      </c>
      <c r="K48" s="8" t="s">
        <v>133</v>
      </c>
      <c r="L48" s="3" t="s">
        <v>135</v>
      </c>
      <c r="M48">
        <v>28</v>
      </c>
      <c r="N48">
        <v>0</v>
      </c>
      <c r="O48" s="8" t="s">
        <v>133</v>
      </c>
      <c r="P48" s="17">
        <v>17500</v>
      </c>
      <c r="Q48" s="21">
        <v>15806</v>
      </c>
      <c r="R48" s="17">
        <v>8750</v>
      </c>
      <c r="S48" s="21">
        <v>7903</v>
      </c>
      <c r="T48" s="17">
        <v>1600</v>
      </c>
      <c r="U48" s="21">
        <v>1445</v>
      </c>
      <c r="V48" s="17">
        <v>4508</v>
      </c>
      <c r="W48" s="21">
        <v>4072</v>
      </c>
      <c r="X48" s="17">
        <v>32358</v>
      </c>
      <c r="Y48" s="21">
        <v>29227</v>
      </c>
      <c r="Z48" s="21">
        <v>1800</v>
      </c>
      <c r="AA48" s="17">
        <v>200</v>
      </c>
      <c r="AB48" s="10" t="s">
        <v>194</v>
      </c>
      <c r="AC48" s="9">
        <f t="shared" si="5"/>
        <v>2000</v>
      </c>
      <c r="AD48" s="17">
        <v>1800</v>
      </c>
      <c r="AE48" s="17">
        <v>760</v>
      </c>
      <c r="AF48" s="9">
        <f t="shared" si="3"/>
        <v>2560</v>
      </c>
      <c r="AG48" s="17">
        <v>35000</v>
      </c>
      <c r="AH48" s="21">
        <v>27227</v>
      </c>
      <c r="AI48" t="str">
        <f t="shared" si="4"/>
        <v>Twenty Seven Thousand Two Hundred and Twenty Seven</v>
      </c>
    </row>
    <row r="49" spans="1:35" x14ac:dyDescent="0.35">
      <c r="A49" s="12" t="s">
        <v>147</v>
      </c>
      <c r="B49" t="s">
        <v>163</v>
      </c>
      <c r="C49" s="3" t="s">
        <v>195</v>
      </c>
      <c r="D49" t="str">
        <f>VLOOKUP($A49,'[1]Tech Employee'!$B$2:$AM$52,6,0)</f>
        <v>Software Engineer – I</v>
      </c>
      <c r="E49" t="s">
        <v>68</v>
      </c>
      <c r="F49" t="s">
        <v>69</v>
      </c>
      <c r="G49" s="7">
        <v>15550100112397</v>
      </c>
      <c r="H49" s="7" t="s">
        <v>168</v>
      </c>
      <c r="I49" s="7">
        <v>101728087496</v>
      </c>
      <c r="K49" s="8" t="s">
        <v>133</v>
      </c>
      <c r="L49" s="3" t="s">
        <v>135</v>
      </c>
      <c r="M49">
        <v>28</v>
      </c>
      <c r="N49">
        <v>0</v>
      </c>
      <c r="O49" s="8" t="s">
        <v>133</v>
      </c>
      <c r="P49" s="17">
        <v>7500</v>
      </c>
      <c r="Q49" s="21">
        <v>6774</v>
      </c>
      <c r="R49" s="17">
        <v>3750</v>
      </c>
      <c r="S49" s="21">
        <v>3387</v>
      </c>
      <c r="T49" s="17">
        <v>1600</v>
      </c>
      <c r="U49" s="21">
        <v>1445</v>
      </c>
      <c r="V49" s="17">
        <v>889</v>
      </c>
      <c r="W49" s="17">
        <v>881.86384999999996</v>
      </c>
      <c r="X49" s="17">
        <v>13739</v>
      </c>
      <c r="Y49" s="21">
        <v>12488</v>
      </c>
      <c r="Z49" s="17">
        <v>812</v>
      </c>
      <c r="AA49" s="17">
        <v>150</v>
      </c>
      <c r="AB49" s="10" t="s">
        <v>194</v>
      </c>
      <c r="AC49" s="9">
        <f t="shared" si="5"/>
        <v>962</v>
      </c>
      <c r="AD49" s="17">
        <v>813</v>
      </c>
      <c r="AE49" s="17">
        <v>326</v>
      </c>
      <c r="AF49" s="9">
        <f t="shared" si="3"/>
        <v>1139</v>
      </c>
      <c r="AG49" s="17">
        <v>15000</v>
      </c>
      <c r="AH49" s="21">
        <v>11026</v>
      </c>
      <c r="AI49" t="str">
        <f t="shared" si="4"/>
        <v>Eleven Thousand Twenty Six</v>
      </c>
    </row>
    <row r="50" spans="1:35" x14ac:dyDescent="0.35">
      <c r="A50" s="12" t="s">
        <v>148</v>
      </c>
      <c r="B50" t="s">
        <v>164</v>
      </c>
      <c r="C50" s="3" t="s">
        <v>195</v>
      </c>
      <c r="D50" t="str">
        <f>VLOOKUP($A50,'[1]Tech Employee'!$B$2:$AM$52,6,0)</f>
        <v>Associate Software Engineer</v>
      </c>
      <c r="E50" t="s">
        <v>68</v>
      </c>
      <c r="F50" t="s">
        <v>69</v>
      </c>
      <c r="G50" s="7" t="s">
        <v>188</v>
      </c>
      <c r="H50" s="7" t="s">
        <v>189</v>
      </c>
      <c r="I50" s="7">
        <v>102295219726</v>
      </c>
      <c r="K50" s="8" t="s">
        <v>133</v>
      </c>
      <c r="L50" s="3" t="s">
        <v>135</v>
      </c>
      <c r="M50">
        <v>28</v>
      </c>
      <c r="N50">
        <v>3</v>
      </c>
      <c r="O50" s="8" t="s">
        <v>133</v>
      </c>
      <c r="P50" s="17">
        <v>7500</v>
      </c>
      <c r="Q50" s="21">
        <v>6048</v>
      </c>
      <c r="R50" s="17">
        <v>3750</v>
      </c>
      <c r="S50" s="21">
        <v>3024</v>
      </c>
      <c r="T50" s="17">
        <v>1600</v>
      </c>
      <c r="U50" s="21">
        <v>1290</v>
      </c>
      <c r="V50" s="17">
        <v>889</v>
      </c>
      <c r="W50" s="17">
        <v>858</v>
      </c>
      <c r="X50" s="17">
        <v>13739</v>
      </c>
      <c r="Y50" s="21">
        <v>11221</v>
      </c>
      <c r="Z50" s="17">
        <v>726</v>
      </c>
      <c r="AA50" s="17">
        <v>150</v>
      </c>
      <c r="AB50" s="10" t="s">
        <v>194</v>
      </c>
      <c r="AC50" s="9">
        <f t="shared" si="5"/>
        <v>876</v>
      </c>
      <c r="AD50" s="17">
        <v>726</v>
      </c>
      <c r="AE50" s="17">
        <v>291</v>
      </c>
      <c r="AF50" s="9">
        <f t="shared" si="3"/>
        <v>1017</v>
      </c>
      <c r="AG50" s="17">
        <v>15000</v>
      </c>
      <c r="AH50" s="21">
        <v>9896</v>
      </c>
      <c r="AI50" t="str">
        <f t="shared" si="4"/>
        <v>Nine Thousand Eight Hundred and Ninety Six</v>
      </c>
    </row>
    <row r="51" spans="1:35" x14ac:dyDescent="0.35">
      <c r="A51" s="12" t="s">
        <v>149</v>
      </c>
      <c r="B51" t="s">
        <v>165</v>
      </c>
      <c r="C51" s="13">
        <v>46113</v>
      </c>
      <c r="D51" t="s">
        <v>126</v>
      </c>
      <c r="E51" t="s">
        <v>68</v>
      </c>
      <c r="F51" t="s">
        <v>69</v>
      </c>
      <c r="G51" s="7">
        <v>180701000002091</v>
      </c>
      <c r="H51" s="7" t="s">
        <v>193</v>
      </c>
      <c r="I51" s="7"/>
      <c r="K51" s="8" t="s">
        <v>133</v>
      </c>
      <c r="L51" s="3" t="s">
        <v>135</v>
      </c>
      <c r="M51">
        <v>31</v>
      </c>
      <c r="N51">
        <v>0</v>
      </c>
      <c r="O51" s="8" t="s">
        <v>133</v>
      </c>
      <c r="P51" s="17">
        <v>16666</v>
      </c>
      <c r="Q51" s="21">
        <v>16666</v>
      </c>
      <c r="R51" s="17">
        <v>8333</v>
      </c>
      <c r="S51" s="21">
        <v>8333</v>
      </c>
      <c r="T51" s="17">
        <v>1600</v>
      </c>
      <c r="U51" s="21">
        <v>1600</v>
      </c>
      <c r="V51" s="17">
        <v>4132</v>
      </c>
      <c r="W51" s="21">
        <v>4132</v>
      </c>
      <c r="X51" s="17">
        <v>30731</v>
      </c>
      <c r="Y51" s="21">
        <v>30731</v>
      </c>
      <c r="Z51" s="21">
        <v>1800</v>
      </c>
      <c r="AA51" s="17">
        <v>200</v>
      </c>
      <c r="AB51" s="10" t="s">
        <v>194</v>
      </c>
      <c r="AC51" s="9">
        <f t="shared" si="5"/>
        <v>2000</v>
      </c>
      <c r="AD51" s="21">
        <v>1800</v>
      </c>
      <c r="AE51" s="17">
        <v>802</v>
      </c>
      <c r="AF51" s="9">
        <f t="shared" si="3"/>
        <v>2602</v>
      </c>
      <c r="AG51" s="17">
        <v>33333</v>
      </c>
      <c r="AH51" s="21">
        <v>28731</v>
      </c>
      <c r="AI51" t="str">
        <f t="shared" si="4"/>
        <v>Twenty Eight Thousand Seven Hundred and Thirty One</v>
      </c>
    </row>
    <row r="52" spans="1:35" ht="29" x14ac:dyDescent="0.35">
      <c r="A52" s="16" t="s">
        <v>150</v>
      </c>
      <c r="B52" t="s">
        <v>166</v>
      </c>
      <c r="C52" s="13">
        <v>46113</v>
      </c>
      <c r="D52" s="6" t="s">
        <v>192</v>
      </c>
      <c r="E52" t="s">
        <v>68</v>
      </c>
      <c r="F52" t="s">
        <v>69</v>
      </c>
      <c r="G52" s="7">
        <v>38613963272</v>
      </c>
      <c r="H52" s="7" t="s">
        <v>191</v>
      </c>
      <c r="I52" s="7"/>
      <c r="K52" s="8" t="s">
        <v>133</v>
      </c>
      <c r="L52" s="3" t="s">
        <v>135</v>
      </c>
      <c r="M52">
        <v>31</v>
      </c>
      <c r="N52">
        <v>0</v>
      </c>
      <c r="O52" s="8" t="s">
        <v>133</v>
      </c>
      <c r="P52" s="17">
        <v>50000</v>
      </c>
      <c r="Q52" s="17">
        <v>50000</v>
      </c>
      <c r="R52" s="17">
        <v>25000</v>
      </c>
      <c r="S52" s="17">
        <v>25000</v>
      </c>
      <c r="T52" s="17">
        <v>1600</v>
      </c>
      <c r="U52" s="17">
        <v>1600</v>
      </c>
      <c r="V52" s="17">
        <v>19195</v>
      </c>
      <c r="W52" s="17">
        <v>19195</v>
      </c>
      <c r="X52" s="17">
        <v>95795</v>
      </c>
      <c r="Y52" s="21">
        <v>95795</v>
      </c>
      <c r="Z52" s="21">
        <v>1800</v>
      </c>
      <c r="AA52" s="17">
        <v>200</v>
      </c>
      <c r="AB52" s="10" t="s">
        <v>194</v>
      </c>
      <c r="AC52" s="9">
        <f t="shared" si="5"/>
        <v>2000</v>
      </c>
      <c r="AD52" s="21">
        <v>1800</v>
      </c>
      <c r="AE52" s="21">
        <v>2405</v>
      </c>
      <c r="AF52" s="9">
        <f t="shared" si="3"/>
        <v>4205</v>
      </c>
      <c r="AG52" s="17">
        <v>100000</v>
      </c>
      <c r="AH52" s="21">
        <v>93975</v>
      </c>
      <c r="AI52" t="str">
        <f t="shared" si="4"/>
        <v>Ninety Three Thousand Nine Hundred and Seventy Five</v>
      </c>
    </row>
    <row r="53" spans="1:35" x14ac:dyDescent="0.35">
      <c r="A53" s="12" t="s">
        <v>151</v>
      </c>
      <c r="B53" t="s">
        <v>167</v>
      </c>
      <c r="C53" s="3" t="s">
        <v>196</v>
      </c>
      <c r="D53" t="str">
        <f>VLOOKUP($A53,'[1]Tech Employee'!$B$2:$AM$52,6,0)</f>
        <v>Associate Software Engineer</v>
      </c>
      <c r="E53" t="s">
        <v>68</v>
      </c>
      <c r="F53" t="s">
        <v>69</v>
      </c>
      <c r="G53" s="7" t="s">
        <v>190</v>
      </c>
      <c r="H53" s="7" t="s">
        <v>122</v>
      </c>
      <c r="I53" s="7">
        <v>102076060789</v>
      </c>
      <c r="K53" s="8" t="s">
        <v>133</v>
      </c>
      <c r="L53" s="3" t="s">
        <v>135</v>
      </c>
      <c r="M53">
        <v>26</v>
      </c>
      <c r="N53">
        <v>0</v>
      </c>
      <c r="O53" s="8" t="s">
        <v>133</v>
      </c>
      <c r="P53" s="17">
        <v>7500</v>
      </c>
      <c r="Q53" s="17">
        <v>6290</v>
      </c>
      <c r="R53" s="17">
        <v>3750</v>
      </c>
      <c r="S53" s="21">
        <v>3145</v>
      </c>
      <c r="T53" s="17">
        <v>1600</v>
      </c>
      <c r="U53" s="21">
        <v>1342</v>
      </c>
      <c r="V53" s="17">
        <v>889</v>
      </c>
      <c r="W53" s="17">
        <v>867.57282999999995</v>
      </c>
      <c r="X53" s="17">
        <v>13739</v>
      </c>
      <c r="Y53" s="21">
        <v>11645</v>
      </c>
      <c r="Z53" s="17">
        <v>754</v>
      </c>
      <c r="AA53" s="17">
        <v>150</v>
      </c>
      <c r="AB53" s="10" t="s">
        <v>194</v>
      </c>
      <c r="AC53" s="9">
        <f t="shared" si="5"/>
        <v>904</v>
      </c>
      <c r="AD53" s="17">
        <v>755</v>
      </c>
      <c r="AE53" s="17">
        <v>303</v>
      </c>
      <c r="AF53" s="9">
        <f t="shared" si="3"/>
        <v>1058</v>
      </c>
      <c r="AG53" s="17">
        <v>15000</v>
      </c>
      <c r="AH53" s="21">
        <v>10274</v>
      </c>
      <c r="AI53" t="str">
        <f t="shared" si="4"/>
        <v>Ten Thousand Two Hundred and Seventy Four</v>
      </c>
    </row>
  </sheetData>
  <phoneticPr fontId="4" type="noConversion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2026-06-01T05:03:38Z</dcterms:modified>
</cp:coreProperties>
</file>