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502C4444-42CD-4C8D-8D1B-D714D6EEE8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1" i="1" l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Y39" i="1" s="1"/>
  <c r="W21" i="1"/>
  <c r="U21" i="1"/>
  <c r="S21" i="1"/>
  <c r="Q21" i="1"/>
  <c r="AE22" i="1" l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21" i="1"/>
  <c r="AD22" i="1"/>
  <c r="AD23" i="1"/>
  <c r="AD24" i="1"/>
  <c r="AF24" i="1" s="1"/>
  <c r="AD25" i="1"/>
  <c r="AF25" i="1" s="1"/>
  <c r="AD26" i="1"/>
  <c r="AD27" i="1"/>
  <c r="AD28" i="1"/>
  <c r="AD29" i="1"/>
  <c r="AD30" i="1"/>
  <c r="AD31" i="1"/>
  <c r="AD32" i="1"/>
  <c r="AF32" i="1" s="1"/>
  <c r="AD33" i="1"/>
  <c r="AF33" i="1" s="1"/>
  <c r="AD34" i="1"/>
  <c r="AD35" i="1"/>
  <c r="AD36" i="1"/>
  <c r="AD37" i="1"/>
  <c r="AD38" i="1"/>
  <c r="AD39" i="1"/>
  <c r="AD21" i="1"/>
  <c r="AF21" i="1" s="1"/>
  <c r="AC24" i="1"/>
  <c r="Z22" i="1"/>
  <c r="AC22" i="1" s="1"/>
  <c r="Z23" i="1"/>
  <c r="AC23" i="1" s="1"/>
  <c r="Z24" i="1"/>
  <c r="Z25" i="1"/>
  <c r="AC25" i="1" s="1"/>
  <c r="Z26" i="1"/>
  <c r="AC26" i="1" s="1"/>
  <c r="Z27" i="1"/>
  <c r="AC27" i="1" s="1"/>
  <c r="Z28" i="1"/>
  <c r="AC28" i="1" s="1"/>
  <c r="Z29" i="1"/>
  <c r="AC29" i="1" s="1"/>
  <c r="Z30" i="1"/>
  <c r="AC30" i="1" s="1"/>
  <c r="Z31" i="1"/>
  <c r="AC31" i="1" s="1"/>
  <c r="Z32" i="1"/>
  <c r="AC32" i="1" s="1"/>
  <c r="Z33" i="1"/>
  <c r="AC33" i="1" s="1"/>
  <c r="Z34" i="1"/>
  <c r="AC34" i="1" s="1"/>
  <c r="Z35" i="1"/>
  <c r="AC35" i="1" s="1"/>
  <c r="Z36" i="1"/>
  <c r="AC36" i="1" s="1"/>
  <c r="Z37" i="1"/>
  <c r="AC37" i="1" s="1"/>
  <c r="Z38" i="1"/>
  <c r="AC38" i="1" s="1"/>
  <c r="Z39" i="1"/>
  <c r="AC39" i="1" s="1"/>
  <c r="AH39" i="1" s="1"/>
  <c r="AI39" i="1" s="1"/>
  <c r="Z21" i="1"/>
  <c r="AC21" i="1" s="1"/>
  <c r="V39" i="1"/>
  <c r="T39" i="1"/>
  <c r="R39" i="1"/>
  <c r="P39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21" i="1"/>
  <c r="AF3" i="1"/>
  <c r="AF2" i="1"/>
  <c r="AI8" i="1"/>
  <c r="AI3" i="1"/>
  <c r="AI17" i="1"/>
  <c r="AI5" i="1"/>
  <c r="AI6" i="1"/>
  <c r="AI7" i="1"/>
  <c r="AI11" i="1"/>
  <c r="AI12" i="1"/>
  <c r="AI13" i="1"/>
  <c r="AI14" i="1"/>
  <c r="AI15" i="1"/>
  <c r="AI18" i="1"/>
  <c r="AI19" i="1"/>
  <c r="AI20" i="1"/>
  <c r="AI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AI10" i="1"/>
  <c r="AF34" i="1" l="1"/>
  <c r="AF26" i="1"/>
  <c r="AF37" i="1"/>
  <c r="AF29" i="1"/>
  <c r="AF36" i="1"/>
  <c r="AF28" i="1"/>
  <c r="AF35" i="1"/>
  <c r="AF27" i="1"/>
  <c r="AF39" i="1"/>
  <c r="AF31" i="1"/>
  <c r="AF23" i="1"/>
  <c r="AF38" i="1"/>
  <c r="AF30" i="1"/>
  <c r="AF22" i="1"/>
  <c r="X39" i="1"/>
  <c r="X34" i="1"/>
  <c r="X26" i="1"/>
  <c r="X29" i="1"/>
  <c r="X35" i="1"/>
  <c r="X27" i="1"/>
  <c r="X37" i="1"/>
  <c r="AG37" i="1" s="1"/>
  <c r="X33" i="1"/>
  <c r="AG33" i="1" s="1"/>
  <c r="X32" i="1"/>
  <c r="AG32" i="1" s="1"/>
  <c r="X21" i="1"/>
  <c r="AG21" i="1" s="1"/>
  <c r="X31" i="1"/>
  <c r="X23" i="1"/>
  <c r="X38" i="1"/>
  <c r="X30" i="1"/>
  <c r="X22" i="1"/>
  <c r="X36" i="1"/>
  <c r="AG36" i="1" s="1"/>
  <c r="X28" i="1"/>
  <c r="AG28" i="1" s="1"/>
  <c r="X25" i="1"/>
  <c r="AG25" i="1" s="1"/>
  <c r="X24" i="1"/>
  <c r="AG24" i="1" s="1"/>
  <c r="AI2" i="1"/>
  <c r="AI16" i="1"/>
  <c r="AI9" i="1"/>
  <c r="AG26" i="1" l="1"/>
  <c r="AG31" i="1"/>
  <c r="AG34" i="1"/>
  <c r="AG22" i="1"/>
  <c r="AG30" i="1"/>
  <c r="AG35" i="1"/>
  <c r="AG27" i="1"/>
  <c r="AG29" i="1"/>
  <c r="AG39" i="1"/>
  <c r="AG23" i="1"/>
  <c r="AG38" i="1"/>
</calcChain>
</file>

<file path=xl/sharedStrings.xml><?xml version="1.0" encoding="utf-8"?>
<sst xmlns="http://schemas.openxmlformats.org/spreadsheetml/2006/main" count="434" uniqueCount="150">
  <si>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</si>
  <si>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</si>
  <si>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</si>
  <si>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</si>
  <si>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</si>
  <si>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</si>
  <si>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</si>
  <si>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</si>
  <si>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</si>
  <si>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</si>
  <si>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</si>
  <si>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</si>
  <si>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</si>
  <si>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</si>
  <si>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</si>
  <si>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</si>
  <si>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</si>
  <si>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</si>
  <si>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</si>
  <si>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</si>
  <si>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</si>
  <si>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</si>
  <si>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</si>
  <si>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</si>
  <si>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</si>
  <si>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</si>
  <si>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</si>
  <si>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</si>
  <si>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</si>
  <si>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</si>
  <si>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</si>
  <si>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</si>
  <si>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</si>
  <si>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</si>
  <si>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</si>
  <si>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</si>
  <si>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</si>
  <si>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</si>
  <si>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</si>
  <si>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</si>
  <si>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</si>
  <si>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</si>
  <si>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</si>
  <si>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</si>
  <si>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</si>
  <si>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</si>
  <si>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</si>
  <si>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</si>
  <si>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</si>
  <si>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</si>
  <si>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</si>
  <si>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</si>
  <si>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</si>
  <si>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</si>
  <si>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</si>
  <si>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</si>
  <si>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</si>
  <si>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</si>
  <si>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AGS26033</t>
  </si>
  <si>
    <t>Kethavath Sai Raj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</si>
  <si>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</si>
  <si>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</si>
  <si>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</si>
  <si>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</si>
  <si>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</si>
  <si>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</si>
  <si>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</si>
  <si>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</si>
  <si>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</si>
  <si>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</si>
  <si>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</si>
  <si>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</si>
  <si>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</si>
  <si>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</si>
  <si>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</si>
  <si>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</si>
  <si>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</si>
  <si>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</si>
  <si>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</si>
  <si>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</si>
  <si>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</si>
  <si>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</si>
  <si>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</si>
  <si>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</si>
  <si>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</si>
  <si>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</si>
  <si>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0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</si>
  <si>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</si>
  <si>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</si>
  <si>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</si>
  <si>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</si>
  <si>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</si>
  <si>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</si>
  <si>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</si>
  <si>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</si>
  <si>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</si>
  <si>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</si>
  <si>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</si>
  <si>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</si>
  <si>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</si>
  <si>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</si>
  <si>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</si>
  <si>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</si>
  <si>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</si>
  <si>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</si>
  <si>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</si>
  <si>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</si>
  <si>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</si>
  <si>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</si>
  <si>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</si>
  <si>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</si>
  <si>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</si>
  <si>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</si>
  <si>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</si>
  <si>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</si>
  <si>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</si>
  <si>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</si>
  <si>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</si>
  <si>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</si>
  <si>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</si>
  <si>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</si>
  <si>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</si>
  <si>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</si>
  <si>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</si>
  <si>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</si>
  <si>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</si>
  <si>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</si>
  <si>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</si>
  <si>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 xml:space="preserve"> FDRL0005556</t>
  </si>
  <si>
    <t>CNRB0007792</t>
  </si>
  <si>
    <t>ICIC0003867</t>
  </si>
  <si>
    <t>SBIN0021487</t>
  </si>
  <si>
    <t>UBIN0826383</t>
  </si>
  <si>
    <t>SBIN0013071</t>
  </si>
  <si>
    <t>SBIN0008833</t>
  </si>
  <si>
    <t>SBIN0020908</t>
  </si>
  <si>
    <t>HDFC0009817</t>
  </si>
  <si>
    <t>BARB0SIDDIP</t>
  </si>
  <si>
    <t>April 2026</t>
  </si>
  <si>
    <t>02 May 2026</t>
  </si>
  <si>
    <t>Software Engineer</t>
  </si>
  <si>
    <t>Associate Software Engineer</t>
  </si>
  <si>
    <t>Graduate Trainee Engineer</t>
  </si>
  <si>
    <t xml:space="preserve">Software Engineer </t>
  </si>
  <si>
    <t>UTIB0000008</t>
  </si>
  <si>
    <t>ICIC0001111</t>
  </si>
  <si>
    <t>AGS26028</t>
  </si>
  <si>
    <t>Mohammed Abdul Moid</t>
  </si>
  <si>
    <t>KKBK0007474</t>
  </si>
  <si>
    <t>Admin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</si>
</sst>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09]dd\ mmm\ yy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6" fillId="2" borderId="0" xfId="0" applyFont="1" applyFill="1" applyAlignment="1">
      <alignment horizontal="left" vertical="top"/>
    </xf>
    <xf numFmtId="165" fontId="2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5" fontId="2" fillId="0" borderId="0" xfId="1" applyNumberFormat="1" applyFont="1" applyBorder="1" applyAlignment="1">
      <alignment horizontal="left"/>
    </xf>
    <xf numFmtId="165" fontId="2" fillId="0" borderId="0" xfId="1" quotePrefix="1" applyNumberFormat="1" applyFont="1" applyAlignment="1">
      <alignment horizontal="left"/>
    </xf>
    <xf numFmtId="0" fontId="0" fillId="0" borderId="0" xfId="0" applyFont="1"/>
    <xf numFmtId="2" fontId="0" fillId="0" borderId="0" xfId="0" applyNumberFormat="1" applyFont="1"/>
    <xf numFmtId="0" fontId="0" fillId="0" borderId="0" xfId="0" applyFont="1" applyAlignment="1">
      <alignment wrapText="1"/>
    </xf>
    <xf numFmtId="1" fontId="0" fillId="0" borderId="0" xfId="0" applyNumberFormat="1" applyFont="1"/>
    <xf numFmtId="49" fontId="0" fillId="0" borderId="0" xfId="0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/Admin/Payroll/2026/March/March_Payroll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April\Apr_Payroll_Data_final.xlsx" TargetMode="External"/><Relationship Id="rId1" Type="http://schemas.openxmlformats.org/officeDocument/2006/relationships/externalLinkPath" Target="Apr_Payroll_Data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  <sheetName val="Rental Amount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79800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38759.113112693551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52926.129311548393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18791.643419959688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 t="str">
            <v>1446178000009714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12203.245708669359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18791.643419959688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</sheetNames>
    <sheetDataSet>
      <sheetData sheetId="0" refreshError="1"/>
      <sheetData sheetId="1" refreshError="1"/>
      <sheetData sheetId="2">
        <row r="2">
          <cell r="A2" t="str">
            <v>AGS26011</v>
          </cell>
          <cell r="B2" t="str">
            <v>Siddula Hemasai</v>
          </cell>
          <cell r="C2">
            <v>46083</v>
          </cell>
          <cell r="D2">
            <v>45000</v>
          </cell>
          <cell r="E2">
            <v>30</v>
          </cell>
          <cell r="F2">
            <v>30</v>
          </cell>
          <cell r="G2">
            <v>0</v>
          </cell>
          <cell r="I2">
            <v>22499.995499999997</v>
          </cell>
          <cell r="J2">
            <v>11249.997749999999</v>
          </cell>
          <cell r="K2">
            <v>1600</v>
          </cell>
          <cell r="L2">
            <v>6767.7569664500079</v>
          </cell>
          <cell r="M2">
            <v>42117.750216450004</v>
          </cell>
          <cell r="N2">
            <v>1800</v>
          </cell>
          <cell r="O2">
            <v>0</v>
          </cell>
          <cell r="P2">
            <v>200</v>
          </cell>
          <cell r="Q2">
            <v>0</v>
          </cell>
          <cell r="R2">
            <v>0</v>
          </cell>
          <cell r="S2">
            <v>0</v>
          </cell>
          <cell r="T2">
            <v>42117.750216450004</v>
          </cell>
          <cell r="U2">
            <v>0</v>
          </cell>
          <cell r="V2">
            <v>0</v>
          </cell>
          <cell r="W2">
            <v>0</v>
          </cell>
          <cell r="X2">
            <v>1800</v>
          </cell>
          <cell r="Y2">
            <v>0</v>
          </cell>
          <cell r="Z2">
            <v>1082.2497835499998</v>
          </cell>
          <cell r="AA2">
            <v>4882.2497835499998</v>
          </cell>
          <cell r="AB2">
            <v>40117.750216450004</v>
          </cell>
        </row>
        <row r="3">
          <cell r="A3" t="str">
            <v>AGS26018</v>
          </cell>
          <cell r="B3" t="str">
            <v>Settybathini Sathish</v>
          </cell>
          <cell r="C3">
            <v>46083</v>
          </cell>
          <cell r="D3">
            <v>45000</v>
          </cell>
          <cell r="E3">
            <v>30</v>
          </cell>
          <cell r="F3">
            <v>30</v>
          </cell>
          <cell r="G3">
            <v>0</v>
          </cell>
          <cell r="I3">
            <v>22499.995499999997</v>
          </cell>
          <cell r="J3">
            <v>11249.997749999999</v>
          </cell>
          <cell r="K3">
            <v>1600</v>
          </cell>
          <cell r="L3">
            <v>6767.7569664500079</v>
          </cell>
          <cell r="M3">
            <v>42117.750216450004</v>
          </cell>
          <cell r="N3">
            <v>1800</v>
          </cell>
          <cell r="O3">
            <v>0</v>
          </cell>
          <cell r="P3">
            <v>200</v>
          </cell>
          <cell r="Q3">
            <v>0</v>
          </cell>
          <cell r="R3">
            <v>0</v>
          </cell>
          <cell r="S3">
            <v>0</v>
          </cell>
          <cell r="T3">
            <v>42117.750216450004</v>
          </cell>
          <cell r="U3">
            <v>0</v>
          </cell>
          <cell r="V3">
            <v>0</v>
          </cell>
          <cell r="W3">
            <v>0</v>
          </cell>
          <cell r="X3">
            <v>1800</v>
          </cell>
          <cell r="Y3">
            <v>0</v>
          </cell>
          <cell r="Z3">
            <v>1082.2497835499998</v>
          </cell>
          <cell r="AA3">
            <v>4882.2497835499998</v>
          </cell>
          <cell r="AB3">
            <v>40117.750216450004</v>
          </cell>
        </row>
        <row r="4">
          <cell r="A4" t="str">
            <v>AGS26010</v>
          </cell>
          <cell r="B4" t="str">
            <v>Vemula Varshith</v>
          </cell>
          <cell r="C4">
            <v>46083</v>
          </cell>
          <cell r="D4">
            <v>60000</v>
          </cell>
          <cell r="E4">
            <v>30</v>
          </cell>
          <cell r="F4">
            <v>29</v>
          </cell>
          <cell r="G4">
            <v>1</v>
          </cell>
          <cell r="I4">
            <v>28999.994199999994</v>
          </cell>
          <cell r="J4">
            <v>14499.997099999997</v>
          </cell>
          <cell r="K4">
            <v>1546.6666666666667</v>
          </cell>
          <cell r="L4">
            <v>9818.4423123133402</v>
          </cell>
          <cell r="M4">
            <v>54865.100278979997</v>
          </cell>
          <cell r="N4">
            <v>1800</v>
          </cell>
          <cell r="O4">
            <v>0</v>
          </cell>
          <cell r="P4">
            <v>200</v>
          </cell>
          <cell r="Q4">
            <v>0</v>
          </cell>
          <cell r="R4">
            <v>0</v>
          </cell>
          <cell r="S4">
            <v>0</v>
          </cell>
          <cell r="T4">
            <v>54865.100278979997</v>
          </cell>
          <cell r="U4">
            <v>0</v>
          </cell>
          <cell r="V4">
            <v>0</v>
          </cell>
          <cell r="W4">
            <v>0</v>
          </cell>
          <cell r="X4">
            <v>1800</v>
          </cell>
          <cell r="Y4">
            <v>0</v>
          </cell>
          <cell r="Z4">
            <v>1394.8997210199996</v>
          </cell>
          <cell r="AA4">
            <v>5194.8997210199996</v>
          </cell>
          <cell r="AB4">
            <v>52865.100278979997</v>
          </cell>
        </row>
        <row r="5">
          <cell r="A5" t="str">
            <v>AGS26019</v>
          </cell>
          <cell r="B5" t="str">
            <v>Nelapatla Srinivas</v>
          </cell>
          <cell r="C5">
            <v>46083</v>
          </cell>
          <cell r="D5">
            <v>23000</v>
          </cell>
          <cell r="E5">
            <v>30</v>
          </cell>
          <cell r="F5">
            <v>30</v>
          </cell>
          <cell r="G5">
            <v>0</v>
          </cell>
          <cell r="I5">
            <v>11499.997699999998</v>
          </cell>
          <cell r="J5">
            <v>5749.998849999999</v>
          </cell>
          <cell r="K5">
            <v>1600</v>
          </cell>
          <cell r="L5">
            <v>2216.8538366300008</v>
          </cell>
          <cell r="M5">
            <v>21066.850386629998</v>
          </cell>
          <cell r="N5">
            <v>1379.9997239999998</v>
          </cell>
          <cell r="O5">
            <v>0</v>
          </cell>
          <cell r="P5">
            <v>200</v>
          </cell>
          <cell r="Q5">
            <v>0</v>
          </cell>
          <cell r="R5">
            <v>0</v>
          </cell>
          <cell r="S5">
            <v>0</v>
          </cell>
          <cell r="T5">
            <v>21066.850386629998</v>
          </cell>
          <cell r="U5">
            <v>0</v>
          </cell>
          <cell r="V5">
            <v>0</v>
          </cell>
          <cell r="W5">
            <v>0</v>
          </cell>
          <cell r="X5">
            <v>1379.9997239999998</v>
          </cell>
          <cell r="Y5">
            <v>0</v>
          </cell>
          <cell r="Z5">
            <v>553.14988936999987</v>
          </cell>
          <cell r="AA5">
            <v>3513.1493373699996</v>
          </cell>
          <cell r="AB5">
            <v>19486.85066263</v>
          </cell>
        </row>
        <row r="6">
          <cell r="A6" t="str">
            <v>AGS26014</v>
          </cell>
          <cell r="B6" t="str">
            <v>Vulli Pavan</v>
          </cell>
          <cell r="C6">
            <v>46083</v>
          </cell>
          <cell r="D6">
            <v>50000</v>
          </cell>
          <cell r="E6">
            <v>30</v>
          </cell>
          <cell r="F6">
            <v>30</v>
          </cell>
          <cell r="G6">
            <v>0</v>
          </cell>
          <cell r="I6">
            <v>24999.994999999995</v>
          </cell>
          <cell r="J6">
            <v>12499.997499999998</v>
          </cell>
          <cell r="K6">
            <v>1600</v>
          </cell>
          <cell r="L6">
            <v>7897.5077405000047</v>
          </cell>
          <cell r="M6">
            <v>46997.500240499998</v>
          </cell>
          <cell r="N6">
            <v>1800</v>
          </cell>
          <cell r="O6">
            <v>0</v>
          </cell>
          <cell r="P6">
            <v>200</v>
          </cell>
          <cell r="Q6">
            <v>0</v>
          </cell>
          <cell r="R6">
            <v>0</v>
          </cell>
          <cell r="S6">
            <v>0</v>
          </cell>
          <cell r="T6">
            <v>46997.500240499998</v>
          </cell>
          <cell r="U6">
            <v>0</v>
          </cell>
          <cell r="V6">
            <v>0</v>
          </cell>
          <cell r="W6">
            <v>0</v>
          </cell>
          <cell r="X6">
            <v>1800</v>
          </cell>
          <cell r="Y6">
            <v>0</v>
          </cell>
          <cell r="Z6">
            <v>1202.4997594999998</v>
          </cell>
          <cell r="AA6">
            <v>5002.4997594999995</v>
          </cell>
          <cell r="AB6">
            <v>44997.500240499998</v>
          </cell>
        </row>
        <row r="7">
          <cell r="A7" t="str">
            <v>AGS26017</v>
          </cell>
          <cell r="B7" t="str">
            <v>Vavilla Saikumar</v>
          </cell>
          <cell r="C7">
            <v>46083</v>
          </cell>
          <cell r="D7">
            <v>45000</v>
          </cell>
          <cell r="E7">
            <v>30</v>
          </cell>
          <cell r="F7">
            <v>30</v>
          </cell>
          <cell r="G7">
            <v>0</v>
          </cell>
          <cell r="I7">
            <v>22499.995499999997</v>
          </cell>
          <cell r="J7">
            <v>11249.997749999999</v>
          </cell>
          <cell r="K7">
            <v>1600</v>
          </cell>
          <cell r="L7">
            <v>6767.7569664500079</v>
          </cell>
          <cell r="M7">
            <v>42117.750216450004</v>
          </cell>
          <cell r="N7">
            <v>1800</v>
          </cell>
          <cell r="O7">
            <v>0</v>
          </cell>
          <cell r="P7">
            <v>200</v>
          </cell>
          <cell r="Q7">
            <v>0</v>
          </cell>
          <cell r="R7">
            <v>0</v>
          </cell>
          <cell r="S7">
            <v>0</v>
          </cell>
          <cell r="T7">
            <v>42117.750216450004</v>
          </cell>
          <cell r="U7">
            <v>0</v>
          </cell>
          <cell r="V7">
            <v>0</v>
          </cell>
          <cell r="W7">
            <v>0</v>
          </cell>
          <cell r="X7">
            <v>1800</v>
          </cell>
          <cell r="Y7">
            <v>0</v>
          </cell>
          <cell r="Z7">
            <v>1082.2497835499998</v>
          </cell>
          <cell r="AA7">
            <v>4882.2497835499998</v>
          </cell>
          <cell r="AB7">
            <v>40117.750216450004</v>
          </cell>
        </row>
        <row r="8">
          <cell r="A8" t="str">
            <v>AGS26016</v>
          </cell>
          <cell r="B8" t="str">
            <v>Manisha Ashroba Virkar</v>
          </cell>
          <cell r="C8">
            <v>46083</v>
          </cell>
          <cell r="D8">
            <v>45000</v>
          </cell>
          <cell r="E8">
            <v>30</v>
          </cell>
          <cell r="F8">
            <v>30</v>
          </cell>
          <cell r="G8">
            <v>0</v>
          </cell>
          <cell r="I8">
            <v>22499.995499999997</v>
          </cell>
          <cell r="J8">
            <v>11249.997749999999</v>
          </cell>
          <cell r="K8">
            <v>1600</v>
          </cell>
          <cell r="L8">
            <v>6767.7569664500079</v>
          </cell>
          <cell r="M8">
            <v>42117.750216450004</v>
          </cell>
          <cell r="N8">
            <v>1800</v>
          </cell>
          <cell r="O8">
            <v>0</v>
          </cell>
          <cell r="P8">
            <v>200</v>
          </cell>
          <cell r="Q8">
            <v>0</v>
          </cell>
          <cell r="R8">
            <v>0</v>
          </cell>
          <cell r="S8">
            <v>0</v>
          </cell>
          <cell r="T8">
            <v>42117.750216450004</v>
          </cell>
          <cell r="U8">
            <v>0</v>
          </cell>
          <cell r="V8">
            <v>0</v>
          </cell>
          <cell r="W8">
            <v>0</v>
          </cell>
          <cell r="X8">
            <v>1800</v>
          </cell>
          <cell r="Y8">
            <v>0</v>
          </cell>
          <cell r="Z8">
            <v>1082.2497835499998</v>
          </cell>
          <cell r="AA8">
            <v>4882.2497835499998</v>
          </cell>
          <cell r="AB8">
            <v>40117.750216450004</v>
          </cell>
        </row>
        <row r="9">
          <cell r="A9" t="str">
            <v>AGS26015</v>
          </cell>
          <cell r="B9" t="str">
            <v>Karne Narsimha Reddy</v>
          </cell>
          <cell r="C9">
            <v>46083</v>
          </cell>
          <cell r="D9">
            <v>45000</v>
          </cell>
          <cell r="E9">
            <v>30</v>
          </cell>
          <cell r="F9">
            <v>30</v>
          </cell>
          <cell r="G9">
            <v>0</v>
          </cell>
          <cell r="I9">
            <v>22499.995499999997</v>
          </cell>
          <cell r="J9">
            <v>11249.997749999999</v>
          </cell>
          <cell r="K9">
            <v>1600</v>
          </cell>
          <cell r="L9">
            <v>6767.7569664500079</v>
          </cell>
          <cell r="M9">
            <v>42117.750216450004</v>
          </cell>
          <cell r="N9">
            <v>1800</v>
          </cell>
          <cell r="O9">
            <v>0</v>
          </cell>
          <cell r="P9">
            <v>200</v>
          </cell>
          <cell r="Q9">
            <v>0</v>
          </cell>
          <cell r="R9">
            <v>0</v>
          </cell>
          <cell r="S9">
            <v>0</v>
          </cell>
          <cell r="T9">
            <v>42117.750216450004</v>
          </cell>
          <cell r="U9">
            <v>0</v>
          </cell>
          <cell r="V9">
            <v>0</v>
          </cell>
          <cell r="W9">
            <v>0</v>
          </cell>
          <cell r="X9">
            <v>1800</v>
          </cell>
          <cell r="Y9">
            <v>0</v>
          </cell>
          <cell r="Z9">
            <v>1082.2497835499998</v>
          </cell>
          <cell r="AA9">
            <v>4882.2497835499998</v>
          </cell>
          <cell r="AB9">
            <v>40117.750216450004</v>
          </cell>
        </row>
        <row r="10">
          <cell r="A10" t="str">
            <v>AGS26013</v>
          </cell>
          <cell r="B10" t="str">
            <v>Kalepu Vijay</v>
          </cell>
          <cell r="C10">
            <v>46083</v>
          </cell>
          <cell r="D10">
            <v>45000</v>
          </cell>
          <cell r="E10">
            <v>30</v>
          </cell>
          <cell r="F10">
            <v>30</v>
          </cell>
          <cell r="G10">
            <v>0</v>
          </cell>
          <cell r="I10">
            <v>22499.995499999997</v>
          </cell>
          <cell r="J10">
            <v>11249.997749999999</v>
          </cell>
          <cell r="K10">
            <v>1600</v>
          </cell>
          <cell r="L10">
            <v>6767.7569664500079</v>
          </cell>
          <cell r="M10">
            <v>42117.750216450004</v>
          </cell>
          <cell r="N10">
            <v>1800</v>
          </cell>
          <cell r="O10">
            <v>0</v>
          </cell>
          <cell r="P10">
            <v>200</v>
          </cell>
          <cell r="Q10">
            <v>0</v>
          </cell>
          <cell r="R10">
            <v>0</v>
          </cell>
          <cell r="S10">
            <v>0</v>
          </cell>
          <cell r="T10">
            <v>42117.750216450004</v>
          </cell>
          <cell r="U10">
            <v>0</v>
          </cell>
          <cell r="V10">
            <v>0</v>
          </cell>
          <cell r="W10">
            <v>0</v>
          </cell>
          <cell r="X10">
            <v>1800</v>
          </cell>
          <cell r="Y10">
            <v>0</v>
          </cell>
          <cell r="Z10">
            <v>1082.2497835499998</v>
          </cell>
          <cell r="AA10">
            <v>4882.2497835499998</v>
          </cell>
          <cell r="AB10">
            <v>40117.750216450004</v>
          </cell>
        </row>
        <row r="11">
          <cell r="A11" t="str">
            <v>AGS26021</v>
          </cell>
          <cell r="B11" t="str">
            <v>Kontham Sushma</v>
          </cell>
          <cell r="C11">
            <v>46083</v>
          </cell>
          <cell r="D11">
            <v>50000</v>
          </cell>
          <cell r="E11">
            <v>30</v>
          </cell>
          <cell r="F11">
            <v>30</v>
          </cell>
          <cell r="G11">
            <v>0</v>
          </cell>
          <cell r="I11">
            <v>24999.994999999995</v>
          </cell>
          <cell r="J11">
            <v>12499.997499999998</v>
          </cell>
          <cell r="K11">
            <v>1600</v>
          </cell>
          <cell r="L11">
            <v>7897.5077405000047</v>
          </cell>
          <cell r="M11">
            <v>46997.500240499998</v>
          </cell>
          <cell r="N11">
            <v>1800</v>
          </cell>
          <cell r="O11">
            <v>0</v>
          </cell>
          <cell r="P11">
            <v>200</v>
          </cell>
          <cell r="Q11">
            <v>0</v>
          </cell>
          <cell r="R11">
            <v>0</v>
          </cell>
          <cell r="S11">
            <v>0</v>
          </cell>
          <cell r="T11">
            <v>46997.500240499998</v>
          </cell>
          <cell r="U11">
            <v>0</v>
          </cell>
          <cell r="V11">
            <v>0</v>
          </cell>
          <cell r="W11">
            <v>0</v>
          </cell>
          <cell r="X11">
            <v>1800</v>
          </cell>
          <cell r="Y11">
            <v>0</v>
          </cell>
          <cell r="Z11">
            <v>1202.4997594999998</v>
          </cell>
          <cell r="AA11">
            <v>5002.4997594999995</v>
          </cell>
          <cell r="AB11">
            <v>44997.500240499998</v>
          </cell>
        </row>
        <row r="12">
          <cell r="A12" t="str">
            <v>AGS26022</v>
          </cell>
          <cell r="B12" t="str">
            <v>Akkma Sai Teja</v>
          </cell>
          <cell r="C12">
            <v>46083</v>
          </cell>
          <cell r="D12">
            <v>50000</v>
          </cell>
          <cell r="E12">
            <v>30</v>
          </cell>
          <cell r="F12">
            <v>30</v>
          </cell>
          <cell r="G12">
            <v>0</v>
          </cell>
          <cell r="I12">
            <v>24999.994999999995</v>
          </cell>
          <cell r="J12">
            <v>12499.997499999998</v>
          </cell>
          <cell r="K12">
            <v>1600</v>
          </cell>
          <cell r="L12">
            <v>7897.5077405000047</v>
          </cell>
          <cell r="M12">
            <v>46997.500240499998</v>
          </cell>
          <cell r="N12">
            <v>1800</v>
          </cell>
          <cell r="O12">
            <v>0</v>
          </cell>
          <cell r="P12">
            <v>200</v>
          </cell>
          <cell r="Q12">
            <v>0</v>
          </cell>
          <cell r="R12">
            <v>0</v>
          </cell>
          <cell r="S12">
            <v>0</v>
          </cell>
          <cell r="T12">
            <v>46997.500240499998</v>
          </cell>
          <cell r="U12">
            <v>0</v>
          </cell>
          <cell r="V12">
            <v>0</v>
          </cell>
          <cell r="W12">
            <v>0</v>
          </cell>
          <cell r="X12">
            <v>1800</v>
          </cell>
          <cell r="Y12">
            <v>0</v>
          </cell>
          <cell r="Z12">
            <v>1202.4997594999998</v>
          </cell>
          <cell r="AA12">
            <v>5002.4997594999995</v>
          </cell>
          <cell r="AB12">
            <v>44997.500240499998</v>
          </cell>
        </row>
        <row r="13">
          <cell r="A13" t="str">
            <v>AGS26023</v>
          </cell>
          <cell r="B13" t="str">
            <v>Bobbarala Varshini</v>
          </cell>
          <cell r="C13">
            <v>46083</v>
          </cell>
          <cell r="D13">
            <v>60000</v>
          </cell>
          <cell r="E13">
            <v>30</v>
          </cell>
          <cell r="F13">
            <v>28</v>
          </cell>
          <cell r="G13">
            <v>2</v>
          </cell>
          <cell r="I13">
            <v>27999.994399999996</v>
          </cell>
          <cell r="J13">
            <v>13999.997199999998</v>
          </cell>
          <cell r="K13">
            <v>1493.3333333333335</v>
          </cell>
          <cell r="L13">
            <v>9479.8753360266728</v>
          </cell>
          <cell r="M13">
            <v>52973.200269360001</v>
          </cell>
          <cell r="N13">
            <v>1800</v>
          </cell>
          <cell r="O13">
            <v>0</v>
          </cell>
          <cell r="P13">
            <v>200</v>
          </cell>
          <cell r="Q13">
            <v>0</v>
          </cell>
          <cell r="R13">
            <v>0</v>
          </cell>
          <cell r="S13">
            <v>0</v>
          </cell>
          <cell r="T13">
            <v>52973.200269360001</v>
          </cell>
          <cell r="U13">
            <v>0</v>
          </cell>
          <cell r="V13">
            <v>0</v>
          </cell>
          <cell r="W13">
            <v>0</v>
          </cell>
          <cell r="X13">
            <v>1800</v>
          </cell>
          <cell r="Y13">
            <v>0</v>
          </cell>
          <cell r="Z13">
            <v>1346.7997306399998</v>
          </cell>
          <cell r="AA13">
            <v>5146.7997306399993</v>
          </cell>
          <cell r="AB13">
            <v>50973.200269360001</v>
          </cell>
        </row>
        <row r="14">
          <cell r="A14" t="str">
            <v>AGS26026</v>
          </cell>
          <cell r="B14" t="str">
            <v>Surampudi Roop Sai</v>
          </cell>
          <cell r="C14">
            <v>46083</v>
          </cell>
          <cell r="D14">
            <v>60000</v>
          </cell>
          <cell r="E14">
            <v>30</v>
          </cell>
          <cell r="F14">
            <v>30</v>
          </cell>
          <cell r="G14">
            <v>0</v>
          </cell>
          <cell r="I14">
            <v>29999.993999999995</v>
          </cell>
          <cell r="J14">
            <v>14999.996999999998</v>
          </cell>
          <cell r="K14">
            <v>1600</v>
          </cell>
          <cell r="L14">
            <v>10157.009288600007</v>
          </cell>
          <cell r="M14">
            <v>56757.0002886</v>
          </cell>
          <cell r="N14">
            <v>1800</v>
          </cell>
          <cell r="O14">
            <v>0</v>
          </cell>
          <cell r="P14">
            <v>200</v>
          </cell>
          <cell r="Q14">
            <v>0</v>
          </cell>
          <cell r="R14">
            <v>0</v>
          </cell>
          <cell r="S14">
            <v>0</v>
          </cell>
          <cell r="T14">
            <v>56757.0002886</v>
          </cell>
          <cell r="U14">
            <v>0</v>
          </cell>
          <cell r="V14">
            <v>0</v>
          </cell>
          <cell r="W14">
            <v>0</v>
          </cell>
          <cell r="X14">
            <v>1800</v>
          </cell>
          <cell r="Y14">
            <v>0</v>
          </cell>
          <cell r="Z14">
            <v>1442.9997113999996</v>
          </cell>
          <cell r="AA14">
            <v>5242.9997113999998</v>
          </cell>
          <cell r="AB14">
            <v>54757.0002886</v>
          </cell>
        </row>
        <row r="15">
          <cell r="A15" t="str">
            <v>AGS26028</v>
          </cell>
          <cell r="B15" t="str">
            <v>Mohammed Abdul Moid</v>
          </cell>
          <cell r="C15">
            <v>46083</v>
          </cell>
          <cell r="D15">
            <v>15000</v>
          </cell>
          <cell r="E15">
            <v>30</v>
          </cell>
          <cell r="F15">
            <v>30</v>
          </cell>
          <cell r="G15">
            <v>0</v>
          </cell>
          <cell r="I15">
            <v>7499.9984999999988</v>
          </cell>
          <cell r="J15">
            <v>3749.9992499999994</v>
          </cell>
          <cell r="K15">
            <v>1600</v>
          </cell>
          <cell r="L15">
            <v>889.25250215000278</v>
          </cell>
          <cell r="M15">
            <v>13739.250252150001</v>
          </cell>
          <cell r="N15">
            <v>899.99981999999977</v>
          </cell>
          <cell r="O15">
            <v>0</v>
          </cell>
          <cell r="P15">
            <v>200</v>
          </cell>
          <cell r="Q15">
            <v>0</v>
          </cell>
          <cell r="R15">
            <v>0</v>
          </cell>
          <cell r="S15">
            <v>0</v>
          </cell>
          <cell r="T15">
            <v>13739.250252150001</v>
          </cell>
          <cell r="U15">
            <v>0</v>
          </cell>
          <cell r="V15">
            <v>0</v>
          </cell>
          <cell r="W15">
            <v>0</v>
          </cell>
          <cell r="X15">
            <v>899.99981999999977</v>
          </cell>
          <cell r="Y15">
            <v>0</v>
          </cell>
          <cell r="Z15">
            <v>360.74992784999989</v>
          </cell>
          <cell r="AA15">
            <v>2360.7495678499995</v>
          </cell>
          <cell r="AB15">
            <v>12639.25043215</v>
          </cell>
        </row>
        <row r="16">
          <cell r="A16" t="str">
            <v>AGS26029</v>
          </cell>
          <cell r="B16" t="str">
            <v>Mula Sai Preetham Goud</v>
          </cell>
          <cell r="C16">
            <v>46083</v>
          </cell>
          <cell r="D16">
            <v>35000</v>
          </cell>
          <cell r="E16">
            <v>30</v>
          </cell>
          <cell r="F16">
            <v>30</v>
          </cell>
          <cell r="G16">
            <v>0</v>
          </cell>
          <cell r="I16">
            <v>17499.996499999997</v>
          </cell>
          <cell r="J16">
            <v>8749.9982499999987</v>
          </cell>
          <cell r="K16">
            <v>1600</v>
          </cell>
          <cell r="L16">
            <v>4508.2554183500051</v>
          </cell>
          <cell r="M16">
            <v>32358.250168350001</v>
          </cell>
          <cell r="N16">
            <v>1800</v>
          </cell>
          <cell r="O16">
            <v>0</v>
          </cell>
          <cell r="P16">
            <v>200</v>
          </cell>
          <cell r="Q16">
            <v>0</v>
          </cell>
          <cell r="R16">
            <v>0</v>
          </cell>
          <cell r="S16">
            <v>0</v>
          </cell>
          <cell r="T16">
            <v>32358.250168350001</v>
          </cell>
          <cell r="U16">
            <v>0</v>
          </cell>
          <cell r="V16">
            <v>0</v>
          </cell>
          <cell r="W16">
            <v>0</v>
          </cell>
          <cell r="X16">
            <v>1800</v>
          </cell>
          <cell r="Y16">
            <v>0</v>
          </cell>
          <cell r="Z16">
            <v>841.74983164999981</v>
          </cell>
          <cell r="AA16">
            <v>4641.7498316499996</v>
          </cell>
          <cell r="AB16">
            <v>30358.250168350001</v>
          </cell>
        </row>
        <row r="17">
          <cell r="A17" t="str">
            <v>AGS26030</v>
          </cell>
          <cell r="B17" t="str">
            <v>Sruthin Kumar Basa</v>
          </cell>
          <cell r="C17">
            <v>46083</v>
          </cell>
          <cell r="D17">
            <v>35000</v>
          </cell>
          <cell r="E17">
            <v>30</v>
          </cell>
          <cell r="F17">
            <v>30</v>
          </cell>
          <cell r="G17">
            <v>0</v>
          </cell>
          <cell r="I17">
            <v>17499.996499999997</v>
          </cell>
          <cell r="J17">
            <v>8749.9982499999987</v>
          </cell>
          <cell r="K17">
            <v>1600</v>
          </cell>
          <cell r="L17">
            <v>4508.2554183500051</v>
          </cell>
          <cell r="M17">
            <v>32358.250168350001</v>
          </cell>
          <cell r="N17">
            <v>1800</v>
          </cell>
          <cell r="O17">
            <v>0</v>
          </cell>
          <cell r="P17">
            <v>200</v>
          </cell>
          <cell r="Q17">
            <v>0</v>
          </cell>
          <cell r="R17">
            <v>0</v>
          </cell>
          <cell r="S17">
            <v>0</v>
          </cell>
          <cell r="T17">
            <v>32358.250168350001</v>
          </cell>
          <cell r="U17">
            <v>0</v>
          </cell>
          <cell r="V17">
            <v>0</v>
          </cell>
          <cell r="W17">
            <v>0</v>
          </cell>
          <cell r="X17">
            <v>1800</v>
          </cell>
          <cell r="Y17">
            <v>0</v>
          </cell>
          <cell r="Z17">
            <v>841.74983164999981</v>
          </cell>
          <cell r="AA17">
            <v>4641.7498316499996</v>
          </cell>
          <cell r="AB17">
            <v>30358.250168350001</v>
          </cell>
        </row>
        <row r="18">
          <cell r="A18" t="str">
            <v>AGS26032</v>
          </cell>
          <cell r="B18" t="str">
            <v>Vempadapu Uday Sai Tarun</v>
          </cell>
          <cell r="C18">
            <v>46083</v>
          </cell>
          <cell r="D18">
            <v>23000</v>
          </cell>
          <cell r="E18">
            <v>30</v>
          </cell>
          <cell r="F18">
            <v>30</v>
          </cell>
          <cell r="G18">
            <v>0</v>
          </cell>
          <cell r="I18">
            <v>11499.997699999998</v>
          </cell>
          <cell r="J18">
            <v>5749.998849999999</v>
          </cell>
          <cell r="K18">
            <v>1600</v>
          </cell>
          <cell r="L18">
            <v>2216.8538366300008</v>
          </cell>
          <cell r="M18">
            <v>21066.850386629998</v>
          </cell>
          <cell r="N18">
            <v>1379.9997239999998</v>
          </cell>
          <cell r="O18">
            <v>0</v>
          </cell>
          <cell r="P18">
            <v>200</v>
          </cell>
          <cell r="Q18">
            <v>0</v>
          </cell>
          <cell r="R18">
            <v>0</v>
          </cell>
          <cell r="S18">
            <v>0</v>
          </cell>
          <cell r="T18">
            <v>21066.850386629998</v>
          </cell>
          <cell r="U18">
            <v>0</v>
          </cell>
          <cell r="V18">
            <v>0</v>
          </cell>
          <cell r="W18">
            <v>0</v>
          </cell>
          <cell r="X18">
            <v>1379.9997239999998</v>
          </cell>
          <cell r="Y18">
            <v>0</v>
          </cell>
          <cell r="Z18">
            <v>553.14988936999987</v>
          </cell>
          <cell r="AA18">
            <v>3513.1493373699996</v>
          </cell>
          <cell r="AB18">
            <v>19486.85066263</v>
          </cell>
        </row>
        <row r="19">
          <cell r="A19" t="str">
            <v>AGS26033</v>
          </cell>
          <cell r="B19" t="str">
            <v>Kethavath Sai Raj</v>
          </cell>
          <cell r="C19">
            <v>46083</v>
          </cell>
          <cell r="D19">
            <v>35000</v>
          </cell>
          <cell r="E19">
            <v>30</v>
          </cell>
          <cell r="F19">
            <v>30</v>
          </cell>
          <cell r="G19">
            <v>0</v>
          </cell>
          <cell r="I19">
            <v>17499.996499999997</v>
          </cell>
          <cell r="J19">
            <v>8749.9982499999987</v>
          </cell>
          <cell r="K19">
            <v>1600</v>
          </cell>
          <cell r="L19">
            <v>4508.2554183500051</v>
          </cell>
          <cell r="M19">
            <v>32358.250168350001</v>
          </cell>
          <cell r="N19">
            <v>1800</v>
          </cell>
          <cell r="O19">
            <v>0</v>
          </cell>
          <cell r="P19">
            <v>200</v>
          </cell>
          <cell r="Q19">
            <v>0</v>
          </cell>
          <cell r="R19">
            <v>0</v>
          </cell>
          <cell r="S19">
            <v>0</v>
          </cell>
          <cell r="T19">
            <v>32358.250168350001</v>
          </cell>
          <cell r="U19">
            <v>0</v>
          </cell>
          <cell r="V19">
            <v>0</v>
          </cell>
          <cell r="W19">
            <v>0</v>
          </cell>
          <cell r="X19">
            <v>1800</v>
          </cell>
          <cell r="Y19">
            <v>0</v>
          </cell>
          <cell r="Z19">
            <v>841.74983164999981</v>
          </cell>
          <cell r="AA19">
            <v>4641.7498316499996</v>
          </cell>
          <cell r="AB19">
            <v>30358.250168350001</v>
          </cell>
        </row>
        <row r="20">
          <cell r="A20" t="str">
            <v>AGS26034</v>
          </cell>
          <cell r="B20" t="str">
            <v>Sripada Shivakumar</v>
          </cell>
          <cell r="C20">
            <v>46083</v>
          </cell>
          <cell r="D20">
            <v>60000</v>
          </cell>
          <cell r="E20">
            <v>30</v>
          </cell>
          <cell r="F20">
            <v>30</v>
          </cell>
          <cell r="G20">
            <v>0</v>
          </cell>
          <cell r="I20">
            <v>29999.993999999995</v>
          </cell>
          <cell r="J20">
            <v>14999.996999999998</v>
          </cell>
          <cell r="K20">
            <v>1600</v>
          </cell>
          <cell r="L20">
            <v>10157.009288600007</v>
          </cell>
          <cell r="M20">
            <v>56757.0002886</v>
          </cell>
          <cell r="N20">
            <v>1800</v>
          </cell>
          <cell r="O20">
            <v>0</v>
          </cell>
          <cell r="P20">
            <v>200</v>
          </cell>
          <cell r="Q20">
            <v>0</v>
          </cell>
          <cell r="R20">
            <v>0</v>
          </cell>
          <cell r="S20">
            <v>0</v>
          </cell>
          <cell r="T20">
            <v>56757.0002886</v>
          </cell>
          <cell r="U20">
            <v>0</v>
          </cell>
          <cell r="V20">
            <v>0</v>
          </cell>
          <cell r="W20">
            <v>0</v>
          </cell>
          <cell r="X20">
            <v>1800</v>
          </cell>
          <cell r="Y20">
            <v>0</v>
          </cell>
          <cell r="Z20">
            <v>1442.9997113999996</v>
          </cell>
          <cell r="AA20">
            <v>5242.9997113999998</v>
          </cell>
          <cell r="AB20">
            <v>54757.0002886</v>
          </cell>
        </row>
        <row r="21">
          <cell r="A21" t="str">
            <v>AGS26035</v>
          </cell>
          <cell r="B21" t="str">
            <v>Varakantham Surender Reddy</v>
          </cell>
          <cell r="C21">
            <v>46083</v>
          </cell>
          <cell r="D21">
            <v>60000</v>
          </cell>
          <cell r="E21">
            <v>30</v>
          </cell>
          <cell r="F21">
            <v>29</v>
          </cell>
          <cell r="G21">
            <v>1</v>
          </cell>
          <cell r="I21">
            <v>28999.994199999994</v>
          </cell>
          <cell r="J21">
            <v>14499.997099999997</v>
          </cell>
          <cell r="K21">
            <v>1546.6666666666667</v>
          </cell>
          <cell r="L21">
            <v>9818.4423123133402</v>
          </cell>
          <cell r="M21">
            <v>54865.100278979997</v>
          </cell>
          <cell r="N21">
            <v>1800</v>
          </cell>
          <cell r="O21">
            <v>0</v>
          </cell>
          <cell r="P21">
            <v>200</v>
          </cell>
          <cell r="Q21">
            <v>0</v>
          </cell>
          <cell r="R21">
            <v>0</v>
          </cell>
          <cell r="S21">
            <v>0</v>
          </cell>
          <cell r="T21">
            <v>54865.100278979997</v>
          </cell>
          <cell r="U21">
            <v>0</v>
          </cell>
          <cell r="V21">
            <v>0</v>
          </cell>
          <cell r="W21">
            <v>0</v>
          </cell>
          <cell r="X21">
            <v>1800</v>
          </cell>
          <cell r="Y21">
            <v>0</v>
          </cell>
          <cell r="Z21">
            <v>1394.8997210199996</v>
          </cell>
          <cell r="AA21">
            <v>5194.8997210199996</v>
          </cell>
          <cell r="AB21">
            <v>52865.100278979997</v>
          </cell>
        </row>
        <row r="22">
          <cell r="A22" t="str">
            <v>AGS26041</v>
          </cell>
          <cell r="B22" t="str">
            <v>Sudhagani Sai Charan</v>
          </cell>
          <cell r="C22">
            <v>46113</v>
          </cell>
          <cell r="D22">
            <v>35000</v>
          </cell>
          <cell r="E22">
            <v>30</v>
          </cell>
          <cell r="F22">
            <v>30</v>
          </cell>
          <cell r="G22">
            <v>0</v>
          </cell>
          <cell r="I22">
            <v>17499.996499999997</v>
          </cell>
          <cell r="J22">
            <v>8749.9982499999987</v>
          </cell>
          <cell r="K22">
            <v>1600</v>
          </cell>
          <cell r="L22">
            <v>4508.2554183500051</v>
          </cell>
          <cell r="M22">
            <v>32358.250168350001</v>
          </cell>
          <cell r="N22">
            <v>1800</v>
          </cell>
          <cell r="O22">
            <v>0</v>
          </cell>
          <cell r="P22">
            <v>200</v>
          </cell>
          <cell r="Q22">
            <v>0</v>
          </cell>
          <cell r="R22">
            <v>0</v>
          </cell>
          <cell r="S22">
            <v>0</v>
          </cell>
          <cell r="T22">
            <v>32358.250168350001</v>
          </cell>
          <cell r="U22">
            <v>0</v>
          </cell>
          <cell r="V22">
            <v>0</v>
          </cell>
          <cell r="W22">
            <v>0</v>
          </cell>
          <cell r="X22">
            <v>1800</v>
          </cell>
          <cell r="Y22">
            <v>0</v>
          </cell>
          <cell r="Z22">
            <v>841.74983164999981</v>
          </cell>
          <cell r="AA22">
            <v>4641.7498316499996</v>
          </cell>
          <cell r="AB22">
            <v>30358.250168350001</v>
          </cell>
        </row>
        <row r="23">
          <cell r="A23" t="str">
            <v>AGS26043</v>
          </cell>
          <cell r="B23" t="str">
            <v>Chebrolu Yashaswini</v>
          </cell>
          <cell r="C23">
            <v>46113</v>
          </cell>
          <cell r="D23">
            <v>30000</v>
          </cell>
          <cell r="E23">
            <v>30</v>
          </cell>
          <cell r="F23">
            <v>30</v>
          </cell>
          <cell r="G23">
            <v>0</v>
          </cell>
          <cell r="I23">
            <v>14999.996999999998</v>
          </cell>
          <cell r="J23">
            <v>7499.9984999999988</v>
          </cell>
          <cell r="K23">
            <v>1600</v>
          </cell>
          <cell r="L23">
            <v>3378.5050043000056</v>
          </cell>
          <cell r="M23">
            <v>27478.500504300002</v>
          </cell>
          <cell r="N23">
            <v>1799.9996399999995</v>
          </cell>
          <cell r="O23">
            <v>0</v>
          </cell>
          <cell r="P23">
            <v>200</v>
          </cell>
          <cell r="Q23">
            <v>0</v>
          </cell>
          <cell r="R23">
            <v>0</v>
          </cell>
          <cell r="S23">
            <v>0</v>
          </cell>
          <cell r="T23">
            <v>27478.500504300002</v>
          </cell>
          <cell r="U23">
            <v>0</v>
          </cell>
          <cell r="V23">
            <v>0</v>
          </cell>
          <cell r="W23">
            <v>0</v>
          </cell>
          <cell r="X23">
            <v>1799.9996399999995</v>
          </cell>
          <cell r="Y23">
            <v>0</v>
          </cell>
          <cell r="Z23">
            <v>721.49985569999978</v>
          </cell>
          <cell r="AA23">
            <v>4521.499135699999</v>
          </cell>
          <cell r="AB23">
            <v>25478.5008643</v>
          </cell>
        </row>
        <row r="24">
          <cell r="A24" t="str">
            <v>AGS26045</v>
          </cell>
          <cell r="B24" t="str">
            <v>Chebrolu Monika</v>
          </cell>
          <cell r="C24">
            <v>46113</v>
          </cell>
          <cell r="D24">
            <v>50000</v>
          </cell>
          <cell r="E24">
            <v>30</v>
          </cell>
          <cell r="F24">
            <v>30</v>
          </cell>
          <cell r="G24">
            <v>0</v>
          </cell>
          <cell r="I24">
            <v>24999.994999999995</v>
          </cell>
          <cell r="J24">
            <v>12499.997499999998</v>
          </cell>
          <cell r="K24">
            <v>1600</v>
          </cell>
          <cell r="L24">
            <v>7897.5077405000047</v>
          </cell>
          <cell r="M24">
            <v>46997.500240499998</v>
          </cell>
          <cell r="N24">
            <v>1800</v>
          </cell>
          <cell r="O24">
            <v>0</v>
          </cell>
          <cell r="P24">
            <v>200</v>
          </cell>
          <cell r="Q24">
            <v>0</v>
          </cell>
          <cell r="R24">
            <v>0</v>
          </cell>
          <cell r="S24">
            <v>0</v>
          </cell>
          <cell r="T24">
            <v>46997.500240499998</v>
          </cell>
          <cell r="U24">
            <v>0</v>
          </cell>
          <cell r="V24">
            <v>0</v>
          </cell>
          <cell r="W24">
            <v>0</v>
          </cell>
          <cell r="X24">
            <v>1800</v>
          </cell>
          <cell r="Y24">
            <v>0</v>
          </cell>
          <cell r="Z24">
            <v>1202.4997594999998</v>
          </cell>
          <cell r="AA24">
            <v>5002.4997594999995</v>
          </cell>
          <cell r="AB24">
            <v>44997.500240499998</v>
          </cell>
        </row>
        <row r="25">
          <cell r="A25" t="str">
            <v>AGS26047</v>
          </cell>
          <cell r="B25" t="str">
            <v>Upadhyayula Naga Lakshmi Deepthi</v>
          </cell>
          <cell r="C25">
            <v>46114</v>
          </cell>
          <cell r="D25">
            <v>23000</v>
          </cell>
          <cell r="E25">
            <v>29</v>
          </cell>
          <cell r="F25">
            <v>28</v>
          </cell>
          <cell r="G25">
            <v>1</v>
          </cell>
          <cell r="I25">
            <v>11103.446055172411</v>
          </cell>
          <cell r="J25">
            <v>5551.7230275862057</v>
          </cell>
          <cell r="K25">
            <v>1544.8275862068965</v>
          </cell>
          <cell r="L25">
            <v>2186.3558949055423</v>
          </cell>
          <cell r="M25">
            <v>20386.352563871056</v>
          </cell>
          <cell r="N25">
            <v>1332.4135266206893</v>
          </cell>
          <cell r="O25">
            <v>0</v>
          </cell>
          <cell r="P25">
            <v>200</v>
          </cell>
          <cell r="Q25">
            <v>0</v>
          </cell>
          <cell r="R25">
            <v>0</v>
          </cell>
          <cell r="S25">
            <v>0</v>
          </cell>
          <cell r="T25">
            <v>20386.352563871056</v>
          </cell>
          <cell r="U25">
            <v>0</v>
          </cell>
          <cell r="V25">
            <v>0</v>
          </cell>
          <cell r="W25">
            <v>0</v>
          </cell>
          <cell r="X25">
            <v>1332.4135266206893</v>
          </cell>
          <cell r="Y25">
            <v>0</v>
          </cell>
          <cell r="Z25">
            <v>534.07575525379298</v>
          </cell>
          <cell r="AA25">
            <v>3398.9028084951715</v>
          </cell>
          <cell r="AB25">
            <v>18853.939037250369</v>
          </cell>
        </row>
        <row r="26">
          <cell r="A26" t="str">
            <v>AGS26048</v>
          </cell>
          <cell r="B26" t="str">
            <v>Rapolu Rekha</v>
          </cell>
          <cell r="C26">
            <v>46113</v>
          </cell>
          <cell r="D26">
            <v>15000</v>
          </cell>
          <cell r="E26">
            <v>30</v>
          </cell>
          <cell r="F26">
            <v>30</v>
          </cell>
          <cell r="G26">
            <v>0</v>
          </cell>
          <cell r="I26">
            <v>7499.9984999999988</v>
          </cell>
          <cell r="J26">
            <v>3749.9992499999994</v>
          </cell>
          <cell r="K26">
            <v>1600</v>
          </cell>
          <cell r="L26">
            <v>889.25250215000278</v>
          </cell>
          <cell r="M26">
            <v>13739.250252150001</v>
          </cell>
          <cell r="N26">
            <v>899.99981999999977</v>
          </cell>
          <cell r="O26">
            <v>0</v>
          </cell>
          <cell r="P26">
            <v>200</v>
          </cell>
          <cell r="Q26">
            <v>0</v>
          </cell>
          <cell r="R26">
            <v>0</v>
          </cell>
          <cell r="S26">
            <v>0</v>
          </cell>
          <cell r="T26">
            <v>13739.250252150001</v>
          </cell>
          <cell r="U26">
            <v>0</v>
          </cell>
          <cell r="V26">
            <v>0</v>
          </cell>
          <cell r="W26">
            <v>0</v>
          </cell>
          <cell r="X26">
            <v>899.99981999999977</v>
          </cell>
          <cell r="Y26">
            <v>0</v>
          </cell>
          <cell r="Z26">
            <v>360.74992784999989</v>
          </cell>
          <cell r="AA26">
            <v>2360.7495678499995</v>
          </cell>
          <cell r="AB26">
            <v>12639.25043215</v>
          </cell>
        </row>
        <row r="27">
          <cell r="A27" t="str">
            <v>AGS26049</v>
          </cell>
          <cell r="B27" t="str">
            <v>Ragiru Nikhitha</v>
          </cell>
          <cell r="C27">
            <v>46113</v>
          </cell>
          <cell r="D27">
            <v>15000</v>
          </cell>
          <cell r="E27">
            <v>30</v>
          </cell>
          <cell r="F27">
            <v>30</v>
          </cell>
          <cell r="G27">
            <v>0</v>
          </cell>
          <cell r="I27">
            <v>7499.9984999999988</v>
          </cell>
          <cell r="J27">
            <v>3749.9992499999994</v>
          </cell>
          <cell r="K27">
            <v>1600</v>
          </cell>
          <cell r="L27">
            <v>889.25250215000278</v>
          </cell>
          <cell r="M27">
            <v>13739.250252150001</v>
          </cell>
          <cell r="N27">
            <v>899.99981999999977</v>
          </cell>
          <cell r="O27">
            <v>0</v>
          </cell>
          <cell r="P27">
            <v>200</v>
          </cell>
          <cell r="Q27">
            <v>0</v>
          </cell>
          <cell r="R27">
            <v>0</v>
          </cell>
          <cell r="S27">
            <v>0</v>
          </cell>
          <cell r="T27">
            <v>13739.250252150001</v>
          </cell>
          <cell r="U27">
            <v>0</v>
          </cell>
          <cell r="V27">
            <v>0</v>
          </cell>
          <cell r="W27">
            <v>0</v>
          </cell>
          <cell r="X27">
            <v>899.99981999999977</v>
          </cell>
          <cell r="Y27">
            <v>0</v>
          </cell>
          <cell r="Z27">
            <v>360.74992784999989</v>
          </cell>
          <cell r="AA27">
            <v>2360.7495678499995</v>
          </cell>
          <cell r="AB27">
            <v>12639.25043215</v>
          </cell>
        </row>
        <row r="28">
          <cell r="A28" t="str">
            <v>AGS26051</v>
          </cell>
          <cell r="B28" t="str">
            <v>Mundlamuri Mrudula</v>
          </cell>
          <cell r="C28">
            <v>46113</v>
          </cell>
          <cell r="D28">
            <v>15000</v>
          </cell>
          <cell r="E28">
            <v>30</v>
          </cell>
          <cell r="F28">
            <v>30</v>
          </cell>
          <cell r="G28">
            <v>0</v>
          </cell>
          <cell r="I28">
            <v>7499.9984999999988</v>
          </cell>
          <cell r="J28">
            <v>3749.9992499999994</v>
          </cell>
          <cell r="K28">
            <v>1600</v>
          </cell>
          <cell r="L28">
            <v>889.25250215000278</v>
          </cell>
          <cell r="M28">
            <v>13739.250252150001</v>
          </cell>
          <cell r="N28">
            <v>899.99981999999977</v>
          </cell>
          <cell r="O28">
            <v>0</v>
          </cell>
          <cell r="P28">
            <v>200</v>
          </cell>
          <cell r="Q28">
            <v>0</v>
          </cell>
          <cell r="R28">
            <v>0</v>
          </cell>
          <cell r="S28">
            <v>0</v>
          </cell>
          <cell r="T28">
            <v>13739.250252150001</v>
          </cell>
          <cell r="U28">
            <v>0</v>
          </cell>
          <cell r="V28">
            <v>0</v>
          </cell>
          <cell r="W28">
            <v>0</v>
          </cell>
          <cell r="X28">
            <v>899.99981999999977</v>
          </cell>
          <cell r="Y28">
            <v>0</v>
          </cell>
          <cell r="Z28">
            <v>360.74992784999989</v>
          </cell>
          <cell r="AA28">
            <v>2360.7495678499995</v>
          </cell>
          <cell r="AB28">
            <v>12639.25043215</v>
          </cell>
        </row>
        <row r="29">
          <cell r="A29" t="str">
            <v>AGS26055</v>
          </cell>
          <cell r="B29" t="str">
            <v>Cholleti Sai Kumar</v>
          </cell>
          <cell r="C29">
            <v>46113</v>
          </cell>
          <cell r="D29">
            <v>15000</v>
          </cell>
          <cell r="E29">
            <v>30</v>
          </cell>
          <cell r="F29">
            <v>28</v>
          </cell>
          <cell r="G29">
            <v>2</v>
          </cell>
          <cell r="I29">
            <v>6999.998599999999</v>
          </cell>
          <cell r="J29">
            <v>3499.9992999999995</v>
          </cell>
          <cell r="K29">
            <v>1493.3333333333335</v>
          </cell>
          <cell r="L29">
            <v>885.9689908066689</v>
          </cell>
          <cell r="M29">
            <v>12879.300224140001</v>
          </cell>
          <cell r="N29">
            <v>839.99983199999986</v>
          </cell>
          <cell r="O29">
            <v>0</v>
          </cell>
          <cell r="P29">
            <v>200</v>
          </cell>
          <cell r="Q29">
            <v>0</v>
          </cell>
          <cell r="R29">
            <v>0</v>
          </cell>
          <cell r="S29">
            <v>0</v>
          </cell>
          <cell r="T29">
            <v>12879.300224140001</v>
          </cell>
          <cell r="U29">
            <v>0</v>
          </cell>
          <cell r="V29">
            <v>0</v>
          </cell>
          <cell r="W29">
            <v>0</v>
          </cell>
          <cell r="X29">
            <v>839.99983199999986</v>
          </cell>
          <cell r="Y29">
            <v>0</v>
          </cell>
          <cell r="Z29">
            <v>336.69993265999994</v>
          </cell>
          <cell r="AA29">
            <v>2216.6995966599998</v>
          </cell>
          <cell r="AB29">
            <v>11839.300392140001</v>
          </cell>
        </row>
        <row r="30">
          <cell r="A30" t="str">
            <v>AGS26053</v>
          </cell>
          <cell r="B30" t="str">
            <v>Palavelli Praveen Reddy</v>
          </cell>
          <cell r="C30">
            <v>46113</v>
          </cell>
          <cell r="D30">
            <v>15000</v>
          </cell>
          <cell r="E30">
            <v>30</v>
          </cell>
          <cell r="F30">
            <v>30</v>
          </cell>
          <cell r="G30">
            <v>0</v>
          </cell>
          <cell r="I30">
            <v>7499.9984999999988</v>
          </cell>
          <cell r="J30">
            <v>3749.9992499999994</v>
          </cell>
          <cell r="K30">
            <v>1600</v>
          </cell>
          <cell r="L30">
            <v>889.25250215000278</v>
          </cell>
          <cell r="M30">
            <v>13739.250252150001</v>
          </cell>
          <cell r="N30">
            <v>899.99981999999977</v>
          </cell>
          <cell r="O30">
            <v>0</v>
          </cell>
          <cell r="P30">
            <v>200</v>
          </cell>
          <cell r="Q30">
            <v>0</v>
          </cell>
          <cell r="R30">
            <v>0</v>
          </cell>
          <cell r="S30">
            <v>0</v>
          </cell>
          <cell r="T30">
            <v>13739.250252150001</v>
          </cell>
          <cell r="U30">
            <v>0</v>
          </cell>
          <cell r="V30">
            <v>0</v>
          </cell>
          <cell r="W30">
            <v>0</v>
          </cell>
          <cell r="X30">
            <v>899.99981999999977</v>
          </cell>
          <cell r="Y30">
            <v>0</v>
          </cell>
          <cell r="Z30">
            <v>360.74992784999989</v>
          </cell>
          <cell r="AA30">
            <v>2360.7495678499995</v>
          </cell>
          <cell r="AB30">
            <v>12639.25043215</v>
          </cell>
        </row>
        <row r="31">
          <cell r="A31" t="str">
            <v>AGS26054</v>
          </cell>
          <cell r="B31" t="str">
            <v>Yaramothu Himaja</v>
          </cell>
          <cell r="C31">
            <v>46113</v>
          </cell>
          <cell r="D31">
            <v>15000</v>
          </cell>
          <cell r="E31">
            <v>30</v>
          </cell>
          <cell r="F31">
            <v>30</v>
          </cell>
          <cell r="G31">
            <v>0</v>
          </cell>
          <cell r="I31">
            <v>7499.9984999999988</v>
          </cell>
          <cell r="J31">
            <v>3749.9992499999994</v>
          </cell>
          <cell r="K31">
            <v>1600</v>
          </cell>
          <cell r="L31">
            <v>889.25250215000278</v>
          </cell>
          <cell r="M31">
            <v>13739.250252150001</v>
          </cell>
          <cell r="N31">
            <v>899.99981999999977</v>
          </cell>
          <cell r="O31">
            <v>0</v>
          </cell>
          <cell r="P31">
            <v>200</v>
          </cell>
          <cell r="Q31">
            <v>0</v>
          </cell>
          <cell r="R31">
            <v>0</v>
          </cell>
          <cell r="S31">
            <v>0</v>
          </cell>
          <cell r="T31">
            <v>13739.250252150001</v>
          </cell>
          <cell r="U31">
            <v>0</v>
          </cell>
          <cell r="V31">
            <v>0</v>
          </cell>
          <cell r="W31">
            <v>0</v>
          </cell>
          <cell r="X31">
            <v>899.99981999999977</v>
          </cell>
          <cell r="Y31">
            <v>0</v>
          </cell>
          <cell r="Z31">
            <v>360.74992784999989</v>
          </cell>
          <cell r="AA31">
            <v>2360.7495678499995</v>
          </cell>
          <cell r="AB31">
            <v>12639.25043215</v>
          </cell>
        </row>
        <row r="32">
          <cell r="A32" t="str">
            <v>AGS26031</v>
          </cell>
          <cell r="B32" t="str">
            <v>Y Raghavendar</v>
          </cell>
          <cell r="C32">
            <v>46113</v>
          </cell>
          <cell r="D32">
            <v>45000</v>
          </cell>
          <cell r="E32">
            <v>30</v>
          </cell>
          <cell r="F32">
            <v>30</v>
          </cell>
          <cell r="G32">
            <v>0</v>
          </cell>
          <cell r="I32">
            <v>22499.995499999997</v>
          </cell>
          <cell r="J32">
            <v>11249.997749999999</v>
          </cell>
          <cell r="K32">
            <v>1600</v>
          </cell>
          <cell r="L32">
            <v>6767.7569664500079</v>
          </cell>
          <cell r="M32">
            <v>42117.750216450004</v>
          </cell>
          <cell r="N32">
            <v>1800</v>
          </cell>
          <cell r="O32">
            <v>0</v>
          </cell>
          <cell r="P32">
            <v>200</v>
          </cell>
          <cell r="Q32">
            <v>0</v>
          </cell>
          <cell r="R32">
            <v>0</v>
          </cell>
          <cell r="S32">
            <v>0</v>
          </cell>
          <cell r="T32">
            <v>42117.750216450004</v>
          </cell>
          <cell r="U32">
            <v>0</v>
          </cell>
          <cell r="V32">
            <v>0</v>
          </cell>
          <cell r="W32">
            <v>0</v>
          </cell>
          <cell r="X32">
            <v>1800</v>
          </cell>
          <cell r="Y32">
            <v>0</v>
          </cell>
          <cell r="Z32">
            <v>1082.2497835499998</v>
          </cell>
          <cell r="AA32">
            <v>4882.2497835499998</v>
          </cell>
          <cell r="AB32">
            <v>40117.750216450004</v>
          </cell>
        </row>
        <row r="33">
          <cell r="A33" t="str">
            <v>AGS26056</v>
          </cell>
          <cell r="B33" t="str">
            <v>Bommala Naveen Kumar</v>
          </cell>
          <cell r="C33">
            <v>46113</v>
          </cell>
          <cell r="D33">
            <v>45000</v>
          </cell>
          <cell r="E33">
            <v>30</v>
          </cell>
          <cell r="F33">
            <v>30</v>
          </cell>
          <cell r="G33">
            <v>0</v>
          </cell>
          <cell r="I33">
            <v>22499.995499999997</v>
          </cell>
          <cell r="J33">
            <v>11249.997749999999</v>
          </cell>
          <cell r="K33">
            <v>1600</v>
          </cell>
          <cell r="L33">
            <v>6767.7569664500079</v>
          </cell>
          <cell r="M33">
            <v>42117.750216450004</v>
          </cell>
          <cell r="N33">
            <v>1800</v>
          </cell>
          <cell r="O33">
            <v>0</v>
          </cell>
          <cell r="P33">
            <v>200</v>
          </cell>
          <cell r="Q33">
            <v>0</v>
          </cell>
          <cell r="R33">
            <v>0</v>
          </cell>
          <cell r="S33">
            <v>0</v>
          </cell>
          <cell r="T33">
            <v>42117.750216450004</v>
          </cell>
          <cell r="U33">
            <v>0</v>
          </cell>
          <cell r="V33">
            <v>0</v>
          </cell>
          <cell r="W33">
            <v>0</v>
          </cell>
          <cell r="X33">
            <v>1800</v>
          </cell>
          <cell r="Y33">
            <v>0</v>
          </cell>
          <cell r="Z33">
            <v>1082.2497835499998</v>
          </cell>
          <cell r="AA33">
            <v>4882.2497835499998</v>
          </cell>
          <cell r="AB33">
            <v>40117.750216450004</v>
          </cell>
        </row>
        <row r="34">
          <cell r="A34" t="str">
            <v>AGS26057</v>
          </cell>
          <cell r="B34" t="str">
            <v>Odeti Srinivas</v>
          </cell>
          <cell r="C34">
            <v>46113</v>
          </cell>
          <cell r="D34">
            <v>30000</v>
          </cell>
          <cell r="E34">
            <v>30</v>
          </cell>
          <cell r="F34">
            <v>30</v>
          </cell>
          <cell r="G34">
            <v>0</v>
          </cell>
          <cell r="I34">
            <v>14999.996999999998</v>
          </cell>
          <cell r="J34">
            <v>7499.9984999999988</v>
          </cell>
          <cell r="K34">
            <v>1600</v>
          </cell>
          <cell r="L34">
            <v>3378.5050043000056</v>
          </cell>
          <cell r="M34">
            <v>27478.500504300002</v>
          </cell>
          <cell r="N34">
            <v>1799.9996399999995</v>
          </cell>
          <cell r="O34">
            <v>0</v>
          </cell>
          <cell r="P34">
            <v>200</v>
          </cell>
          <cell r="Q34">
            <v>0</v>
          </cell>
          <cell r="R34">
            <v>0</v>
          </cell>
          <cell r="S34">
            <v>0</v>
          </cell>
          <cell r="T34">
            <v>27478.500504300002</v>
          </cell>
          <cell r="U34">
            <v>0</v>
          </cell>
          <cell r="V34">
            <v>0</v>
          </cell>
          <cell r="W34">
            <v>0</v>
          </cell>
          <cell r="X34">
            <v>1799.9996399999995</v>
          </cell>
          <cell r="Y34">
            <v>0</v>
          </cell>
          <cell r="Z34">
            <v>721.49985569999978</v>
          </cell>
          <cell r="AA34">
            <v>4521.499135699999</v>
          </cell>
          <cell r="AB34">
            <v>25478.5008643</v>
          </cell>
        </row>
        <row r="35">
          <cell r="A35" t="str">
            <v>AGS26058</v>
          </cell>
          <cell r="B35" t="str">
            <v>Matha Sai Prasad</v>
          </cell>
          <cell r="C35">
            <v>46113</v>
          </cell>
          <cell r="D35">
            <v>15000</v>
          </cell>
          <cell r="E35">
            <v>30</v>
          </cell>
          <cell r="F35">
            <v>30</v>
          </cell>
          <cell r="G35">
            <v>0</v>
          </cell>
          <cell r="I35">
            <v>7499.9984999999988</v>
          </cell>
          <cell r="J35">
            <v>3749.9992499999994</v>
          </cell>
          <cell r="K35">
            <v>1600</v>
          </cell>
          <cell r="L35">
            <v>889.25250215000278</v>
          </cell>
          <cell r="M35">
            <v>13739.250252150001</v>
          </cell>
          <cell r="N35">
            <v>899.99981999999977</v>
          </cell>
          <cell r="O35">
            <v>0</v>
          </cell>
          <cell r="P35">
            <v>200</v>
          </cell>
          <cell r="Q35">
            <v>0</v>
          </cell>
          <cell r="R35">
            <v>0</v>
          </cell>
          <cell r="S35">
            <v>0</v>
          </cell>
          <cell r="T35">
            <v>13739.250252150001</v>
          </cell>
          <cell r="U35">
            <v>0</v>
          </cell>
          <cell r="V35">
            <v>0</v>
          </cell>
          <cell r="W35">
            <v>0</v>
          </cell>
          <cell r="X35">
            <v>899.99981999999977</v>
          </cell>
          <cell r="Y35">
            <v>0</v>
          </cell>
          <cell r="Z35">
            <v>360.74992784999989</v>
          </cell>
          <cell r="AA35">
            <v>2360.7495678499995</v>
          </cell>
          <cell r="AB35">
            <v>12639.25043215</v>
          </cell>
        </row>
        <row r="36">
          <cell r="A36" t="str">
            <v>AGS26059</v>
          </cell>
          <cell r="B36" t="str">
            <v>Chamakuri Raghuram</v>
          </cell>
          <cell r="C36">
            <v>46113</v>
          </cell>
          <cell r="D36">
            <v>15000</v>
          </cell>
          <cell r="E36">
            <v>30</v>
          </cell>
          <cell r="F36">
            <v>30</v>
          </cell>
          <cell r="G36">
            <v>0</v>
          </cell>
          <cell r="I36">
            <v>7499.9984999999988</v>
          </cell>
          <cell r="J36">
            <v>3749.9992499999994</v>
          </cell>
          <cell r="K36">
            <v>1600</v>
          </cell>
          <cell r="L36">
            <v>889.25250215000278</v>
          </cell>
          <cell r="M36">
            <v>13739.250252150001</v>
          </cell>
          <cell r="N36">
            <v>899.99981999999977</v>
          </cell>
          <cell r="O36">
            <v>0</v>
          </cell>
          <cell r="P36">
            <v>200</v>
          </cell>
          <cell r="Q36">
            <v>0</v>
          </cell>
          <cell r="R36">
            <v>0</v>
          </cell>
          <cell r="S36">
            <v>0</v>
          </cell>
          <cell r="T36">
            <v>13739.250252150001</v>
          </cell>
          <cell r="U36">
            <v>0</v>
          </cell>
          <cell r="V36">
            <v>0</v>
          </cell>
          <cell r="W36">
            <v>0</v>
          </cell>
          <cell r="X36">
            <v>899.99981999999977</v>
          </cell>
          <cell r="Y36">
            <v>0</v>
          </cell>
          <cell r="Z36">
            <v>360.74992784999989</v>
          </cell>
          <cell r="AA36">
            <v>2360.7495678499995</v>
          </cell>
          <cell r="AB36">
            <v>12639.25043215</v>
          </cell>
        </row>
        <row r="37">
          <cell r="A37" t="str">
            <v>AGS26025</v>
          </cell>
          <cell r="B37" t="str">
            <v>Tumula Dinesh Kumar</v>
          </cell>
          <cell r="C37">
            <v>46113</v>
          </cell>
          <cell r="D37">
            <v>23000</v>
          </cell>
          <cell r="E37">
            <v>30</v>
          </cell>
          <cell r="F37">
            <v>30</v>
          </cell>
          <cell r="G37">
            <v>0</v>
          </cell>
          <cell r="I37">
            <v>11499.997699999998</v>
          </cell>
          <cell r="J37">
            <v>5749.998849999999</v>
          </cell>
          <cell r="K37">
            <v>1600</v>
          </cell>
          <cell r="L37">
            <v>2216.8538366300008</v>
          </cell>
          <cell r="M37">
            <v>21066.850386629998</v>
          </cell>
          <cell r="N37">
            <v>1379.9997239999998</v>
          </cell>
          <cell r="O37">
            <v>0</v>
          </cell>
          <cell r="P37">
            <v>200</v>
          </cell>
          <cell r="Q37">
            <v>0</v>
          </cell>
          <cell r="R37">
            <v>0</v>
          </cell>
          <cell r="S37">
            <v>0</v>
          </cell>
          <cell r="T37">
            <v>21066.850386629998</v>
          </cell>
          <cell r="U37">
            <v>0</v>
          </cell>
          <cell r="V37">
            <v>0</v>
          </cell>
          <cell r="W37">
            <v>0</v>
          </cell>
          <cell r="X37">
            <v>1379.9997239999998</v>
          </cell>
          <cell r="Y37">
            <v>0</v>
          </cell>
          <cell r="Z37">
            <v>553.14988936999987</v>
          </cell>
          <cell r="AA37">
            <v>3513.1493373699996</v>
          </cell>
          <cell r="AB37">
            <v>19486.85066263</v>
          </cell>
        </row>
        <row r="38">
          <cell r="A38" t="str">
            <v>AGS26060</v>
          </cell>
          <cell r="B38" t="str">
            <v>Thallada Venkatasagar</v>
          </cell>
          <cell r="C38">
            <v>46114</v>
          </cell>
          <cell r="D38">
            <v>24000</v>
          </cell>
          <cell r="E38">
            <v>30</v>
          </cell>
          <cell r="F38">
            <v>30</v>
          </cell>
          <cell r="G38">
            <v>0</v>
          </cell>
          <cell r="I38">
            <v>11999.997599999999</v>
          </cell>
          <cell r="J38">
            <v>5999.9987999999994</v>
          </cell>
          <cell r="K38">
            <v>1600</v>
          </cell>
          <cell r="L38">
            <v>2382.8040034400019</v>
          </cell>
          <cell r="M38">
            <v>21982.80040344</v>
          </cell>
          <cell r="N38">
            <v>1439.9997119999998</v>
          </cell>
          <cell r="O38">
            <v>0</v>
          </cell>
          <cell r="P38">
            <v>200</v>
          </cell>
          <cell r="Q38">
            <v>0</v>
          </cell>
          <cell r="R38">
            <v>0</v>
          </cell>
          <cell r="S38">
            <v>0</v>
          </cell>
          <cell r="T38">
            <v>21982.80040344</v>
          </cell>
          <cell r="U38">
            <v>0</v>
          </cell>
          <cell r="V38">
            <v>0</v>
          </cell>
          <cell r="W38">
            <v>0</v>
          </cell>
          <cell r="X38">
            <v>1439.9997119999998</v>
          </cell>
          <cell r="Y38">
            <v>0</v>
          </cell>
          <cell r="Z38">
            <v>577.19988455999987</v>
          </cell>
          <cell r="AA38">
            <v>3657.1993085599997</v>
          </cell>
          <cell r="AB38">
            <v>20342.800691439999</v>
          </cell>
        </row>
        <row r="39">
          <cell r="A39" t="str">
            <v>AGS26044</v>
          </cell>
          <cell r="B39" t="str">
            <v>Naveen Pulikonda</v>
          </cell>
          <cell r="C39">
            <v>46113</v>
          </cell>
          <cell r="D39">
            <v>35000</v>
          </cell>
          <cell r="E39">
            <v>30</v>
          </cell>
          <cell r="F39">
            <v>30</v>
          </cell>
          <cell r="G39">
            <v>0</v>
          </cell>
          <cell r="I39">
            <v>17499.996499999997</v>
          </cell>
          <cell r="J39">
            <v>8749.9982499999987</v>
          </cell>
          <cell r="K39">
            <v>1600</v>
          </cell>
          <cell r="L39">
            <v>4508.2554183500051</v>
          </cell>
          <cell r="M39">
            <v>32358.250168350001</v>
          </cell>
          <cell r="N39">
            <v>1800</v>
          </cell>
          <cell r="O39">
            <v>0</v>
          </cell>
          <cell r="P39">
            <v>200</v>
          </cell>
          <cell r="Q39">
            <v>0</v>
          </cell>
          <cell r="R39">
            <v>0</v>
          </cell>
          <cell r="S39">
            <v>0</v>
          </cell>
          <cell r="T39">
            <v>32358.250168350001</v>
          </cell>
          <cell r="U39">
            <v>0</v>
          </cell>
          <cell r="V39">
            <v>0</v>
          </cell>
          <cell r="W39">
            <v>0</v>
          </cell>
          <cell r="X39">
            <v>1800</v>
          </cell>
          <cell r="Y39">
            <v>0</v>
          </cell>
          <cell r="Z39">
            <v>841.74983164999981</v>
          </cell>
          <cell r="AA39">
            <v>4641.7498316499996</v>
          </cell>
          <cell r="AB39">
            <v>30358.250168350001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42" sqref="D42"/>
    </sheetView>
  </sheetViews>
  <sheetFormatPr defaultRowHeight="14.5" x14ac:dyDescent="0.35"/>
  <cols>
    <col min="1" max="1" width="9.1796875" style="9" bestFit="1" customWidth="1"/>
    <col min="2" max="2" width="31" style="9" bestFit="1" customWidth="1"/>
    <col min="3" max="3" width="11.1796875" style="9" bestFit="1" customWidth="1"/>
    <col min="4" max="4" width="22" style="9" bestFit="1" customWidth="1"/>
    <col min="5" max="5" width="14.6328125" style="9" bestFit="1" customWidth="1"/>
    <col min="6" max="6" width="10" style="9" bestFit="1" customWidth="1"/>
    <col min="7" max="7" width="17" style="9" bestFit="1" customWidth="1"/>
    <col min="8" max="8" width="13.08984375" style="9" bestFit="1" customWidth="1"/>
    <col min="9" max="9" width="12.90625" style="9" bestFit="1" customWidth="1"/>
    <col min="10" max="10" width="5.6328125" style="9" bestFit="1" customWidth="1"/>
    <col min="11" max="11" width="9.7265625" style="9" bestFit="1" customWidth="1"/>
    <col min="12" max="12" width="11.36328125" style="9" bestFit="1" customWidth="1"/>
    <col min="13" max="13" width="8.90625" style="9" bestFit="1" customWidth="1"/>
    <col min="14" max="14" width="8.54296875" style="9" bestFit="1" customWidth="1"/>
    <col min="15" max="15" width="10" style="9" bestFit="1" customWidth="1"/>
    <col min="16" max="16" width="8.54296875" style="9" bestFit="1" customWidth="1"/>
    <col min="17" max="17" width="7.1796875" style="9" bestFit="1" customWidth="1"/>
    <col min="18" max="18" width="8.54296875" style="9" bestFit="1" customWidth="1"/>
    <col min="19" max="19" width="7.1796875" style="9" bestFit="1" customWidth="1"/>
    <col min="20" max="20" width="6.1796875" style="9" bestFit="1" customWidth="1"/>
    <col min="21" max="21" width="8.6328125" style="9" bestFit="1" customWidth="1"/>
    <col min="22" max="22" width="8.54296875" style="9" bestFit="1" customWidth="1"/>
    <col min="23" max="23" width="7.81640625" style="9" bestFit="1" customWidth="1"/>
    <col min="24" max="24" width="8.54296875" style="9" bestFit="1" customWidth="1"/>
    <col min="25" max="25" width="8" style="9" bestFit="1" customWidth="1"/>
    <col min="26" max="27" width="6.1796875" style="9" bestFit="1" customWidth="1"/>
    <col min="28" max="28" width="4.36328125" style="9" bestFit="1" customWidth="1"/>
    <col min="29" max="32" width="6.1796875" style="9" bestFit="1" customWidth="1"/>
    <col min="33" max="33" width="7.1796875" style="9" bestFit="1" customWidth="1"/>
    <col min="34" max="34" width="7.81640625" style="9" bestFit="1" customWidth="1"/>
    <col min="35" max="35" width="45.36328125" style="9" bestFit="1" customWidth="1"/>
    <col min="36" max="36" width="8.453125" style="9" bestFit="1" customWidth="1"/>
    <col min="37" max="16384" width="8.7265625" style="9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78</v>
      </c>
      <c r="Q1" s="1" t="s">
        <v>5</v>
      </c>
      <c r="R1" s="4" t="s">
        <v>79</v>
      </c>
      <c r="S1" s="1" t="s">
        <v>19</v>
      </c>
      <c r="T1" s="4" t="s">
        <v>80</v>
      </c>
      <c r="U1" s="1" t="s">
        <v>20</v>
      </c>
      <c r="V1" s="4" t="s">
        <v>81</v>
      </c>
      <c r="W1" s="1" t="s">
        <v>21</v>
      </c>
      <c r="X1" s="1" t="s">
        <v>82</v>
      </c>
      <c r="Y1" s="1" t="s">
        <v>22</v>
      </c>
      <c r="Z1" s="1" t="s">
        <v>25</v>
      </c>
      <c r="AA1" s="1" t="s">
        <v>23</v>
      </c>
      <c r="AB1" s="1" t="s">
        <v>6</v>
      </c>
      <c r="AC1" s="1" t="s">
        <v>24</v>
      </c>
      <c r="AD1" s="1" t="s">
        <v>83</v>
      </c>
      <c r="AE1" s="1" t="s">
        <v>84</v>
      </c>
      <c r="AF1" s="1" t="s">
        <v>85</v>
      </c>
      <c r="AG1" s="1" t="s">
        <v>87</v>
      </c>
      <c r="AH1" s="1" t="s">
        <v>7</v>
      </c>
      <c r="AI1" s="1" t="s">
        <v>8</v>
      </c>
    </row>
    <row r="2" spans="1:35" ht="29" x14ac:dyDescent="0.35">
      <c r="A2" s="10" t="s">
        <v>26</v>
      </c>
      <c r="B2" s="10" t="s">
        <v>27</v>
      </c>
      <c r="C2" s="3" t="s">
        <v>74</v>
      </c>
      <c r="D2" s="11" t="s">
        <v>64</v>
      </c>
      <c r="E2" s="9" t="s">
        <v>70</v>
      </c>
      <c r="F2" s="9" t="s">
        <v>73</v>
      </c>
      <c r="G2" s="12">
        <f>VLOOKUP(A2,[1]Payment!$A$2:$G$28,5,0)</f>
        <v>41280100007853</v>
      </c>
      <c r="H2" s="9" t="str">
        <f>VLOOKUP(A2,[1]Payment!$A$2:$G$28,6,0)</f>
        <v>BARB0WALUJX</v>
      </c>
      <c r="I2" s="12">
        <v>101645856594</v>
      </c>
      <c r="K2" s="13" t="s">
        <v>138</v>
      </c>
      <c r="L2" s="3" t="s">
        <v>139</v>
      </c>
      <c r="M2" s="9">
        <v>30</v>
      </c>
      <c r="N2" s="9">
        <v>0</v>
      </c>
      <c r="O2" s="13" t="s">
        <v>138</v>
      </c>
      <c r="P2" s="5">
        <v>35417</v>
      </c>
      <c r="Q2" s="5">
        <v>35417</v>
      </c>
      <c r="R2" s="5">
        <v>17708</v>
      </c>
      <c r="S2" s="5">
        <v>17708</v>
      </c>
      <c r="T2" s="5">
        <v>1600</v>
      </c>
      <c r="U2" s="5">
        <v>1600</v>
      </c>
      <c r="V2" s="5">
        <v>12605</v>
      </c>
      <c r="W2" s="5">
        <v>12605</v>
      </c>
      <c r="X2" s="5">
        <v>67330</v>
      </c>
      <c r="Y2" s="5">
        <v>67330</v>
      </c>
      <c r="Z2" s="5">
        <v>1800</v>
      </c>
      <c r="AA2" s="5">
        <v>200</v>
      </c>
      <c r="AB2" s="8" t="s">
        <v>86</v>
      </c>
      <c r="AC2" s="5">
        <v>2000</v>
      </c>
      <c r="AD2" s="5">
        <v>1800</v>
      </c>
      <c r="AE2" s="6">
        <v>1704</v>
      </c>
      <c r="AF2" s="5">
        <f>AD2+AE2</f>
        <v>3504</v>
      </c>
      <c r="AG2" s="5">
        <v>70834</v>
      </c>
      <c r="AH2" s="7">
        <v>65330</v>
      </c>
      <c r="AI2" s="9" t="str">
        <f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 xml:space="preserve">Sixty Five Thousand Three Hundred and Thirty </v>
      </c>
    </row>
    <row r="3" spans="1:35" x14ac:dyDescent="0.35">
      <c r="A3" s="10" t="s">
        <v>28</v>
      </c>
      <c r="B3" s="10" t="s">
        <v>29</v>
      </c>
      <c r="C3" s="3" t="s">
        <v>75</v>
      </c>
      <c r="D3" s="11" t="s">
        <v>65</v>
      </c>
      <c r="E3" s="9" t="s">
        <v>71</v>
      </c>
      <c r="F3" s="9" t="s">
        <v>73</v>
      </c>
      <c r="G3" s="12">
        <f>VLOOKUP(A3,[1]Payment!$A$2:$G$28,5,0)</f>
        <v>919010033458832</v>
      </c>
      <c r="H3" s="9" t="str">
        <f>VLOOKUP(A3,[1]Payment!$A$2:$G$28,6,0)</f>
        <v>UTIB0000553</v>
      </c>
      <c r="I3" s="12"/>
      <c r="K3" s="13" t="s">
        <v>138</v>
      </c>
      <c r="L3" s="3" t="s">
        <v>139</v>
      </c>
      <c r="M3" s="9">
        <v>30</v>
      </c>
      <c r="N3" s="9">
        <v>0</v>
      </c>
      <c r="O3" s="13" t="s">
        <v>138</v>
      </c>
      <c r="P3" s="6">
        <v>50000</v>
      </c>
      <c r="Q3" s="5">
        <v>43548</v>
      </c>
      <c r="R3" s="6">
        <v>25000</v>
      </c>
      <c r="S3" s="5">
        <v>21774</v>
      </c>
      <c r="T3" s="5">
        <v>1600</v>
      </c>
      <c r="U3" s="5">
        <v>1394</v>
      </c>
      <c r="V3" s="6">
        <v>19195</v>
      </c>
      <c r="W3" s="5">
        <v>16718</v>
      </c>
      <c r="X3" s="6">
        <v>95795</v>
      </c>
      <c r="Y3" s="5">
        <v>83434</v>
      </c>
      <c r="Z3" s="5">
        <v>1800</v>
      </c>
      <c r="AA3" s="5">
        <v>200</v>
      </c>
      <c r="AB3" s="8" t="s">
        <v>86</v>
      </c>
      <c r="AC3" s="5">
        <v>2000</v>
      </c>
      <c r="AD3" s="5">
        <v>1800</v>
      </c>
      <c r="AE3" s="6">
        <v>2095</v>
      </c>
      <c r="AF3" s="5">
        <f>AD3+AE3</f>
        <v>3895</v>
      </c>
      <c r="AG3" s="5">
        <v>99690</v>
      </c>
      <c r="AH3" s="7">
        <v>81434</v>
      </c>
      <c r="AI3" s="9" t="str">
        <f t="shared" ref="AI3:AI39" si="0">CHOOSE(--LEFT(TEXT(AH3,"000000.00"))+1,,"One","Two","Three","Four","Five","Six","Seven","Eight","Nine")&amp;IF(--LEFT(TEXT(AH3,"000000.00"))=0,""," Lakh ")&amp;IF(--MID(TEXT(AH3,"000000.00"),2,1)&lt;&gt;1,CHOOSE(--MID(TEXT(AH3,"000000.00"),2,1)+1,,"","Twenty ","Thirty ","Forty ","Fifty ","Sixty ","Seventy ","Eighty ","Ninety "),"")&amp;IF(--MID(TEXT(AH3,"000000.00"),2,1)&lt;&gt;1,CHOOSE(--MID(TEXT(AH3,"000000.00"),3,1)+1,,"One","Two","Three","Four","Five","Six","Seven","Eight","Nine"),CHOOSE(--MID(TEXT(AH3,"000000.00"),3,1)+1,"Ten","Eleven","Twelve","Thirteen","Fourteen","Fifteen","Sixteen","Seventeen","Eighteen","Nineteen"))&amp;IF((--MID(TEXT(AH3,"000000.00"),2,1)+--MID(TEXT(AH3,"000000.00"),3,1))=0,""," Thousand ")&amp;CHOOSE(--MID(TEXT(AH3,"000000.00"),4,1)+1,,"One","Two","Three","Four","Five","Six","Seven","Eight","Nine")&amp;IF(--MID(TEXT(AH3,"000000.00"),4,1)=0,"",IF(AND(--MID(TEXT(AH3,"000000.00"),5,1)=0,--MID(TEXT(AH3,"000000.00"),6,1)=0)," Hundred"," Hundred and "))&amp;IF(--MID(TEXT(AH3,"000000.00"),5,1)&lt;&gt;1,CHOOSE(--MID(TEXT(AH3,"000000.00"),5,1)+1,,"","Twenty ","Thirty ","Forty ","Fifty ","Sixty ","Seventy ","Eighty ","Ninety "),"")&amp;IF(--MID(TEXT(AH3,"000000.00"),5,1)&lt;&gt;1,CHOOSE(--MID(TEXT(AH3,"000000.00"),6,1)+1,,"One","Two","Three","Four","Five","Six","Seven","Eight","Nine"),CHOOSE(--MID(TEXT(AH3,"000000.00"),6,1)+1,"Ten","Eleven","Twelve","Thirteen","Fourteen","Fifteen","Sixteen","Seventeen","Eighteen","Nineteen"))</f>
        <v>Eighty One Thousand Four Hundred and Thirty Four</v>
      </c>
    </row>
    <row r="4" spans="1:35" x14ac:dyDescent="0.35">
      <c r="A4" s="10" t="s">
        <v>30</v>
      </c>
      <c r="B4" s="10" t="s">
        <v>31</v>
      </c>
      <c r="C4" s="3" t="s">
        <v>76</v>
      </c>
      <c r="D4" s="11" t="s">
        <v>66</v>
      </c>
      <c r="E4" s="9" t="s">
        <v>72</v>
      </c>
      <c r="F4" s="9" t="s">
        <v>73</v>
      </c>
      <c r="G4" s="12">
        <f>VLOOKUP(A4,[1]Payment!$A$2:$G$28,5,0)</f>
        <v>3327101004003</v>
      </c>
      <c r="H4" s="9" t="str">
        <f>VLOOKUP(A4,[1]Payment!$A$2:$G$28,6,0)</f>
        <v>CNRB0003327</v>
      </c>
      <c r="I4" s="12">
        <v>101825984981</v>
      </c>
      <c r="K4" s="13" t="s">
        <v>138</v>
      </c>
      <c r="L4" s="3" t="s">
        <v>139</v>
      </c>
      <c r="M4" s="9">
        <v>30</v>
      </c>
      <c r="N4" s="9">
        <v>0</v>
      </c>
      <c r="O4" s="13" t="s">
        <v>138</v>
      </c>
      <c r="P4" s="5">
        <v>22500</v>
      </c>
      <c r="Q4" s="5">
        <v>21774</v>
      </c>
      <c r="R4" s="5">
        <v>11250</v>
      </c>
      <c r="S4" s="5">
        <v>10887</v>
      </c>
      <c r="T4" s="5">
        <v>1600</v>
      </c>
      <c r="U4" s="5">
        <v>1548</v>
      </c>
      <c r="V4" s="5">
        <v>6803</v>
      </c>
      <c r="W4" s="5">
        <v>6549</v>
      </c>
      <c r="X4" s="5">
        <v>42153</v>
      </c>
      <c r="Y4" s="5">
        <v>40759</v>
      </c>
      <c r="Z4" s="5">
        <v>1800</v>
      </c>
      <c r="AA4" s="5">
        <v>200</v>
      </c>
      <c r="AB4" s="8" t="s">
        <v>86</v>
      </c>
      <c r="AC4" s="5">
        <v>2000</v>
      </c>
      <c r="AD4" s="5">
        <v>1800</v>
      </c>
      <c r="AE4" s="5">
        <v>1047</v>
      </c>
      <c r="AF4" s="5">
        <v>2847</v>
      </c>
      <c r="AG4" s="5">
        <v>45000</v>
      </c>
      <c r="AH4" s="7">
        <v>38759</v>
      </c>
      <c r="AI4" s="9" t="str">
        <f t="shared" si="0"/>
        <v>Thirty Eight Thousand Seven Hundred and Fifty Nine</v>
      </c>
    </row>
    <row r="5" spans="1:35" x14ac:dyDescent="0.35">
      <c r="A5" s="10" t="s">
        <v>32</v>
      </c>
      <c r="B5" s="10" t="s">
        <v>33</v>
      </c>
      <c r="C5" s="3" t="s">
        <v>76</v>
      </c>
      <c r="D5" s="11" t="s">
        <v>66</v>
      </c>
      <c r="E5" s="9" t="s">
        <v>72</v>
      </c>
      <c r="F5" s="9" t="s">
        <v>73</v>
      </c>
      <c r="G5" s="12">
        <f>VLOOKUP(A5,[1]Payment!$A$2:$G$28,5,0)</f>
        <v>50100595290241</v>
      </c>
      <c r="H5" s="9" t="str">
        <f>VLOOKUP(A5,[1]Payment!$A$2:$G$28,6,0)</f>
        <v>HDFC0000075</v>
      </c>
      <c r="I5" s="12">
        <v>101736013234</v>
      </c>
      <c r="K5" s="13" t="s">
        <v>138</v>
      </c>
      <c r="L5" s="3" t="s">
        <v>139</v>
      </c>
      <c r="M5" s="9">
        <v>30</v>
      </c>
      <c r="N5" s="9">
        <v>0</v>
      </c>
      <c r="O5" s="13" t="s">
        <v>138</v>
      </c>
      <c r="P5" s="5">
        <v>22500</v>
      </c>
      <c r="Q5" s="5">
        <v>21774</v>
      </c>
      <c r="R5" s="5">
        <v>11250</v>
      </c>
      <c r="S5" s="5">
        <v>10887</v>
      </c>
      <c r="T5" s="5">
        <v>1600</v>
      </c>
      <c r="U5" s="5">
        <v>1548</v>
      </c>
      <c r="V5" s="5">
        <v>6803</v>
      </c>
      <c r="W5" s="5">
        <v>6549</v>
      </c>
      <c r="X5" s="5">
        <v>42153</v>
      </c>
      <c r="Y5" s="5">
        <v>40759</v>
      </c>
      <c r="Z5" s="5">
        <v>1800</v>
      </c>
      <c r="AA5" s="5">
        <v>200</v>
      </c>
      <c r="AB5" s="8" t="s">
        <v>86</v>
      </c>
      <c r="AC5" s="5">
        <v>2000</v>
      </c>
      <c r="AD5" s="5">
        <v>1800</v>
      </c>
      <c r="AE5" s="5">
        <v>1047</v>
      </c>
      <c r="AF5" s="5">
        <v>2847</v>
      </c>
      <c r="AG5" s="5">
        <v>45000</v>
      </c>
      <c r="AH5" s="7">
        <v>38759</v>
      </c>
      <c r="AI5" s="9" t="str">
        <f t="shared" si="0"/>
        <v>Thirty Eight Thousand Seven Hundred and Fifty Nine</v>
      </c>
    </row>
    <row r="6" spans="1:35" ht="29" x14ac:dyDescent="0.35">
      <c r="A6" s="10" t="s">
        <v>34</v>
      </c>
      <c r="B6" s="10" t="s">
        <v>35</v>
      </c>
      <c r="C6" s="3" t="s">
        <v>76</v>
      </c>
      <c r="D6" s="11" t="s">
        <v>67</v>
      </c>
      <c r="E6" s="9" t="s">
        <v>72</v>
      </c>
      <c r="F6" s="9" t="s">
        <v>73</v>
      </c>
      <c r="G6" s="12">
        <f>VLOOKUP(A6,[1]Payment!$A$2:$G$28,5,0)</f>
        <v>62428832885</v>
      </c>
      <c r="H6" s="9" t="str">
        <f>VLOOKUP(A6,[1]Payment!$A$2:$G$28,6,0)</f>
        <v>SBIN0020959</v>
      </c>
      <c r="I6" s="12">
        <v>102317713984</v>
      </c>
      <c r="K6" s="13" t="s">
        <v>138</v>
      </c>
      <c r="L6" s="3" t="s">
        <v>139</v>
      </c>
      <c r="M6" s="9">
        <v>30</v>
      </c>
      <c r="N6" s="9">
        <v>1</v>
      </c>
      <c r="O6" s="13" t="s">
        <v>138</v>
      </c>
      <c r="P6" s="5">
        <v>30000</v>
      </c>
      <c r="Q6" s="5">
        <v>29032</v>
      </c>
      <c r="R6" s="5">
        <v>15000</v>
      </c>
      <c r="S6" s="5">
        <v>14516</v>
      </c>
      <c r="T6" s="5">
        <v>1600</v>
      </c>
      <c r="U6" s="5">
        <v>1548</v>
      </c>
      <c r="V6" s="5">
        <v>10204</v>
      </c>
      <c r="W6" s="5">
        <v>9829</v>
      </c>
      <c r="X6" s="5">
        <v>56804</v>
      </c>
      <c r="Y6" s="5">
        <v>54926</v>
      </c>
      <c r="Z6" s="5">
        <v>1800</v>
      </c>
      <c r="AA6" s="5">
        <v>200</v>
      </c>
      <c r="AB6" s="8" t="s">
        <v>86</v>
      </c>
      <c r="AC6" s="5">
        <v>2000</v>
      </c>
      <c r="AD6" s="5">
        <v>1800</v>
      </c>
      <c r="AE6" s="5">
        <v>1396</v>
      </c>
      <c r="AF6" s="5">
        <v>3196</v>
      </c>
      <c r="AG6" s="5">
        <v>60000</v>
      </c>
      <c r="AH6" s="7">
        <v>52926</v>
      </c>
      <c r="AI6" s="9" t="str">
        <f t="shared" si="0"/>
        <v>Fifty Two Thousand Nine Hundred and Twenty Six</v>
      </c>
    </row>
    <row r="7" spans="1:35" x14ac:dyDescent="0.35">
      <c r="A7" s="10" t="s">
        <v>36</v>
      </c>
      <c r="B7" s="10" t="s">
        <v>37</v>
      </c>
      <c r="C7" s="3" t="s">
        <v>76</v>
      </c>
      <c r="D7" s="11" t="s">
        <v>68</v>
      </c>
      <c r="E7" s="9" t="s">
        <v>72</v>
      </c>
      <c r="F7" s="9" t="s">
        <v>73</v>
      </c>
      <c r="G7" s="12">
        <f>VLOOKUP(A7,[1]Payment!$A$2:$G$28,5,0)</f>
        <v>77770116800885</v>
      </c>
      <c r="H7" s="9" t="str">
        <f>VLOOKUP(A7,[1]Payment!$A$2:$G$28,6,0)</f>
        <v>FDRL0007777</v>
      </c>
      <c r="I7" s="12">
        <v>102317510879</v>
      </c>
      <c r="K7" s="13" t="s">
        <v>138</v>
      </c>
      <c r="L7" s="3" t="s">
        <v>139</v>
      </c>
      <c r="M7" s="9">
        <v>30</v>
      </c>
      <c r="N7" s="9">
        <v>0</v>
      </c>
      <c r="O7" s="13" t="s">
        <v>138</v>
      </c>
      <c r="P7" s="5">
        <v>25000</v>
      </c>
      <c r="Q7" s="5">
        <v>24194</v>
      </c>
      <c r="R7" s="5">
        <v>12500</v>
      </c>
      <c r="S7" s="5">
        <v>12097</v>
      </c>
      <c r="T7" s="5">
        <v>1600</v>
      </c>
      <c r="U7" s="5">
        <v>1548</v>
      </c>
      <c r="V7" s="5">
        <v>7936</v>
      </c>
      <c r="W7" s="5">
        <v>7643</v>
      </c>
      <c r="X7" s="5">
        <v>47036</v>
      </c>
      <c r="Y7" s="5">
        <v>45481</v>
      </c>
      <c r="Z7" s="5">
        <v>1800</v>
      </c>
      <c r="AA7" s="5">
        <v>200</v>
      </c>
      <c r="AB7" s="8" t="s">
        <v>86</v>
      </c>
      <c r="AC7" s="5">
        <v>2000</v>
      </c>
      <c r="AD7" s="5">
        <v>1800</v>
      </c>
      <c r="AE7" s="5">
        <v>1164</v>
      </c>
      <c r="AF7" s="5">
        <v>2964</v>
      </c>
      <c r="AG7" s="5">
        <v>50000</v>
      </c>
      <c r="AH7" s="7">
        <v>43481</v>
      </c>
      <c r="AI7" s="9" t="str">
        <f t="shared" si="0"/>
        <v>Forty Three Thousand Four Hundred and Eighty One</v>
      </c>
    </row>
    <row r="8" spans="1:35" x14ac:dyDescent="0.35">
      <c r="A8" s="10" t="s">
        <v>38</v>
      </c>
      <c r="B8" s="10" t="s">
        <v>39</v>
      </c>
      <c r="C8" s="3" t="s">
        <v>76</v>
      </c>
      <c r="D8" s="11" t="s">
        <v>66</v>
      </c>
      <c r="E8" s="9" t="s">
        <v>72</v>
      </c>
      <c r="F8" s="9" t="s">
        <v>73</v>
      </c>
      <c r="G8" s="12">
        <f>VLOOKUP(A8,[1]Payment!$A$2:$G$28,5,0)</f>
        <v>41085488775</v>
      </c>
      <c r="H8" s="9" t="str">
        <f>VLOOKUP(A8,[1]Payment!$A$2:$G$28,6,0)</f>
        <v>SBIN0016293</v>
      </c>
      <c r="I8" s="12">
        <v>101994170916</v>
      </c>
      <c r="K8" s="13" t="s">
        <v>138</v>
      </c>
      <c r="L8" s="3" t="s">
        <v>139</v>
      </c>
      <c r="M8" s="9">
        <v>30</v>
      </c>
      <c r="N8" s="9">
        <v>0</v>
      </c>
      <c r="O8" s="13" t="s">
        <v>138</v>
      </c>
      <c r="P8" s="5">
        <v>22500</v>
      </c>
      <c r="Q8" s="5">
        <v>21774</v>
      </c>
      <c r="R8" s="5">
        <v>11250</v>
      </c>
      <c r="S8" s="5">
        <v>10887</v>
      </c>
      <c r="T8" s="5">
        <v>1600</v>
      </c>
      <c r="U8" s="5">
        <v>1548</v>
      </c>
      <c r="V8" s="5">
        <v>6803</v>
      </c>
      <c r="W8" s="5">
        <v>6549</v>
      </c>
      <c r="X8" s="5">
        <v>42153</v>
      </c>
      <c r="Y8" s="5">
        <v>40759</v>
      </c>
      <c r="Z8" s="5">
        <v>1800</v>
      </c>
      <c r="AA8" s="5">
        <v>200</v>
      </c>
      <c r="AB8" s="8" t="s">
        <v>86</v>
      </c>
      <c r="AC8" s="5">
        <v>2000</v>
      </c>
      <c r="AD8" s="5">
        <v>1800</v>
      </c>
      <c r="AE8" s="5">
        <v>1047</v>
      </c>
      <c r="AF8" s="5">
        <v>2847</v>
      </c>
      <c r="AG8" s="5">
        <v>45000</v>
      </c>
      <c r="AH8" s="7">
        <v>38759</v>
      </c>
      <c r="AI8" s="9" t="str">
        <f t="shared" si="0"/>
        <v>Thirty Eight Thousand Seven Hundred and Fifty Nine</v>
      </c>
    </row>
    <row r="9" spans="1:35" x14ac:dyDescent="0.35">
      <c r="A9" s="10" t="s">
        <v>40</v>
      </c>
      <c r="B9" s="10" t="s">
        <v>41</v>
      </c>
      <c r="C9" s="3" t="s">
        <v>76</v>
      </c>
      <c r="D9" s="11" t="s">
        <v>66</v>
      </c>
      <c r="E9" s="9" t="s">
        <v>72</v>
      </c>
      <c r="F9" s="9" t="s">
        <v>73</v>
      </c>
      <c r="G9" s="12">
        <f>VLOOKUP(A9,[1]Payment!$A$2:$G$28,5,0)</f>
        <v>62297418711</v>
      </c>
      <c r="H9" s="9" t="str">
        <f>VLOOKUP(A9,[1]Payment!$A$2:$G$28,6,0)</f>
        <v>SBIN0003801</v>
      </c>
      <c r="I9" s="12">
        <v>102317526464</v>
      </c>
      <c r="K9" s="13" t="s">
        <v>138</v>
      </c>
      <c r="L9" s="3" t="s">
        <v>139</v>
      </c>
      <c r="M9" s="9">
        <v>30</v>
      </c>
      <c r="N9" s="9">
        <v>0</v>
      </c>
      <c r="O9" s="13" t="s">
        <v>138</v>
      </c>
      <c r="P9" s="5">
        <v>22500</v>
      </c>
      <c r="Q9" s="5">
        <v>21774</v>
      </c>
      <c r="R9" s="5">
        <v>11250</v>
      </c>
      <c r="S9" s="5">
        <v>10887</v>
      </c>
      <c r="T9" s="5">
        <v>1600</v>
      </c>
      <c r="U9" s="5">
        <v>1548</v>
      </c>
      <c r="V9" s="5">
        <v>6803</v>
      </c>
      <c r="W9" s="5">
        <v>6549</v>
      </c>
      <c r="X9" s="5">
        <v>42153</v>
      </c>
      <c r="Y9" s="5">
        <v>40759</v>
      </c>
      <c r="Z9" s="5">
        <v>1800</v>
      </c>
      <c r="AA9" s="5">
        <v>200</v>
      </c>
      <c r="AB9" s="8" t="s">
        <v>86</v>
      </c>
      <c r="AC9" s="5">
        <v>2000</v>
      </c>
      <c r="AD9" s="5">
        <v>1800</v>
      </c>
      <c r="AE9" s="5">
        <v>1047</v>
      </c>
      <c r="AF9" s="5">
        <v>2847</v>
      </c>
      <c r="AG9" s="5">
        <v>45000</v>
      </c>
      <c r="AH9" s="7">
        <v>38759</v>
      </c>
      <c r="AI9" s="9" t="str">
        <f t="shared" si="0"/>
        <v>Thirty Eight Thousand Seven Hundred and Fifty Nine</v>
      </c>
    </row>
    <row r="10" spans="1:35" x14ac:dyDescent="0.35">
      <c r="A10" s="10" t="s">
        <v>42</v>
      </c>
      <c r="B10" s="10" t="s">
        <v>43</v>
      </c>
      <c r="C10" s="3" t="s">
        <v>76</v>
      </c>
      <c r="D10" s="11" t="s">
        <v>66</v>
      </c>
      <c r="E10" s="9" t="s">
        <v>72</v>
      </c>
      <c r="F10" s="9" t="s">
        <v>73</v>
      </c>
      <c r="G10" s="12" t="str">
        <f>VLOOKUP(A10,[1]Payment!$A$2:$G$28,5,0)</f>
        <v>1446178000009714</v>
      </c>
      <c r="H10" s="9" t="str">
        <f>VLOOKUP(A10,[1]Payment!$A$2:$G$28,6,0)</f>
        <v>KVBL0001446</v>
      </c>
      <c r="I10" s="12">
        <v>101366210512</v>
      </c>
      <c r="K10" s="13" t="s">
        <v>138</v>
      </c>
      <c r="L10" s="3" t="s">
        <v>139</v>
      </c>
      <c r="M10" s="9">
        <v>30</v>
      </c>
      <c r="N10" s="9">
        <v>0</v>
      </c>
      <c r="O10" s="13" t="s">
        <v>138</v>
      </c>
      <c r="P10" s="5">
        <v>22500</v>
      </c>
      <c r="Q10" s="5">
        <v>21774</v>
      </c>
      <c r="R10" s="5">
        <v>11250</v>
      </c>
      <c r="S10" s="5">
        <v>10887</v>
      </c>
      <c r="T10" s="5">
        <v>1600</v>
      </c>
      <c r="U10" s="5">
        <v>1548</v>
      </c>
      <c r="V10" s="5">
        <v>6803</v>
      </c>
      <c r="W10" s="5">
        <v>6549</v>
      </c>
      <c r="X10" s="5">
        <v>42153</v>
      </c>
      <c r="Y10" s="5">
        <v>40759</v>
      </c>
      <c r="Z10" s="5">
        <v>1800</v>
      </c>
      <c r="AA10" s="5">
        <v>200</v>
      </c>
      <c r="AB10" s="8" t="s">
        <v>86</v>
      </c>
      <c r="AC10" s="5">
        <v>2000</v>
      </c>
      <c r="AD10" s="5">
        <v>1800</v>
      </c>
      <c r="AE10" s="5">
        <v>1047</v>
      </c>
      <c r="AF10" s="5">
        <v>2847</v>
      </c>
      <c r="AG10" s="5">
        <v>45000</v>
      </c>
      <c r="AH10" s="7">
        <v>38759</v>
      </c>
      <c r="AI10" s="9" t="str">
        <f t="shared" si="0"/>
        <v>Thirty Eight Thousand Seven Hundred and Fifty Nine</v>
      </c>
    </row>
    <row r="11" spans="1:35" x14ac:dyDescent="0.35">
      <c r="A11" s="10" t="s">
        <v>44</v>
      </c>
      <c r="B11" s="10" t="s">
        <v>45</v>
      </c>
      <c r="C11" s="3" t="s">
        <v>76</v>
      </c>
      <c r="D11" s="11" t="s">
        <v>66</v>
      </c>
      <c r="E11" s="9" t="s">
        <v>72</v>
      </c>
      <c r="F11" s="9" t="s">
        <v>73</v>
      </c>
      <c r="G11" s="12">
        <f>VLOOKUP(A11,[1]Payment!$A$2:$G$28,5,0)</f>
        <v>159502740717</v>
      </c>
      <c r="H11" s="9" t="str">
        <f>VLOOKUP(A11,[1]Payment!$A$2:$G$28,6,0)</f>
        <v>INDB0000329</v>
      </c>
      <c r="I11" s="12">
        <v>100650918969</v>
      </c>
      <c r="K11" s="13" t="s">
        <v>138</v>
      </c>
      <c r="L11" s="3" t="s">
        <v>139</v>
      </c>
      <c r="M11" s="9">
        <v>30</v>
      </c>
      <c r="N11" s="9">
        <v>0</v>
      </c>
      <c r="O11" s="13" t="s">
        <v>138</v>
      </c>
      <c r="P11" s="5">
        <v>22500</v>
      </c>
      <c r="Q11" s="5">
        <v>21774</v>
      </c>
      <c r="R11" s="5">
        <v>11250</v>
      </c>
      <c r="S11" s="5">
        <v>10887</v>
      </c>
      <c r="T11" s="5">
        <v>1600</v>
      </c>
      <c r="U11" s="5">
        <v>1548</v>
      </c>
      <c r="V11" s="5">
        <v>6803</v>
      </c>
      <c r="W11" s="5">
        <v>6549</v>
      </c>
      <c r="X11" s="5">
        <v>42153</v>
      </c>
      <c r="Y11" s="5">
        <v>40759</v>
      </c>
      <c r="Z11" s="5">
        <v>1800</v>
      </c>
      <c r="AA11" s="5">
        <v>200</v>
      </c>
      <c r="AB11" s="8" t="s">
        <v>86</v>
      </c>
      <c r="AC11" s="5">
        <v>2000</v>
      </c>
      <c r="AD11" s="5">
        <v>1800</v>
      </c>
      <c r="AE11" s="5">
        <v>1047</v>
      </c>
      <c r="AF11" s="5">
        <v>2847</v>
      </c>
      <c r="AG11" s="5">
        <v>45000</v>
      </c>
      <c r="AH11" s="7">
        <v>38759</v>
      </c>
      <c r="AI11" s="9" t="str">
        <f t="shared" si="0"/>
        <v>Thirty Eight Thousand Seven Hundred and Fifty Nine</v>
      </c>
    </row>
    <row r="12" spans="1:35" x14ac:dyDescent="0.35">
      <c r="A12" s="10" t="s">
        <v>46</v>
      </c>
      <c r="B12" s="10" t="s">
        <v>47</v>
      </c>
      <c r="C12" s="3" t="s">
        <v>76</v>
      </c>
      <c r="D12" s="11" t="s">
        <v>68</v>
      </c>
      <c r="E12" s="9" t="s">
        <v>72</v>
      </c>
      <c r="F12" s="9" t="s">
        <v>73</v>
      </c>
      <c r="G12" s="12">
        <f>VLOOKUP(A12,[1]Payment!$A$2:$G$28,5,0)</f>
        <v>39569845546</v>
      </c>
      <c r="H12" s="9" t="str">
        <f>VLOOKUP(A12,[1]Payment!$A$2:$G$28,6,0)</f>
        <v>SBIN0008024</v>
      </c>
      <c r="I12" s="12">
        <v>102317547528</v>
      </c>
      <c r="K12" s="13" t="s">
        <v>138</v>
      </c>
      <c r="L12" s="3" t="s">
        <v>139</v>
      </c>
      <c r="M12" s="9">
        <v>30</v>
      </c>
      <c r="N12" s="9">
        <v>0</v>
      </c>
      <c r="O12" s="13" t="s">
        <v>138</v>
      </c>
      <c r="P12" s="5">
        <v>25000</v>
      </c>
      <c r="Q12" s="5">
        <v>24194</v>
      </c>
      <c r="R12" s="5">
        <v>12500</v>
      </c>
      <c r="S12" s="5">
        <v>12097</v>
      </c>
      <c r="T12" s="5">
        <v>1600</v>
      </c>
      <c r="U12" s="5">
        <v>1548</v>
      </c>
      <c r="V12" s="5">
        <v>7936</v>
      </c>
      <c r="W12" s="5">
        <v>7643</v>
      </c>
      <c r="X12" s="5">
        <v>47036</v>
      </c>
      <c r="Y12" s="5">
        <v>45481</v>
      </c>
      <c r="Z12" s="5">
        <v>1800</v>
      </c>
      <c r="AA12" s="5">
        <v>200</v>
      </c>
      <c r="AB12" s="8" t="s">
        <v>86</v>
      </c>
      <c r="AC12" s="5">
        <v>2000</v>
      </c>
      <c r="AD12" s="5">
        <v>1800</v>
      </c>
      <c r="AE12" s="5">
        <v>1164</v>
      </c>
      <c r="AF12" s="5">
        <v>2964</v>
      </c>
      <c r="AG12" s="5">
        <v>50000</v>
      </c>
      <c r="AH12" s="7">
        <v>43481</v>
      </c>
      <c r="AI12" s="9" t="str">
        <f t="shared" si="0"/>
        <v>Forty Three Thousand Four Hundred and Eighty One</v>
      </c>
    </row>
    <row r="13" spans="1:35" x14ac:dyDescent="0.35">
      <c r="A13" s="10" t="s">
        <v>48</v>
      </c>
      <c r="B13" s="10" t="s">
        <v>49</v>
      </c>
      <c r="C13" s="3" t="s">
        <v>76</v>
      </c>
      <c r="D13" s="11" t="s">
        <v>68</v>
      </c>
      <c r="E13" s="9" t="s">
        <v>72</v>
      </c>
      <c r="F13" s="9" t="s">
        <v>73</v>
      </c>
      <c r="G13" s="12">
        <f>VLOOKUP(A13,[1]Payment!$A$2:$G$28,5,0)</f>
        <v>50100565431077</v>
      </c>
      <c r="H13" s="9" t="str">
        <f>VLOOKUP(A13,[1]Payment!$A$2:$G$28,6,0)</f>
        <v>HDFC0005175</v>
      </c>
      <c r="I13" s="12">
        <v>101619945850</v>
      </c>
      <c r="K13" s="13" t="s">
        <v>138</v>
      </c>
      <c r="L13" s="3" t="s">
        <v>139</v>
      </c>
      <c r="M13" s="9">
        <v>30</v>
      </c>
      <c r="N13" s="9">
        <v>0</v>
      </c>
      <c r="O13" s="13" t="s">
        <v>138</v>
      </c>
      <c r="P13" s="5">
        <v>25000</v>
      </c>
      <c r="Q13" s="5">
        <v>24194</v>
      </c>
      <c r="R13" s="5">
        <v>12500</v>
      </c>
      <c r="S13" s="5">
        <v>12097</v>
      </c>
      <c r="T13" s="5">
        <v>1600</v>
      </c>
      <c r="U13" s="5">
        <v>1548</v>
      </c>
      <c r="V13" s="5">
        <v>7936</v>
      </c>
      <c r="W13" s="5">
        <v>7643</v>
      </c>
      <c r="X13" s="5">
        <v>47036</v>
      </c>
      <c r="Y13" s="5">
        <v>45481</v>
      </c>
      <c r="Z13" s="5">
        <v>1800</v>
      </c>
      <c r="AA13" s="5">
        <v>200</v>
      </c>
      <c r="AB13" s="8" t="s">
        <v>86</v>
      </c>
      <c r="AC13" s="5">
        <v>2000</v>
      </c>
      <c r="AD13" s="5">
        <v>1800</v>
      </c>
      <c r="AE13" s="5">
        <v>1164</v>
      </c>
      <c r="AF13" s="5">
        <v>2964</v>
      </c>
      <c r="AG13" s="5">
        <v>50000</v>
      </c>
      <c r="AH13" s="7">
        <v>43481</v>
      </c>
      <c r="AI13" s="9" t="str">
        <f t="shared" si="0"/>
        <v>Forty Three Thousand Four Hundred and Eighty One</v>
      </c>
    </row>
    <row r="14" spans="1:35" ht="29" x14ac:dyDescent="0.35">
      <c r="A14" s="10" t="s">
        <v>50</v>
      </c>
      <c r="B14" s="10" t="s">
        <v>51</v>
      </c>
      <c r="C14" s="3" t="s">
        <v>76</v>
      </c>
      <c r="D14" s="11" t="s">
        <v>67</v>
      </c>
      <c r="E14" s="9" t="s">
        <v>72</v>
      </c>
      <c r="F14" s="9" t="s">
        <v>73</v>
      </c>
      <c r="G14" s="12">
        <f>VLOOKUP(A14,[1]Payment!$A$2:$G$28,5,0)</f>
        <v>41202390653</v>
      </c>
      <c r="H14" s="9" t="str">
        <f>VLOOKUP(A14,[1]Payment!$A$2:$G$28,6,0)</f>
        <v>SBIN0000910</v>
      </c>
      <c r="I14" s="12">
        <v>102317765401</v>
      </c>
      <c r="K14" s="13" t="s">
        <v>138</v>
      </c>
      <c r="L14" s="3" t="s">
        <v>139</v>
      </c>
      <c r="M14" s="9">
        <v>30</v>
      </c>
      <c r="N14" s="9">
        <v>2</v>
      </c>
      <c r="O14" s="13" t="s">
        <v>138</v>
      </c>
      <c r="P14" s="5">
        <v>30000</v>
      </c>
      <c r="Q14" s="5">
        <v>29032</v>
      </c>
      <c r="R14" s="5">
        <v>15000</v>
      </c>
      <c r="S14" s="5">
        <v>14516</v>
      </c>
      <c r="T14" s="5">
        <v>1600</v>
      </c>
      <c r="U14" s="5">
        <v>1548</v>
      </c>
      <c r="V14" s="5">
        <v>10204</v>
      </c>
      <c r="W14" s="5">
        <v>9829</v>
      </c>
      <c r="X14" s="5">
        <v>56804</v>
      </c>
      <c r="Y14" s="5">
        <v>54926</v>
      </c>
      <c r="Z14" s="5">
        <v>1800</v>
      </c>
      <c r="AA14" s="5">
        <v>200</v>
      </c>
      <c r="AB14" s="8" t="s">
        <v>86</v>
      </c>
      <c r="AC14" s="5">
        <v>2000</v>
      </c>
      <c r="AD14" s="5">
        <v>1800</v>
      </c>
      <c r="AE14" s="5">
        <v>1396</v>
      </c>
      <c r="AF14" s="5">
        <v>3196</v>
      </c>
      <c r="AG14" s="5">
        <v>60000</v>
      </c>
      <c r="AH14" s="7">
        <v>52926</v>
      </c>
      <c r="AI14" s="9" t="str">
        <f t="shared" si="0"/>
        <v>Fifty Two Thousand Nine Hundred and Twenty Six</v>
      </c>
    </row>
    <row r="15" spans="1:35" ht="29" x14ac:dyDescent="0.35">
      <c r="A15" s="10" t="s">
        <v>52</v>
      </c>
      <c r="B15" s="10" t="s">
        <v>53</v>
      </c>
      <c r="C15" s="3" t="s">
        <v>76</v>
      </c>
      <c r="D15" s="11" t="s">
        <v>67</v>
      </c>
      <c r="E15" s="9" t="s">
        <v>72</v>
      </c>
      <c r="F15" s="9" t="s">
        <v>73</v>
      </c>
      <c r="G15" s="12">
        <f>VLOOKUP(A15,[1]Payment!$A$2:$G$28,5,0)</f>
        <v>615728726</v>
      </c>
      <c r="H15" s="9" t="str">
        <f>VLOOKUP(A15,[1]Payment!$A$2:$G$28,6,0)</f>
        <v>IDIB000P121</v>
      </c>
      <c r="I15" s="12">
        <v>102270657335</v>
      </c>
      <c r="K15" s="13" t="s">
        <v>138</v>
      </c>
      <c r="L15" s="3" t="s">
        <v>139</v>
      </c>
      <c r="M15" s="9">
        <v>30</v>
      </c>
      <c r="N15" s="9">
        <v>0</v>
      </c>
      <c r="O15" s="13" t="s">
        <v>138</v>
      </c>
      <c r="P15" s="5">
        <v>30000</v>
      </c>
      <c r="Q15" s="5">
        <v>29032</v>
      </c>
      <c r="R15" s="5">
        <v>15000</v>
      </c>
      <c r="S15" s="5">
        <v>14516</v>
      </c>
      <c r="T15" s="5">
        <v>1600</v>
      </c>
      <c r="U15" s="5">
        <v>1548</v>
      </c>
      <c r="V15" s="5">
        <v>10204</v>
      </c>
      <c r="W15" s="5">
        <v>9829</v>
      </c>
      <c r="X15" s="5">
        <v>56804</v>
      </c>
      <c r="Y15" s="5">
        <v>54926</v>
      </c>
      <c r="Z15" s="5">
        <v>1800</v>
      </c>
      <c r="AA15" s="5">
        <v>200</v>
      </c>
      <c r="AB15" s="8" t="s">
        <v>86</v>
      </c>
      <c r="AC15" s="5">
        <v>2000</v>
      </c>
      <c r="AD15" s="5">
        <v>1800</v>
      </c>
      <c r="AE15" s="5">
        <v>1396</v>
      </c>
      <c r="AF15" s="5">
        <v>3196</v>
      </c>
      <c r="AG15" s="5">
        <v>60000</v>
      </c>
      <c r="AH15" s="7">
        <v>52926</v>
      </c>
      <c r="AI15" s="9" t="str">
        <f t="shared" si="0"/>
        <v>Fifty Two Thousand Nine Hundred and Twenty Six</v>
      </c>
    </row>
    <row r="16" spans="1:35" x14ac:dyDescent="0.35">
      <c r="A16" s="10" t="s">
        <v>54</v>
      </c>
      <c r="B16" s="10" t="s">
        <v>55</v>
      </c>
      <c r="C16" s="3" t="s">
        <v>76</v>
      </c>
      <c r="D16" s="11" t="s">
        <v>69</v>
      </c>
      <c r="E16" s="9" t="s">
        <v>72</v>
      </c>
      <c r="F16" s="9" t="s">
        <v>73</v>
      </c>
      <c r="G16" s="12">
        <f>VLOOKUP(A16,[1]Payment!$A$2:$G$28,5,0)</f>
        <v>7445588605</v>
      </c>
      <c r="H16" s="9" t="str">
        <f>VLOOKUP(A16,[1]Payment!$A$2:$G$28,6,0)</f>
        <v>KKBK0007462</v>
      </c>
      <c r="I16" s="12">
        <v>102317543305</v>
      </c>
      <c r="K16" s="13" t="s">
        <v>138</v>
      </c>
      <c r="L16" s="3" t="s">
        <v>139</v>
      </c>
      <c r="M16" s="9">
        <v>30</v>
      </c>
      <c r="N16" s="9">
        <v>0</v>
      </c>
      <c r="O16" s="13" t="s">
        <v>138</v>
      </c>
      <c r="P16" s="5">
        <v>17500</v>
      </c>
      <c r="Q16" s="5">
        <v>16935</v>
      </c>
      <c r="R16" s="5">
        <v>8750</v>
      </c>
      <c r="S16" s="5">
        <v>8468</v>
      </c>
      <c r="T16" s="5">
        <v>1600</v>
      </c>
      <c r="U16" s="5">
        <v>1548</v>
      </c>
      <c r="V16" s="5">
        <v>4535</v>
      </c>
      <c r="W16" s="5">
        <v>4363</v>
      </c>
      <c r="X16" s="5">
        <v>32385</v>
      </c>
      <c r="Y16" s="5">
        <v>31314</v>
      </c>
      <c r="Z16" s="5">
        <v>1800</v>
      </c>
      <c r="AA16" s="5">
        <v>200</v>
      </c>
      <c r="AB16" s="8" t="s">
        <v>86</v>
      </c>
      <c r="AC16" s="5">
        <v>2000</v>
      </c>
      <c r="AD16" s="5">
        <v>1800</v>
      </c>
      <c r="AE16" s="5">
        <v>815</v>
      </c>
      <c r="AF16" s="5">
        <v>2615</v>
      </c>
      <c r="AG16" s="5">
        <v>35000</v>
      </c>
      <c r="AH16" s="7">
        <v>29314</v>
      </c>
      <c r="AI16" s="9" t="str">
        <f t="shared" si="0"/>
        <v>Twenty Nine Thousand Three Hundred and Fourteen</v>
      </c>
    </row>
    <row r="17" spans="1:35" x14ac:dyDescent="0.35">
      <c r="A17" s="10" t="s">
        <v>56</v>
      </c>
      <c r="B17" s="10" t="s">
        <v>57</v>
      </c>
      <c r="C17" s="3" t="s">
        <v>76</v>
      </c>
      <c r="D17" s="11" t="s">
        <v>69</v>
      </c>
      <c r="E17" s="9" t="s">
        <v>72</v>
      </c>
      <c r="F17" s="9" t="s">
        <v>73</v>
      </c>
      <c r="G17" s="12">
        <f>VLOOKUP(A17,[1]Payment!$A$2:$G$28,5,0)</f>
        <v>4495101004331</v>
      </c>
      <c r="H17" s="9" t="str">
        <f>VLOOKUP(A17,[1]Payment!$A$2:$G$28,6,0)</f>
        <v>CNRB0004495</v>
      </c>
      <c r="I17" s="12">
        <v>102317508713</v>
      </c>
      <c r="K17" s="13" t="s">
        <v>138</v>
      </c>
      <c r="L17" s="3" t="s">
        <v>139</v>
      </c>
      <c r="M17" s="9">
        <v>30</v>
      </c>
      <c r="N17" s="9">
        <v>0</v>
      </c>
      <c r="O17" s="13" t="s">
        <v>138</v>
      </c>
      <c r="P17" s="5">
        <v>17500</v>
      </c>
      <c r="Q17" s="5">
        <v>16935</v>
      </c>
      <c r="R17" s="5">
        <v>8750</v>
      </c>
      <c r="S17" s="5">
        <v>8468</v>
      </c>
      <c r="T17" s="5">
        <v>1600</v>
      </c>
      <c r="U17" s="5">
        <v>1548</v>
      </c>
      <c r="V17" s="5">
        <v>4535</v>
      </c>
      <c r="W17" s="5">
        <v>4363</v>
      </c>
      <c r="X17" s="5">
        <v>32385</v>
      </c>
      <c r="Y17" s="5">
        <v>31314</v>
      </c>
      <c r="Z17" s="5">
        <v>1800</v>
      </c>
      <c r="AA17" s="5">
        <v>200</v>
      </c>
      <c r="AB17" s="8" t="s">
        <v>86</v>
      </c>
      <c r="AC17" s="5">
        <v>2000</v>
      </c>
      <c r="AD17" s="5">
        <v>1800</v>
      </c>
      <c r="AE17" s="5">
        <v>815</v>
      </c>
      <c r="AF17" s="5">
        <v>2615</v>
      </c>
      <c r="AG17" s="5">
        <v>35000</v>
      </c>
      <c r="AH17" s="7">
        <v>29314</v>
      </c>
      <c r="AI17" s="9" t="str">
        <f t="shared" si="0"/>
        <v>Twenty Nine Thousand Three Hundred and Fourteen</v>
      </c>
    </row>
    <row r="18" spans="1:35" x14ac:dyDescent="0.35">
      <c r="A18" s="10" t="s">
        <v>58</v>
      </c>
      <c r="B18" s="10" t="s">
        <v>59</v>
      </c>
      <c r="C18" s="3" t="s">
        <v>76</v>
      </c>
      <c r="D18" s="11" t="s">
        <v>69</v>
      </c>
      <c r="E18" s="9" t="s">
        <v>72</v>
      </c>
      <c r="F18" s="9" t="s">
        <v>73</v>
      </c>
      <c r="G18" s="12">
        <f>VLOOKUP(A18,[1]Payment!$A$2:$G$28,5,0)</f>
        <v>39971511897</v>
      </c>
      <c r="H18" s="9" t="str">
        <f>VLOOKUP(A18,[1]Payment!$A$2:$G$28,6,0)</f>
        <v>SBIN0021227</v>
      </c>
      <c r="I18" s="12">
        <v>102317683544</v>
      </c>
      <c r="K18" s="13" t="s">
        <v>138</v>
      </c>
      <c r="L18" s="3" t="s">
        <v>139</v>
      </c>
      <c r="M18" s="9">
        <v>30</v>
      </c>
      <c r="N18" s="9">
        <v>0</v>
      </c>
      <c r="O18" s="13" t="s">
        <v>138</v>
      </c>
      <c r="P18" s="5">
        <v>17500</v>
      </c>
      <c r="Q18" s="5">
        <v>16935</v>
      </c>
      <c r="R18" s="5">
        <v>8750</v>
      </c>
      <c r="S18" s="5">
        <v>8468</v>
      </c>
      <c r="T18" s="5">
        <v>1600</v>
      </c>
      <c r="U18" s="5">
        <v>1548</v>
      </c>
      <c r="V18" s="5">
        <v>4535</v>
      </c>
      <c r="W18" s="5">
        <v>4363</v>
      </c>
      <c r="X18" s="5">
        <v>32385</v>
      </c>
      <c r="Y18" s="5">
        <v>31314</v>
      </c>
      <c r="Z18" s="5">
        <v>1800</v>
      </c>
      <c r="AA18" s="5">
        <v>200</v>
      </c>
      <c r="AB18" s="8" t="s">
        <v>86</v>
      </c>
      <c r="AC18" s="5">
        <v>2000</v>
      </c>
      <c r="AD18" s="5">
        <v>1800</v>
      </c>
      <c r="AE18" s="5">
        <v>815</v>
      </c>
      <c r="AF18" s="5">
        <v>2615</v>
      </c>
      <c r="AG18" s="5">
        <v>35000</v>
      </c>
      <c r="AH18" s="7">
        <v>29314</v>
      </c>
      <c r="AI18" s="9" t="str">
        <f t="shared" si="0"/>
        <v>Twenty Nine Thousand Three Hundred and Fourteen</v>
      </c>
    </row>
    <row r="19" spans="1:35" ht="29" x14ac:dyDescent="0.35">
      <c r="A19" s="10" t="s">
        <v>60</v>
      </c>
      <c r="B19" s="10" t="s">
        <v>61</v>
      </c>
      <c r="C19" s="3" t="s">
        <v>76</v>
      </c>
      <c r="D19" s="11" t="s">
        <v>67</v>
      </c>
      <c r="E19" s="9" t="s">
        <v>72</v>
      </c>
      <c r="F19" s="9" t="s">
        <v>73</v>
      </c>
      <c r="G19" s="12">
        <f>VLOOKUP(A19,[1]Payment!$A$2:$G$28,5,0)</f>
        <v>41536691505</v>
      </c>
      <c r="H19" s="9" t="str">
        <f>VLOOKUP(A19,[1]Payment!$A$2:$G$28,6,0)</f>
        <v>SBIN0008807</v>
      </c>
      <c r="I19" s="12">
        <v>102000268989</v>
      </c>
      <c r="K19" s="13" t="s">
        <v>138</v>
      </c>
      <c r="L19" s="3" t="s">
        <v>139</v>
      </c>
      <c r="M19" s="9">
        <v>30</v>
      </c>
      <c r="N19" s="9">
        <v>0</v>
      </c>
      <c r="O19" s="13" t="s">
        <v>138</v>
      </c>
      <c r="P19" s="5">
        <v>30000</v>
      </c>
      <c r="Q19" s="5">
        <v>29032</v>
      </c>
      <c r="R19" s="5">
        <v>15000</v>
      </c>
      <c r="S19" s="5">
        <v>14516</v>
      </c>
      <c r="T19" s="5">
        <v>1600</v>
      </c>
      <c r="U19" s="5">
        <v>1548</v>
      </c>
      <c r="V19" s="5">
        <v>10204</v>
      </c>
      <c r="W19" s="5">
        <v>9829</v>
      </c>
      <c r="X19" s="5">
        <v>56804</v>
      </c>
      <c r="Y19" s="5">
        <v>54926</v>
      </c>
      <c r="Z19" s="5">
        <v>1800</v>
      </c>
      <c r="AA19" s="5">
        <v>200</v>
      </c>
      <c r="AB19" s="8" t="s">
        <v>86</v>
      </c>
      <c r="AC19" s="5">
        <v>2000</v>
      </c>
      <c r="AD19" s="5">
        <v>1800</v>
      </c>
      <c r="AE19" s="5">
        <v>1396</v>
      </c>
      <c r="AF19" s="5">
        <v>3196</v>
      </c>
      <c r="AG19" s="5">
        <v>60000</v>
      </c>
      <c r="AH19" s="7">
        <v>52926</v>
      </c>
      <c r="AI19" s="9" t="str">
        <f t="shared" si="0"/>
        <v>Fifty Two Thousand Nine Hundred and Twenty Six</v>
      </c>
    </row>
    <row r="20" spans="1:35" ht="29" x14ac:dyDescent="0.35">
      <c r="A20" s="10" t="s">
        <v>62</v>
      </c>
      <c r="B20" s="10" t="s">
        <v>63</v>
      </c>
      <c r="C20" s="3" t="s">
        <v>76</v>
      </c>
      <c r="D20" s="11" t="s">
        <v>67</v>
      </c>
      <c r="E20" s="9" t="s">
        <v>72</v>
      </c>
      <c r="F20" s="9" t="s">
        <v>73</v>
      </c>
      <c r="G20" s="12">
        <f>VLOOKUP(A20,[1]Payment!$A$2:$G$28,5,0)</f>
        <v>50100141200194</v>
      </c>
      <c r="H20" s="9" t="str">
        <f>VLOOKUP(A20,[1]Payment!$A$2:$G$28,6,0)</f>
        <v>HDFC0004480</v>
      </c>
      <c r="I20" s="12">
        <v>100640473426</v>
      </c>
      <c r="K20" s="13" t="s">
        <v>138</v>
      </c>
      <c r="L20" s="3" t="s">
        <v>139</v>
      </c>
      <c r="M20" s="9">
        <v>30</v>
      </c>
      <c r="N20" s="9">
        <v>1</v>
      </c>
      <c r="O20" s="13" t="s">
        <v>138</v>
      </c>
      <c r="P20" s="5">
        <v>30000</v>
      </c>
      <c r="Q20" s="5">
        <v>29032</v>
      </c>
      <c r="R20" s="5">
        <v>15000</v>
      </c>
      <c r="S20" s="5">
        <v>14516</v>
      </c>
      <c r="T20" s="5">
        <v>1600</v>
      </c>
      <c r="U20" s="5">
        <v>1548</v>
      </c>
      <c r="V20" s="5">
        <v>10204</v>
      </c>
      <c r="W20" s="5">
        <v>9829</v>
      </c>
      <c r="X20" s="5">
        <v>56804</v>
      </c>
      <c r="Y20" s="5">
        <v>54926</v>
      </c>
      <c r="Z20" s="5">
        <v>1800</v>
      </c>
      <c r="AA20" s="5">
        <v>200</v>
      </c>
      <c r="AB20" s="8" t="s">
        <v>86</v>
      </c>
      <c r="AC20" s="5">
        <v>2000</v>
      </c>
      <c r="AD20" s="5">
        <v>1800</v>
      </c>
      <c r="AE20" s="5">
        <v>1396</v>
      </c>
      <c r="AF20" s="5">
        <v>3196</v>
      </c>
      <c r="AG20" s="5">
        <v>60000</v>
      </c>
      <c r="AH20" s="7">
        <v>52926</v>
      </c>
      <c r="AI20" s="9" t="str">
        <f t="shared" si="0"/>
        <v>Fifty Two Thousand Nine Hundred and Twenty Six</v>
      </c>
    </row>
    <row r="21" spans="1:35" x14ac:dyDescent="0.35">
      <c r="A21" s="10" t="s">
        <v>88</v>
      </c>
      <c r="B21" s="10" t="s">
        <v>89</v>
      </c>
      <c r="C21" s="3" t="s">
        <v>124</v>
      </c>
      <c r="D21" s="11" t="s">
        <v>69</v>
      </c>
      <c r="E21" s="9" t="s">
        <v>72</v>
      </c>
      <c r="F21" s="9" t="s">
        <v>73</v>
      </c>
      <c r="G21" s="12">
        <v>920010070801185</v>
      </c>
      <c r="H21" s="9" t="s">
        <v>144</v>
      </c>
      <c r="I21" s="12">
        <v>101496699678</v>
      </c>
      <c r="K21" s="13" t="s">
        <v>138</v>
      </c>
      <c r="L21" s="3" t="s">
        <v>139</v>
      </c>
      <c r="M21" s="9">
        <v>30</v>
      </c>
      <c r="N21" s="9">
        <v>0</v>
      </c>
      <c r="O21" s="13" t="s">
        <v>138</v>
      </c>
      <c r="P21" s="5">
        <f>VLOOKUP(A21,'[2]Tech Employees'!$A$2:$AB$39,9,0)</f>
        <v>17499.996499999997</v>
      </c>
      <c r="Q21" s="5">
        <f>VLOOKUP(A21,'[2]Tech Employees'!$A$2:$L$39,9,0)</f>
        <v>17499.996499999997</v>
      </c>
      <c r="R21" s="5">
        <f>VLOOKUP(A21,'[2]Tech Employees'!$A$2:$AB$39,10,0)</f>
        <v>8749.9982499999987</v>
      </c>
      <c r="S21" s="5">
        <f>VLOOKUP(A21,'[2]Tech Employees'!$A$2:$L$39,10,0)</f>
        <v>8749.9982499999987</v>
      </c>
      <c r="T21" s="5">
        <f>VLOOKUP(A21,'[2]Tech Employees'!$A$2:$AB$39,11,0)</f>
        <v>1600</v>
      </c>
      <c r="U21" s="5">
        <f>VLOOKUP(A21,'[2]Tech Employees'!$A$2:$L$39,11,0)</f>
        <v>1600</v>
      </c>
      <c r="V21" s="5">
        <f>VLOOKUP(A21,'[2]Tech Employees'!$A$2:$AB$39,12,0)</f>
        <v>4508.2554183500051</v>
      </c>
      <c r="W21" s="5">
        <f>VLOOKUP(A21,'[2]Tech Employees'!$A$2:$L$39,12,0)</f>
        <v>4508.2554183500051</v>
      </c>
      <c r="X21" s="5">
        <f>P21+R21+T21+V21</f>
        <v>32358.250168350001</v>
      </c>
      <c r="Y21" s="5">
        <f>Q21+S21+U21+W21</f>
        <v>32358.250168350001</v>
      </c>
      <c r="Z21" s="5">
        <f>VLOOKUP(A21,'[2]Tech Employees'!$A$2:$AB$39,14,0)</f>
        <v>1800</v>
      </c>
      <c r="AA21" s="5">
        <v>200</v>
      </c>
      <c r="AB21" s="8" t="s">
        <v>86</v>
      </c>
      <c r="AC21" s="5">
        <f>Z21+AA21</f>
        <v>2000</v>
      </c>
      <c r="AD21" s="5">
        <f>VLOOKUP(A21,'[2]Tech Employees'!$A$2:$AB$39,24,0)</f>
        <v>1800</v>
      </c>
      <c r="AE21" s="5">
        <f>VLOOKUP(A21,'[2]Tech Employees'!$A$2:$AB$39,26,0)</f>
        <v>841.74983164999981</v>
      </c>
      <c r="AF21" s="5">
        <f>AD21+AE21</f>
        <v>2641.7498316499996</v>
      </c>
      <c r="AG21" s="5">
        <f>X21+AF21</f>
        <v>35000</v>
      </c>
      <c r="AH21" s="7">
        <f>Y21-AC21</f>
        <v>30358.250168350001</v>
      </c>
      <c r="AI21" s="9" t="str">
        <f t="shared" si="0"/>
        <v>Thirty  Thousand Three Hundred and Fifty Eight</v>
      </c>
    </row>
    <row r="22" spans="1:35" x14ac:dyDescent="0.35">
      <c r="A22" s="10" t="s">
        <v>90</v>
      </c>
      <c r="B22" s="10" t="s">
        <v>91</v>
      </c>
      <c r="C22" s="3" t="s">
        <v>124</v>
      </c>
      <c r="D22" s="11" t="s">
        <v>140</v>
      </c>
      <c r="E22" s="9" t="s">
        <v>72</v>
      </c>
      <c r="F22" s="9" t="s">
        <v>73</v>
      </c>
      <c r="G22" s="12">
        <v>40590710609</v>
      </c>
      <c r="H22" s="12" t="s">
        <v>125</v>
      </c>
      <c r="I22" s="12">
        <v>101812070660</v>
      </c>
      <c r="K22" s="13" t="s">
        <v>138</v>
      </c>
      <c r="L22" s="3" t="s">
        <v>139</v>
      </c>
      <c r="M22" s="9">
        <v>30</v>
      </c>
      <c r="N22" s="9">
        <v>0</v>
      </c>
      <c r="O22" s="13" t="s">
        <v>138</v>
      </c>
      <c r="P22" s="5">
        <f>VLOOKUP(A22,'[2]Tech Employees'!$A$2:$AB$39,9,0)</f>
        <v>14999.996999999998</v>
      </c>
      <c r="Q22" s="5">
        <f>VLOOKUP(A22,'[2]Tech Employees'!$A$2:$L$39,9,0)</f>
        <v>14999.996999999998</v>
      </c>
      <c r="R22" s="5">
        <f>VLOOKUP(A22,'[2]Tech Employees'!$A$2:$AB$39,10,0)</f>
        <v>7499.9984999999988</v>
      </c>
      <c r="S22" s="5">
        <f>VLOOKUP(A22,'[2]Tech Employees'!$A$2:$L$39,10,0)</f>
        <v>7499.9984999999988</v>
      </c>
      <c r="T22" s="5">
        <f>VLOOKUP(A22,'[2]Tech Employees'!$A$2:$AB$39,11,0)</f>
        <v>1600</v>
      </c>
      <c r="U22" s="5">
        <f>VLOOKUP(A22,'[2]Tech Employees'!$A$2:$L$39,11,0)</f>
        <v>1600</v>
      </c>
      <c r="V22" s="5">
        <f>VLOOKUP(A22,'[2]Tech Employees'!$A$2:$AB$39,12,0)</f>
        <v>3378.5050043000056</v>
      </c>
      <c r="W22" s="5">
        <f>VLOOKUP(A22,'[2]Tech Employees'!$A$2:$L$39,12,0)</f>
        <v>3378.5050043000056</v>
      </c>
      <c r="X22" s="5">
        <f t="shared" ref="X22:X39" si="1">P22+R22+T22+V22</f>
        <v>27478.500504300002</v>
      </c>
      <c r="Y22" s="5">
        <f t="shared" ref="Y22:Y39" si="2">Q22+S22+U22+W22</f>
        <v>27478.500504300002</v>
      </c>
      <c r="Z22" s="5">
        <f>VLOOKUP(A22,'[2]Tech Employees'!$A$2:$AB$39,14,0)</f>
        <v>1799.9996399999995</v>
      </c>
      <c r="AA22" s="5">
        <v>200</v>
      </c>
      <c r="AB22" s="8" t="s">
        <v>86</v>
      </c>
      <c r="AC22" s="5">
        <f t="shared" ref="AC22:AC39" si="3">Z22+AA22</f>
        <v>1999.9996399999995</v>
      </c>
      <c r="AD22" s="5">
        <f>VLOOKUP(A22,'[2]Tech Employees'!$A$2:$AB$39,24,0)</f>
        <v>1799.9996399999995</v>
      </c>
      <c r="AE22" s="5">
        <f>VLOOKUP(A22,'[2]Tech Employees'!$A$2:$AB$39,26,0)</f>
        <v>721.49985569999978</v>
      </c>
      <c r="AF22" s="5">
        <f t="shared" ref="AF22:AF39" si="4">AD22+AE22</f>
        <v>2521.4994956999994</v>
      </c>
      <c r="AG22" s="5">
        <f t="shared" ref="AG22:AG39" si="5">X22+AF22</f>
        <v>30000</v>
      </c>
      <c r="AH22" s="7">
        <f t="shared" ref="AH22:AH39" si="6">Y22-AC22</f>
        <v>25478.500864300004</v>
      </c>
      <c r="AI22" s="9" t="str">
        <f t="shared" si="0"/>
        <v>Twenty Five Thousand Four Hundred and Seventy Eight</v>
      </c>
    </row>
    <row r="23" spans="1:35" x14ac:dyDescent="0.35">
      <c r="A23" s="10" t="s">
        <v>92</v>
      </c>
      <c r="B23" s="10" t="s">
        <v>93</v>
      </c>
      <c r="C23" s="3" t="s">
        <v>124</v>
      </c>
      <c r="D23" s="11" t="s">
        <v>68</v>
      </c>
      <c r="E23" s="9" t="s">
        <v>72</v>
      </c>
      <c r="F23" s="9" t="s">
        <v>73</v>
      </c>
      <c r="G23" s="12">
        <v>801663119</v>
      </c>
      <c r="H23" s="12" t="s">
        <v>126</v>
      </c>
      <c r="I23" s="12">
        <v>101577152605</v>
      </c>
      <c r="K23" s="13" t="s">
        <v>138</v>
      </c>
      <c r="L23" s="3" t="s">
        <v>139</v>
      </c>
      <c r="M23" s="9">
        <v>30</v>
      </c>
      <c r="N23" s="9">
        <v>0</v>
      </c>
      <c r="O23" s="13" t="s">
        <v>138</v>
      </c>
      <c r="P23" s="5">
        <f>VLOOKUP(A23,'[2]Tech Employees'!$A$2:$AB$39,9,0)</f>
        <v>24999.994999999995</v>
      </c>
      <c r="Q23" s="5">
        <f>VLOOKUP(A23,'[2]Tech Employees'!$A$2:$L$39,9,0)</f>
        <v>24999.994999999995</v>
      </c>
      <c r="R23" s="5">
        <f>VLOOKUP(A23,'[2]Tech Employees'!$A$2:$AB$39,10,0)</f>
        <v>12499.997499999998</v>
      </c>
      <c r="S23" s="5">
        <f>VLOOKUP(A23,'[2]Tech Employees'!$A$2:$L$39,10,0)</f>
        <v>12499.997499999998</v>
      </c>
      <c r="T23" s="5">
        <f>VLOOKUP(A23,'[2]Tech Employees'!$A$2:$AB$39,11,0)</f>
        <v>1600</v>
      </c>
      <c r="U23" s="5">
        <f>VLOOKUP(A23,'[2]Tech Employees'!$A$2:$L$39,11,0)</f>
        <v>1600</v>
      </c>
      <c r="V23" s="5">
        <f>VLOOKUP(A23,'[2]Tech Employees'!$A$2:$AB$39,12,0)</f>
        <v>7897.5077405000047</v>
      </c>
      <c r="W23" s="5">
        <f>VLOOKUP(A23,'[2]Tech Employees'!$A$2:$L$39,12,0)</f>
        <v>7897.5077405000047</v>
      </c>
      <c r="X23" s="5">
        <f t="shared" si="1"/>
        <v>46997.500240499998</v>
      </c>
      <c r="Y23" s="5">
        <f t="shared" si="2"/>
        <v>46997.500240499998</v>
      </c>
      <c r="Z23" s="5">
        <f>VLOOKUP(A23,'[2]Tech Employees'!$A$2:$AB$39,14,0)</f>
        <v>1800</v>
      </c>
      <c r="AA23" s="5">
        <v>200</v>
      </c>
      <c r="AB23" s="8" t="s">
        <v>86</v>
      </c>
      <c r="AC23" s="5">
        <f t="shared" si="3"/>
        <v>2000</v>
      </c>
      <c r="AD23" s="5">
        <f>VLOOKUP(A23,'[2]Tech Employees'!$A$2:$AB$39,24,0)</f>
        <v>1800</v>
      </c>
      <c r="AE23" s="5">
        <f>VLOOKUP(A23,'[2]Tech Employees'!$A$2:$AB$39,26,0)</f>
        <v>1202.4997594999998</v>
      </c>
      <c r="AF23" s="5">
        <f t="shared" si="4"/>
        <v>3002.4997594999995</v>
      </c>
      <c r="AG23" s="5">
        <f t="shared" si="5"/>
        <v>50000</v>
      </c>
      <c r="AH23" s="7">
        <f t="shared" si="6"/>
        <v>44997.500240499998</v>
      </c>
      <c r="AI23" s="9" t="str">
        <f t="shared" si="0"/>
        <v>Forty Four Thousand Nine Hundred and Ninety Seven</v>
      </c>
    </row>
    <row r="24" spans="1:35" ht="29" x14ac:dyDescent="0.35">
      <c r="A24" s="10" t="s">
        <v>94</v>
      </c>
      <c r="B24" s="10" t="s">
        <v>95</v>
      </c>
      <c r="C24" s="3" t="s">
        <v>77</v>
      </c>
      <c r="D24" s="11" t="s">
        <v>141</v>
      </c>
      <c r="E24" s="9" t="s">
        <v>72</v>
      </c>
      <c r="F24" s="9" t="s">
        <v>73</v>
      </c>
      <c r="G24" s="12">
        <v>55560103431927</v>
      </c>
      <c r="H24" s="12" t="s">
        <v>127</v>
      </c>
      <c r="I24" s="12">
        <v>102241197755</v>
      </c>
      <c r="K24" s="13" t="s">
        <v>138</v>
      </c>
      <c r="L24" s="3" t="s">
        <v>139</v>
      </c>
      <c r="M24" s="9">
        <v>29</v>
      </c>
      <c r="N24" s="9">
        <v>1</v>
      </c>
      <c r="O24" s="13" t="s">
        <v>138</v>
      </c>
      <c r="P24" s="5">
        <f>VLOOKUP(A24,'[2]Tech Employees'!$A$2:$AB$39,9,0)</f>
        <v>11103.446055172411</v>
      </c>
      <c r="Q24" s="5">
        <f>VLOOKUP(A24,'[2]Tech Employees'!$A$2:$L$39,9,0)</f>
        <v>11103.446055172411</v>
      </c>
      <c r="R24" s="5">
        <f>VLOOKUP(A24,'[2]Tech Employees'!$A$2:$AB$39,10,0)</f>
        <v>5551.7230275862057</v>
      </c>
      <c r="S24" s="5">
        <f>VLOOKUP(A24,'[2]Tech Employees'!$A$2:$L$39,10,0)</f>
        <v>5551.7230275862057</v>
      </c>
      <c r="T24" s="5">
        <f>VLOOKUP(A24,'[2]Tech Employees'!$A$2:$AB$39,11,0)</f>
        <v>1544.8275862068965</v>
      </c>
      <c r="U24" s="5">
        <f>VLOOKUP(A24,'[2]Tech Employees'!$A$2:$L$39,11,0)</f>
        <v>1544.8275862068965</v>
      </c>
      <c r="V24" s="5">
        <f>VLOOKUP(A24,'[2]Tech Employees'!$A$2:$AB$39,12,0)</f>
        <v>2186.3558949055423</v>
      </c>
      <c r="W24" s="5">
        <f>VLOOKUP(A24,'[2]Tech Employees'!$A$2:$L$39,12,0)</f>
        <v>2186.3558949055423</v>
      </c>
      <c r="X24" s="5">
        <f t="shared" si="1"/>
        <v>20386.352563871056</v>
      </c>
      <c r="Y24" s="5">
        <f t="shared" si="2"/>
        <v>20386.352563871056</v>
      </c>
      <c r="Z24" s="5">
        <f>VLOOKUP(A24,'[2]Tech Employees'!$A$2:$AB$39,14,0)</f>
        <v>1332.4135266206893</v>
      </c>
      <c r="AA24" s="5">
        <v>200</v>
      </c>
      <c r="AB24" s="8" t="s">
        <v>86</v>
      </c>
      <c r="AC24" s="5">
        <f t="shared" si="3"/>
        <v>1532.4135266206893</v>
      </c>
      <c r="AD24" s="5">
        <f>VLOOKUP(A24,'[2]Tech Employees'!$A$2:$AB$39,24,0)</f>
        <v>1332.4135266206893</v>
      </c>
      <c r="AE24" s="5">
        <f>VLOOKUP(A24,'[2]Tech Employees'!$A$2:$AB$39,26,0)</f>
        <v>534.07575525379298</v>
      </c>
      <c r="AF24" s="5">
        <f t="shared" si="4"/>
        <v>1866.4892818744822</v>
      </c>
      <c r="AG24" s="5">
        <f t="shared" si="5"/>
        <v>22252.841845745537</v>
      </c>
      <c r="AH24" s="7">
        <f t="shared" si="6"/>
        <v>18853.939037250366</v>
      </c>
      <c r="AI24" s="9" t="str">
        <f t="shared" si="0"/>
        <v>Eighteen Thousand Eight Hundred and Fifty Three</v>
      </c>
    </row>
    <row r="25" spans="1:35" ht="29" x14ac:dyDescent="0.35">
      <c r="A25" s="10" t="s">
        <v>96</v>
      </c>
      <c r="B25" s="10" t="s">
        <v>97</v>
      </c>
      <c r="C25" s="3" t="s">
        <v>124</v>
      </c>
      <c r="D25" s="11" t="s">
        <v>142</v>
      </c>
      <c r="E25" s="9" t="s">
        <v>72</v>
      </c>
      <c r="F25" s="9" t="s">
        <v>73</v>
      </c>
      <c r="G25" s="12">
        <v>55560103536675</v>
      </c>
      <c r="H25" s="12" t="s">
        <v>128</v>
      </c>
      <c r="I25" s="12">
        <v>102260670501</v>
      </c>
      <c r="K25" s="13" t="s">
        <v>138</v>
      </c>
      <c r="L25" s="3" t="s">
        <v>139</v>
      </c>
      <c r="M25" s="9">
        <v>30</v>
      </c>
      <c r="N25" s="9">
        <v>0</v>
      </c>
      <c r="O25" s="13" t="s">
        <v>138</v>
      </c>
      <c r="P25" s="5">
        <f>VLOOKUP(A25,'[2]Tech Employees'!$A$2:$AB$39,9,0)</f>
        <v>7499.9984999999988</v>
      </c>
      <c r="Q25" s="5">
        <f>VLOOKUP(A25,'[2]Tech Employees'!$A$2:$L$39,9,0)</f>
        <v>7499.9984999999988</v>
      </c>
      <c r="R25" s="5">
        <f>VLOOKUP(A25,'[2]Tech Employees'!$A$2:$AB$39,10,0)</f>
        <v>3749.9992499999994</v>
      </c>
      <c r="S25" s="5">
        <f>VLOOKUP(A25,'[2]Tech Employees'!$A$2:$L$39,10,0)</f>
        <v>3749.9992499999994</v>
      </c>
      <c r="T25" s="5">
        <f>VLOOKUP(A25,'[2]Tech Employees'!$A$2:$AB$39,11,0)</f>
        <v>1600</v>
      </c>
      <c r="U25" s="5">
        <f>VLOOKUP(A25,'[2]Tech Employees'!$A$2:$L$39,11,0)</f>
        <v>1600</v>
      </c>
      <c r="V25" s="5">
        <f>VLOOKUP(A25,'[2]Tech Employees'!$A$2:$AB$39,12,0)</f>
        <v>889.25250215000278</v>
      </c>
      <c r="W25" s="5">
        <f>VLOOKUP(A25,'[2]Tech Employees'!$A$2:$L$39,12,0)</f>
        <v>889.25250215000278</v>
      </c>
      <c r="X25" s="5">
        <f t="shared" si="1"/>
        <v>13739.250252150001</v>
      </c>
      <c r="Y25" s="5">
        <f t="shared" si="2"/>
        <v>13739.250252150001</v>
      </c>
      <c r="Z25" s="5">
        <f>VLOOKUP(A25,'[2]Tech Employees'!$A$2:$AB$39,14,0)</f>
        <v>899.99981999999977</v>
      </c>
      <c r="AA25" s="5">
        <v>150</v>
      </c>
      <c r="AB25" s="8" t="s">
        <v>86</v>
      </c>
      <c r="AC25" s="5">
        <f t="shared" si="3"/>
        <v>1049.9998199999998</v>
      </c>
      <c r="AD25" s="5">
        <f>VLOOKUP(A25,'[2]Tech Employees'!$A$2:$AB$39,24,0)</f>
        <v>899.99981999999977</v>
      </c>
      <c r="AE25" s="5">
        <f>VLOOKUP(A25,'[2]Tech Employees'!$A$2:$AB$39,26,0)</f>
        <v>360.74992784999989</v>
      </c>
      <c r="AF25" s="5">
        <f t="shared" si="4"/>
        <v>1260.7497478499997</v>
      </c>
      <c r="AG25" s="5">
        <f t="shared" si="5"/>
        <v>15000</v>
      </c>
      <c r="AH25" s="7">
        <f t="shared" si="6"/>
        <v>12689.250432150002</v>
      </c>
      <c r="AI25" s="9" t="str">
        <f t="shared" si="0"/>
        <v>Twelve Thousand Six Hundred and Eighty Nine</v>
      </c>
    </row>
    <row r="26" spans="1:35" ht="29" x14ac:dyDescent="0.35">
      <c r="A26" s="10" t="s">
        <v>98</v>
      </c>
      <c r="B26" s="10" t="s">
        <v>99</v>
      </c>
      <c r="C26" s="3" t="s">
        <v>124</v>
      </c>
      <c r="D26" s="11" t="s">
        <v>142</v>
      </c>
      <c r="E26" s="9" t="s">
        <v>72</v>
      </c>
      <c r="F26" s="9" t="s">
        <v>73</v>
      </c>
      <c r="G26" s="12">
        <v>110240929810</v>
      </c>
      <c r="H26" s="12" t="s">
        <v>129</v>
      </c>
      <c r="I26" s="12">
        <v>102241771762</v>
      </c>
      <c r="K26" s="13" t="s">
        <v>138</v>
      </c>
      <c r="L26" s="3" t="s">
        <v>139</v>
      </c>
      <c r="M26" s="9">
        <v>30</v>
      </c>
      <c r="N26" s="9">
        <v>0</v>
      </c>
      <c r="O26" s="13" t="s">
        <v>138</v>
      </c>
      <c r="P26" s="5">
        <f>VLOOKUP(A26,'[2]Tech Employees'!$A$2:$AB$39,9,0)</f>
        <v>7499.9984999999988</v>
      </c>
      <c r="Q26" s="5">
        <f>VLOOKUP(A26,'[2]Tech Employees'!$A$2:$L$39,9,0)</f>
        <v>7499.9984999999988</v>
      </c>
      <c r="R26" s="5">
        <f>VLOOKUP(A26,'[2]Tech Employees'!$A$2:$AB$39,10,0)</f>
        <v>3749.9992499999994</v>
      </c>
      <c r="S26" s="5">
        <f>VLOOKUP(A26,'[2]Tech Employees'!$A$2:$L$39,10,0)</f>
        <v>3749.9992499999994</v>
      </c>
      <c r="T26" s="5">
        <f>VLOOKUP(A26,'[2]Tech Employees'!$A$2:$AB$39,11,0)</f>
        <v>1600</v>
      </c>
      <c r="U26" s="5">
        <f>VLOOKUP(A26,'[2]Tech Employees'!$A$2:$L$39,11,0)</f>
        <v>1600</v>
      </c>
      <c r="V26" s="5">
        <f>VLOOKUP(A26,'[2]Tech Employees'!$A$2:$AB$39,12,0)</f>
        <v>889.25250215000278</v>
      </c>
      <c r="W26" s="5">
        <f>VLOOKUP(A26,'[2]Tech Employees'!$A$2:$L$39,12,0)</f>
        <v>889.25250215000278</v>
      </c>
      <c r="X26" s="5">
        <f t="shared" si="1"/>
        <v>13739.250252150001</v>
      </c>
      <c r="Y26" s="5">
        <f t="shared" si="2"/>
        <v>13739.250252150001</v>
      </c>
      <c r="Z26" s="5">
        <f>VLOOKUP(A26,'[2]Tech Employees'!$A$2:$AB$39,14,0)</f>
        <v>899.99981999999977</v>
      </c>
      <c r="AA26" s="5">
        <v>150</v>
      </c>
      <c r="AB26" s="8" t="s">
        <v>86</v>
      </c>
      <c r="AC26" s="5">
        <f t="shared" si="3"/>
        <v>1049.9998199999998</v>
      </c>
      <c r="AD26" s="5">
        <f>VLOOKUP(A26,'[2]Tech Employees'!$A$2:$AB$39,24,0)</f>
        <v>899.99981999999977</v>
      </c>
      <c r="AE26" s="5">
        <f>VLOOKUP(A26,'[2]Tech Employees'!$A$2:$AB$39,26,0)</f>
        <v>360.74992784999989</v>
      </c>
      <c r="AF26" s="5">
        <f t="shared" si="4"/>
        <v>1260.7497478499997</v>
      </c>
      <c r="AG26" s="5">
        <f t="shared" si="5"/>
        <v>15000</v>
      </c>
      <c r="AH26" s="7">
        <f t="shared" si="6"/>
        <v>12689.250432150002</v>
      </c>
      <c r="AI26" s="9" t="str">
        <f t="shared" si="0"/>
        <v>Twelve Thousand Six Hundred and Eighty Nine</v>
      </c>
    </row>
    <row r="27" spans="1:35" ht="29" x14ac:dyDescent="0.35">
      <c r="A27" s="10" t="s">
        <v>100</v>
      </c>
      <c r="B27" s="10" t="s">
        <v>101</v>
      </c>
      <c r="C27" s="3" t="s">
        <v>124</v>
      </c>
      <c r="D27" s="11" t="s">
        <v>142</v>
      </c>
      <c r="E27" s="9" t="s">
        <v>72</v>
      </c>
      <c r="F27" s="9" t="s">
        <v>73</v>
      </c>
      <c r="G27" s="12">
        <v>386701504229</v>
      </c>
      <c r="H27" s="12" t="s">
        <v>130</v>
      </c>
      <c r="I27" s="12">
        <v>101865114927</v>
      </c>
      <c r="K27" s="13" t="s">
        <v>138</v>
      </c>
      <c r="L27" s="3" t="s">
        <v>139</v>
      </c>
      <c r="M27" s="9">
        <v>30</v>
      </c>
      <c r="N27" s="9">
        <v>0</v>
      </c>
      <c r="O27" s="13" t="s">
        <v>138</v>
      </c>
      <c r="P27" s="5">
        <f>VLOOKUP(A27,'[2]Tech Employees'!$A$2:$AB$39,9,0)</f>
        <v>7499.9984999999988</v>
      </c>
      <c r="Q27" s="5">
        <f>VLOOKUP(A27,'[2]Tech Employees'!$A$2:$L$39,9,0)</f>
        <v>7499.9984999999988</v>
      </c>
      <c r="R27" s="5">
        <f>VLOOKUP(A27,'[2]Tech Employees'!$A$2:$AB$39,10,0)</f>
        <v>3749.9992499999994</v>
      </c>
      <c r="S27" s="5">
        <f>VLOOKUP(A27,'[2]Tech Employees'!$A$2:$L$39,10,0)</f>
        <v>3749.9992499999994</v>
      </c>
      <c r="T27" s="5">
        <f>VLOOKUP(A27,'[2]Tech Employees'!$A$2:$AB$39,11,0)</f>
        <v>1600</v>
      </c>
      <c r="U27" s="5">
        <f>VLOOKUP(A27,'[2]Tech Employees'!$A$2:$L$39,11,0)</f>
        <v>1600</v>
      </c>
      <c r="V27" s="5">
        <f>VLOOKUP(A27,'[2]Tech Employees'!$A$2:$AB$39,12,0)</f>
        <v>889.25250215000278</v>
      </c>
      <c r="W27" s="5">
        <f>VLOOKUP(A27,'[2]Tech Employees'!$A$2:$L$39,12,0)</f>
        <v>889.25250215000278</v>
      </c>
      <c r="X27" s="5">
        <f t="shared" si="1"/>
        <v>13739.250252150001</v>
      </c>
      <c r="Y27" s="5">
        <f t="shared" si="2"/>
        <v>13739.250252150001</v>
      </c>
      <c r="Z27" s="5">
        <f>VLOOKUP(A27,'[2]Tech Employees'!$A$2:$AB$39,14,0)</f>
        <v>899.99981999999977</v>
      </c>
      <c r="AA27" s="5">
        <v>150</v>
      </c>
      <c r="AB27" s="8" t="s">
        <v>86</v>
      </c>
      <c r="AC27" s="5">
        <f t="shared" si="3"/>
        <v>1049.9998199999998</v>
      </c>
      <c r="AD27" s="5">
        <f>VLOOKUP(A27,'[2]Tech Employees'!$A$2:$AB$39,24,0)</f>
        <v>899.99981999999977</v>
      </c>
      <c r="AE27" s="5">
        <f>VLOOKUP(A27,'[2]Tech Employees'!$A$2:$AB$39,26,0)</f>
        <v>360.74992784999989</v>
      </c>
      <c r="AF27" s="5">
        <f t="shared" si="4"/>
        <v>1260.7497478499997</v>
      </c>
      <c r="AG27" s="5">
        <f t="shared" si="5"/>
        <v>15000</v>
      </c>
      <c r="AH27" s="7">
        <f t="shared" si="6"/>
        <v>12689.250432150002</v>
      </c>
      <c r="AI27" s="9" t="str">
        <f t="shared" si="0"/>
        <v>Twelve Thousand Six Hundred and Eighty Nine</v>
      </c>
    </row>
    <row r="28" spans="1:35" ht="29" x14ac:dyDescent="0.35">
      <c r="A28" s="10" t="s">
        <v>102</v>
      </c>
      <c r="B28" s="10" t="s">
        <v>103</v>
      </c>
      <c r="C28" s="3" t="s">
        <v>124</v>
      </c>
      <c r="D28" s="11" t="s">
        <v>142</v>
      </c>
      <c r="E28" s="9" t="s">
        <v>72</v>
      </c>
      <c r="F28" s="9" t="s">
        <v>73</v>
      </c>
      <c r="G28" s="12">
        <v>44652833670</v>
      </c>
      <c r="H28" s="12" t="s">
        <v>131</v>
      </c>
      <c r="I28" s="12">
        <v>101496699678</v>
      </c>
      <c r="K28" s="13" t="s">
        <v>138</v>
      </c>
      <c r="L28" s="3" t="s">
        <v>139</v>
      </c>
      <c r="M28" s="9">
        <v>30</v>
      </c>
      <c r="N28" s="9">
        <v>2</v>
      </c>
      <c r="O28" s="13" t="s">
        <v>138</v>
      </c>
      <c r="P28" s="5">
        <f>VLOOKUP(A28,'[2]Tech Employees'!$A$2:$AB$39,9,0)</f>
        <v>6999.998599999999</v>
      </c>
      <c r="Q28" s="5">
        <f>VLOOKUP(A28,'[2]Tech Employees'!$A$2:$L$39,9,0)</f>
        <v>6999.998599999999</v>
      </c>
      <c r="R28" s="5">
        <f>VLOOKUP(A28,'[2]Tech Employees'!$A$2:$AB$39,10,0)</f>
        <v>3499.9992999999995</v>
      </c>
      <c r="S28" s="5">
        <f>VLOOKUP(A28,'[2]Tech Employees'!$A$2:$L$39,10,0)</f>
        <v>3499.9992999999995</v>
      </c>
      <c r="T28" s="5">
        <f>VLOOKUP(A28,'[2]Tech Employees'!$A$2:$AB$39,11,0)</f>
        <v>1493.3333333333335</v>
      </c>
      <c r="U28" s="5">
        <f>VLOOKUP(A28,'[2]Tech Employees'!$A$2:$L$39,11,0)</f>
        <v>1493.3333333333335</v>
      </c>
      <c r="V28" s="5">
        <f>VLOOKUP(A28,'[2]Tech Employees'!$A$2:$AB$39,12,0)</f>
        <v>885.9689908066689</v>
      </c>
      <c r="W28" s="5">
        <f>VLOOKUP(A28,'[2]Tech Employees'!$A$2:$L$39,12,0)</f>
        <v>885.9689908066689</v>
      </c>
      <c r="X28" s="5">
        <f t="shared" si="1"/>
        <v>12879.300224140001</v>
      </c>
      <c r="Y28" s="5">
        <f t="shared" si="2"/>
        <v>12879.300224140001</v>
      </c>
      <c r="Z28" s="5">
        <f>VLOOKUP(A28,'[2]Tech Employees'!$A$2:$AB$39,14,0)</f>
        <v>839.99983199999986</v>
      </c>
      <c r="AA28" s="5">
        <v>150</v>
      </c>
      <c r="AB28" s="8" t="s">
        <v>86</v>
      </c>
      <c r="AC28" s="5">
        <f t="shared" si="3"/>
        <v>989.99983199999986</v>
      </c>
      <c r="AD28" s="5">
        <f>VLOOKUP(A28,'[2]Tech Employees'!$A$2:$AB$39,24,0)</f>
        <v>839.99983199999986</v>
      </c>
      <c r="AE28" s="5">
        <f>VLOOKUP(A28,'[2]Tech Employees'!$A$2:$AB$39,26,0)</f>
        <v>336.69993265999994</v>
      </c>
      <c r="AF28" s="5">
        <f t="shared" si="4"/>
        <v>1176.6997646599998</v>
      </c>
      <c r="AG28" s="5">
        <f t="shared" si="5"/>
        <v>14055.9999888</v>
      </c>
      <c r="AH28" s="7">
        <f t="shared" si="6"/>
        <v>11889.300392140001</v>
      </c>
      <c r="AI28" s="9" t="str">
        <f t="shared" si="0"/>
        <v>Eleven Thousand Eight Hundred and Eighty Nine</v>
      </c>
    </row>
    <row r="29" spans="1:35" ht="29" x14ac:dyDescent="0.35">
      <c r="A29" s="10" t="s">
        <v>104</v>
      </c>
      <c r="B29" s="10" t="s">
        <v>105</v>
      </c>
      <c r="C29" s="3" t="s">
        <v>124</v>
      </c>
      <c r="D29" s="11" t="s">
        <v>141</v>
      </c>
      <c r="E29" s="9" t="s">
        <v>72</v>
      </c>
      <c r="F29" s="9" t="s">
        <v>73</v>
      </c>
      <c r="G29" s="12">
        <v>520101254028703</v>
      </c>
      <c r="H29" s="12" t="s">
        <v>132</v>
      </c>
      <c r="I29" s="12">
        <v>101923719120</v>
      </c>
      <c r="K29" s="13" t="s">
        <v>138</v>
      </c>
      <c r="L29" s="3" t="s">
        <v>139</v>
      </c>
      <c r="M29" s="9">
        <v>30</v>
      </c>
      <c r="N29" s="9">
        <v>0</v>
      </c>
      <c r="O29" s="13" t="s">
        <v>138</v>
      </c>
      <c r="P29" s="5">
        <f>VLOOKUP(A29,'[2]Tech Employees'!$A$2:$AB$39,9,0)</f>
        <v>7499.9984999999988</v>
      </c>
      <c r="Q29" s="5">
        <f>VLOOKUP(A29,'[2]Tech Employees'!$A$2:$L$39,9,0)</f>
        <v>7499.9984999999988</v>
      </c>
      <c r="R29" s="5">
        <f>VLOOKUP(A29,'[2]Tech Employees'!$A$2:$AB$39,10,0)</f>
        <v>3749.9992499999994</v>
      </c>
      <c r="S29" s="5">
        <f>VLOOKUP(A29,'[2]Tech Employees'!$A$2:$L$39,10,0)</f>
        <v>3749.9992499999994</v>
      </c>
      <c r="T29" s="5">
        <f>VLOOKUP(A29,'[2]Tech Employees'!$A$2:$AB$39,11,0)</f>
        <v>1600</v>
      </c>
      <c r="U29" s="5">
        <f>VLOOKUP(A29,'[2]Tech Employees'!$A$2:$L$39,11,0)</f>
        <v>1600</v>
      </c>
      <c r="V29" s="5">
        <f>VLOOKUP(A29,'[2]Tech Employees'!$A$2:$AB$39,12,0)</f>
        <v>889.25250215000278</v>
      </c>
      <c r="W29" s="5">
        <f>VLOOKUP(A29,'[2]Tech Employees'!$A$2:$L$39,12,0)</f>
        <v>889.25250215000278</v>
      </c>
      <c r="X29" s="5">
        <f t="shared" si="1"/>
        <v>13739.250252150001</v>
      </c>
      <c r="Y29" s="5">
        <f t="shared" si="2"/>
        <v>13739.250252150001</v>
      </c>
      <c r="Z29" s="5">
        <f>VLOOKUP(A29,'[2]Tech Employees'!$A$2:$AB$39,14,0)</f>
        <v>899.99981999999977</v>
      </c>
      <c r="AA29" s="5">
        <v>150</v>
      </c>
      <c r="AB29" s="8" t="s">
        <v>86</v>
      </c>
      <c r="AC29" s="5">
        <f t="shared" si="3"/>
        <v>1049.9998199999998</v>
      </c>
      <c r="AD29" s="5">
        <f>VLOOKUP(A29,'[2]Tech Employees'!$A$2:$AB$39,24,0)</f>
        <v>899.99981999999977</v>
      </c>
      <c r="AE29" s="5">
        <f>VLOOKUP(A29,'[2]Tech Employees'!$A$2:$AB$39,26,0)</f>
        <v>360.74992784999989</v>
      </c>
      <c r="AF29" s="5">
        <f t="shared" si="4"/>
        <v>1260.7497478499997</v>
      </c>
      <c r="AG29" s="5">
        <f t="shared" si="5"/>
        <v>15000</v>
      </c>
      <c r="AH29" s="7">
        <f t="shared" si="6"/>
        <v>12689.250432150002</v>
      </c>
      <c r="AI29" s="9" t="str">
        <f t="shared" si="0"/>
        <v>Twelve Thousand Six Hundred and Eighty Nine</v>
      </c>
    </row>
    <row r="30" spans="1:35" ht="29" x14ac:dyDescent="0.35">
      <c r="A30" s="10" t="s">
        <v>106</v>
      </c>
      <c r="B30" s="10" t="s">
        <v>107</v>
      </c>
      <c r="C30" s="3" t="s">
        <v>124</v>
      </c>
      <c r="D30" s="11" t="s">
        <v>141</v>
      </c>
      <c r="E30" s="9" t="s">
        <v>72</v>
      </c>
      <c r="F30" s="9" t="s">
        <v>73</v>
      </c>
      <c r="G30" s="12">
        <v>263812010000686</v>
      </c>
      <c r="H30" s="12" t="s">
        <v>132</v>
      </c>
      <c r="I30" s="12">
        <v>102273733458</v>
      </c>
      <c r="K30" s="13" t="s">
        <v>138</v>
      </c>
      <c r="L30" s="3" t="s">
        <v>139</v>
      </c>
      <c r="M30" s="9">
        <v>30</v>
      </c>
      <c r="N30" s="9">
        <v>0</v>
      </c>
      <c r="O30" s="13" t="s">
        <v>138</v>
      </c>
      <c r="P30" s="5">
        <f>VLOOKUP(A30,'[2]Tech Employees'!$A$2:$AB$39,9,0)</f>
        <v>7499.9984999999988</v>
      </c>
      <c r="Q30" s="5">
        <f>VLOOKUP(A30,'[2]Tech Employees'!$A$2:$L$39,9,0)</f>
        <v>7499.9984999999988</v>
      </c>
      <c r="R30" s="5">
        <f>VLOOKUP(A30,'[2]Tech Employees'!$A$2:$AB$39,10,0)</f>
        <v>3749.9992499999994</v>
      </c>
      <c r="S30" s="5">
        <f>VLOOKUP(A30,'[2]Tech Employees'!$A$2:$L$39,10,0)</f>
        <v>3749.9992499999994</v>
      </c>
      <c r="T30" s="5">
        <f>VLOOKUP(A30,'[2]Tech Employees'!$A$2:$AB$39,11,0)</f>
        <v>1600</v>
      </c>
      <c r="U30" s="5">
        <f>VLOOKUP(A30,'[2]Tech Employees'!$A$2:$L$39,11,0)</f>
        <v>1600</v>
      </c>
      <c r="V30" s="5">
        <f>VLOOKUP(A30,'[2]Tech Employees'!$A$2:$AB$39,12,0)</f>
        <v>889.25250215000278</v>
      </c>
      <c r="W30" s="5">
        <f>VLOOKUP(A30,'[2]Tech Employees'!$A$2:$L$39,12,0)</f>
        <v>889.25250215000278</v>
      </c>
      <c r="X30" s="5">
        <f t="shared" si="1"/>
        <v>13739.250252150001</v>
      </c>
      <c r="Y30" s="5">
        <f t="shared" si="2"/>
        <v>13739.250252150001</v>
      </c>
      <c r="Z30" s="5">
        <f>VLOOKUP(A30,'[2]Tech Employees'!$A$2:$AB$39,14,0)</f>
        <v>899.99981999999977</v>
      </c>
      <c r="AA30" s="5">
        <v>150</v>
      </c>
      <c r="AB30" s="8" t="s">
        <v>86</v>
      </c>
      <c r="AC30" s="5">
        <f t="shared" si="3"/>
        <v>1049.9998199999998</v>
      </c>
      <c r="AD30" s="5">
        <f>VLOOKUP(A30,'[2]Tech Employees'!$A$2:$AB$39,24,0)</f>
        <v>899.99981999999977</v>
      </c>
      <c r="AE30" s="5">
        <f>VLOOKUP(A30,'[2]Tech Employees'!$A$2:$AB$39,26,0)</f>
        <v>360.74992784999989</v>
      </c>
      <c r="AF30" s="5">
        <f t="shared" si="4"/>
        <v>1260.7497478499997</v>
      </c>
      <c r="AG30" s="5">
        <f t="shared" si="5"/>
        <v>15000</v>
      </c>
      <c r="AH30" s="7">
        <f t="shared" si="6"/>
        <v>12689.250432150002</v>
      </c>
      <c r="AI30" s="9" t="str">
        <f t="shared" si="0"/>
        <v>Twelve Thousand Six Hundred and Eighty Nine</v>
      </c>
    </row>
    <row r="31" spans="1:35" x14ac:dyDescent="0.35">
      <c r="A31" s="10" t="s">
        <v>108</v>
      </c>
      <c r="B31" s="10" t="s">
        <v>109</v>
      </c>
      <c r="C31" s="3" t="s">
        <v>124</v>
      </c>
      <c r="D31" s="11" t="s">
        <v>66</v>
      </c>
      <c r="E31" s="9" t="s">
        <v>72</v>
      </c>
      <c r="F31" s="9" t="s">
        <v>73</v>
      </c>
      <c r="G31" s="12">
        <v>20086309269</v>
      </c>
      <c r="H31" s="12" t="s">
        <v>133</v>
      </c>
      <c r="I31" s="12">
        <v>101878246332</v>
      </c>
      <c r="K31" s="13" t="s">
        <v>138</v>
      </c>
      <c r="L31" s="3" t="s">
        <v>139</v>
      </c>
      <c r="M31" s="9">
        <v>30</v>
      </c>
      <c r="N31" s="9">
        <v>0</v>
      </c>
      <c r="O31" s="13" t="s">
        <v>138</v>
      </c>
      <c r="P31" s="5">
        <f>VLOOKUP(A31,'[2]Tech Employees'!$A$2:$AB$39,9,0)</f>
        <v>22499.995499999997</v>
      </c>
      <c r="Q31" s="5">
        <f>VLOOKUP(A31,'[2]Tech Employees'!$A$2:$L$39,9,0)</f>
        <v>22499.995499999997</v>
      </c>
      <c r="R31" s="5">
        <f>VLOOKUP(A31,'[2]Tech Employees'!$A$2:$AB$39,10,0)</f>
        <v>11249.997749999999</v>
      </c>
      <c r="S31" s="5">
        <f>VLOOKUP(A31,'[2]Tech Employees'!$A$2:$L$39,10,0)</f>
        <v>11249.997749999999</v>
      </c>
      <c r="T31" s="5">
        <f>VLOOKUP(A31,'[2]Tech Employees'!$A$2:$AB$39,11,0)</f>
        <v>1600</v>
      </c>
      <c r="U31" s="5">
        <f>VLOOKUP(A31,'[2]Tech Employees'!$A$2:$L$39,11,0)</f>
        <v>1600</v>
      </c>
      <c r="V31" s="5">
        <f>VLOOKUP(A31,'[2]Tech Employees'!$A$2:$AB$39,12,0)</f>
        <v>6767.7569664500079</v>
      </c>
      <c r="W31" s="5">
        <f>VLOOKUP(A31,'[2]Tech Employees'!$A$2:$L$39,12,0)</f>
        <v>6767.7569664500079</v>
      </c>
      <c r="X31" s="5">
        <f t="shared" si="1"/>
        <v>42117.750216450004</v>
      </c>
      <c r="Y31" s="5">
        <f t="shared" si="2"/>
        <v>42117.750216450004</v>
      </c>
      <c r="Z31" s="5">
        <f>VLOOKUP(A31,'[2]Tech Employees'!$A$2:$AB$39,14,0)</f>
        <v>1800</v>
      </c>
      <c r="AA31" s="5">
        <v>200</v>
      </c>
      <c r="AB31" s="8" t="s">
        <v>86</v>
      </c>
      <c r="AC31" s="5">
        <f t="shared" si="3"/>
        <v>2000</v>
      </c>
      <c r="AD31" s="5">
        <f>VLOOKUP(A31,'[2]Tech Employees'!$A$2:$AB$39,24,0)</f>
        <v>1800</v>
      </c>
      <c r="AE31" s="5">
        <f>VLOOKUP(A31,'[2]Tech Employees'!$A$2:$AB$39,26,0)</f>
        <v>1082.2497835499998</v>
      </c>
      <c r="AF31" s="5">
        <f t="shared" si="4"/>
        <v>2882.2497835499998</v>
      </c>
      <c r="AG31" s="5">
        <f t="shared" si="5"/>
        <v>45000</v>
      </c>
      <c r="AH31" s="7">
        <f t="shared" si="6"/>
        <v>40117.750216450004</v>
      </c>
      <c r="AI31" s="9" t="str">
        <f t="shared" si="0"/>
        <v>Forty  Thousand One Hundred and Seventeen</v>
      </c>
    </row>
    <row r="32" spans="1:35" x14ac:dyDescent="0.35">
      <c r="A32" s="10" t="s">
        <v>110</v>
      </c>
      <c r="B32" s="10" t="s">
        <v>111</v>
      </c>
      <c r="C32" s="3" t="s">
        <v>124</v>
      </c>
      <c r="D32" s="11" t="s">
        <v>66</v>
      </c>
      <c r="E32" s="9" t="s">
        <v>72</v>
      </c>
      <c r="F32" s="9" t="s">
        <v>73</v>
      </c>
      <c r="G32" s="12">
        <v>37097117593</v>
      </c>
      <c r="H32" s="12" t="s">
        <v>134</v>
      </c>
      <c r="I32" s="12">
        <v>102318333072</v>
      </c>
      <c r="K32" s="13" t="s">
        <v>138</v>
      </c>
      <c r="L32" s="3" t="s">
        <v>139</v>
      </c>
      <c r="M32" s="9">
        <v>30</v>
      </c>
      <c r="N32" s="9">
        <v>0</v>
      </c>
      <c r="O32" s="13" t="s">
        <v>138</v>
      </c>
      <c r="P32" s="5">
        <f>VLOOKUP(A32,'[2]Tech Employees'!$A$2:$AB$39,9,0)</f>
        <v>22499.995499999997</v>
      </c>
      <c r="Q32" s="5">
        <f>VLOOKUP(A32,'[2]Tech Employees'!$A$2:$L$39,9,0)</f>
        <v>22499.995499999997</v>
      </c>
      <c r="R32" s="5">
        <f>VLOOKUP(A32,'[2]Tech Employees'!$A$2:$AB$39,10,0)</f>
        <v>11249.997749999999</v>
      </c>
      <c r="S32" s="5">
        <f>VLOOKUP(A32,'[2]Tech Employees'!$A$2:$L$39,10,0)</f>
        <v>11249.997749999999</v>
      </c>
      <c r="T32" s="5">
        <f>VLOOKUP(A32,'[2]Tech Employees'!$A$2:$AB$39,11,0)</f>
        <v>1600</v>
      </c>
      <c r="U32" s="5">
        <f>VLOOKUP(A32,'[2]Tech Employees'!$A$2:$L$39,11,0)</f>
        <v>1600</v>
      </c>
      <c r="V32" s="5">
        <f>VLOOKUP(A32,'[2]Tech Employees'!$A$2:$AB$39,12,0)</f>
        <v>6767.7569664500079</v>
      </c>
      <c r="W32" s="5">
        <f>VLOOKUP(A32,'[2]Tech Employees'!$A$2:$L$39,12,0)</f>
        <v>6767.7569664500079</v>
      </c>
      <c r="X32" s="5">
        <f t="shared" si="1"/>
        <v>42117.750216450004</v>
      </c>
      <c r="Y32" s="5">
        <f t="shared" si="2"/>
        <v>42117.750216450004</v>
      </c>
      <c r="Z32" s="5">
        <f>VLOOKUP(A32,'[2]Tech Employees'!$A$2:$AB$39,14,0)</f>
        <v>1800</v>
      </c>
      <c r="AA32" s="5">
        <v>200</v>
      </c>
      <c r="AB32" s="8" t="s">
        <v>86</v>
      </c>
      <c r="AC32" s="5">
        <f t="shared" si="3"/>
        <v>2000</v>
      </c>
      <c r="AD32" s="5">
        <f>VLOOKUP(A32,'[2]Tech Employees'!$A$2:$AB$39,24,0)</f>
        <v>1800</v>
      </c>
      <c r="AE32" s="5">
        <f>VLOOKUP(A32,'[2]Tech Employees'!$A$2:$AB$39,26,0)</f>
        <v>1082.2497835499998</v>
      </c>
      <c r="AF32" s="5">
        <f t="shared" si="4"/>
        <v>2882.2497835499998</v>
      </c>
      <c r="AG32" s="5">
        <f t="shared" si="5"/>
        <v>45000</v>
      </c>
      <c r="AH32" s="7">
        <f t="shared" si="6"/>
        <v>40117.750216450004</v>
      </c>
      <c r="AI32" s="9" t="str">
        <f t="shared" si="0"/>
        <v>Forty  Thousand One Hundred and Seventeen</v>
      </c>
    </row>
    <row r="33" spans="1:35" x14ac:dyDescent="0.35">
      <c r="A33" s="10" t="s">
        <v>112</v>
      </c>
      <c r="B33" s="10" t="s">
        <v>113</v>
      </c>
      <c r="C33" s="3" t="s">
        <v>124</v>
      </c>
      <c r="D33" s="11" t="s">
        <v>143</v>
      </c>
      <c r="E33" s="9" t="s">
        <v>72</v>
      </c>
      <c r="F33" s="9" t="s">
        <v>73</v>
      </c>
      <c r="G33" s="12">
        <v>62478238609</v>
      </c>
      <c r="H33" s="12" t="s">
        <v>135</v>
      </c>
      <c r="I33" s="12">
        <v>102319543030</v>
      </c>
      <c r="K33" s="13" t="s">
        <v>138</v>
      </c>
      <c r="L33" s="3" t="s">
        <v>139</v>
      </c>
      <c r="M33" s="9">
        <v>30</v>
      </c>
      <c r="N33" s="9">
        <v>0</v>
      </c>
      <c r="O33" s="13" t="s">
        <v>138</v>
      </c>
      <c r="P33" s="5">
        <f>VLOOKUP(A33,'[2]Tech Employees'!$A$2:$AB$39,9,0)</f>
        <v>14999.996999999998</v>
      </c>
      <c r="Q33" s="5">
        <f>VLOOKUP(A33,'[2]Tech Employees'!$A$2:$L$39,9,0)</f>
        <v>14999.996999999998</v>
      </c>
      <c r="R33" s="5">
        <f>VLOOKUP(A33,'[2]Tech Employees'!$A$2:$AB$39,10,0)</f>
        <v>7499.9984999999988</v>
      </c>
      <c r="S33" s="5">
        <f>VLOOKUP(A33,'[2]Tech Employees'!$A$2:$L$39,10,0)</f>
        <v>7499.9984999999988</v>
      </c>
      <c r="T33" s="5">
        <f>VLOOKUP(A33,'[2]Tech Employees'!$A$2:$AB$39,11,0)</f>
        <v>1600</v>
      </c>
      <c r="U33" s="5">
        <f>VLOOKUP(A33,'[2]Tech Employees'!$A$2:$L$39,11,0)</f>
        <v>1600</v>
      </c>
      <c r="V33" s="5">
        <f>VLOOKUP(A33,'[2]Tech Employees'!$A$2:$AB$39,12,0)</f>
        <v>3378.5050043000056</v>
      </c>
      <c r="W33" s="5">
        <f>VLOOKUP(A33,'[2]Tech Employees'!$A$2:$L$39,12,0)</f>
        <v>3378.5050043000056</v>
      </c>
      <c r="X33" s="5">
        <f t="shared" si="1"/>
        <v>27478.500504300002</v>
      </c>
      <c r="Y33" s="5">
        <f t="shared" si="2"/>
        <v>27478.500504300002</v>
      </c>
      <c r="Z33" s="5">
        <f>VLOOKUP(A33,'[2]Tech Employees'!$A$2:$AB$39,14,0)</f>
        <v>1799.9996399999995</v>
      </c>
      <c r="AA33" s="5">
        <v>200</v>
      </c>
      <c r="AB33" s="8" t="s">
        <v>86</v>
      </c>
      <c r="AC33" s="5">
        <f t="shared" si="3"/>
        <v>1999.9996399999995</v>
      </c>
      <c r="AD33" s="5">
        <f>VLOOKUP(A33,'[2]Tech Employees'!$A$2:$AB$39,24,0)</f>
        <v>1799.9996399999995</v>
      </c>
      <c r="AE33" s="5">
        <f>VLOOKUP(A33,'[2]Tech Employees'!$A$2:$AB$39,26,0)</f>
        <v>721.49985569999978</v>
      </c>
      <c r="AF33" s="5">
        <f t="shared" si="4"/>
        <v>2521.4994956999994</v>
      </c>
      <c r="AG33" s="5">
        <f t="shared" si="5"/>
        <v>30000</v>
      </c>
      <c r="AH33" s="7">
        <f t="shared" si="6"/>
        <v>25478.500864300004</v>
      </c>
      <c r="AI33" s="9" t="str">
        <f t="shared" si="0"/>
        <v>Twenty Five Thousand Four Hundred and Seventy Eight</v>
      </c>
    </row>
    <row r="34" spans="1:35" ht="29" x14ac:dyDescent="0.35">
      <c r="A34" s="10" t="s">
        <v>114</v>
      </c>
      <c r="B34" s="10" t="s">
        <v>115</v>
      </c>
      <c r="C34" s="3" t="s">
        <v>124</v>
      </c>
      <c r="D34" s="11" t="s">
        <v>142</v>
      </c>
      <c r="E34" s="9" t="s">
        <v>72</v>
      </c>
      <c r="F34" s="9" t="s">
        <v>73</v>
      </c>
      <c r="G34" s="12">
        <v>50100405907963</v>
      </c>
      <c r="H34" s="12" t="s">
        <v>136</v>
      </c>
      <c r="I34" s="12">
        <v>101662232168</v>
      </c>
      <c r="K34" s="13" t="s">
        <v>138</v>
      </c>
      <c r="L34" s="3" t="s">
        <v>139</v>
      </c>
      <c r="M34" s="9">
        <v>30</v>
      </c>
      <c r="N34" s="9">
        <v>0</v>
      </c>
      <c r="O34" s="13" t="s">
        <v>138</v>
      </c>
      <c r="P34" s="5">
        <f>VLOOKUP(A34,'[2]Tech Employees'!$A$2:$AB$39,9,0)</f>
        <v>7499.9984999999988</v>
      </c>
      <c r="Q34" s="5">
        <f>VLOOKUP(A34,'[2]Tech Employees'!$A$2:$L$39,9,0)</f>
        <v>7499.9984999999988</v>
      </c>
      <c r="R34" s="5">
        <f>VLOOKUP(A34,'[2]Tech Employees'!$A$2:$AB$39,10,0)</f>
        <v>3749.9992499999994</v>
      </c>
      <c r="S34" s="5">
        <f>VLOOKUP(A34,'[2]Tech Employees'!$A$2:$L$39,10,0)</f>
        <v>3749.9992499999994</v>
      </c>
      <c r="T34" s="5">
        <f>VLOOKUP(A34,'[2]Tech Employees'!$A$2:$AB$39,11,0)</f>
        <v>1600</v>
      </c>
      <c r="U34" s="5">
        <f>VLOOKUP(A34,'[2]Tech Employees'!$A$2:$L$39,11,0)</f>
        <v>1600</v>
      </c>
      <c r="V34" s="5">
        <f>VLOOKUP(A34,'[2]Tech Employees'!$A$2:$AB$39,12,0)</f>
        <v>889.25250215000278</v>
      </c>
      <c r="W34" s="5">
        <f>VLOOKUP(A34,'[2]Tech Employees'!$A$2:$L$39,12,0)</f>
        <v>889.25250215000278</v>
      </c>
      <c r="X34" s="5">
        <f t="shared" si="1"/>
        <v>13739.250252150001</v>
      </c>
      <c r="Y34" s="5">
        <f t="shared" si="2"/>
        <v>13739.250252150001</v>
      </c>
      <c r="Z34" s="5">
        <f>VLOOKUP(A34,'[2]Tech Employees'!$A$2:$AB$39,14,0)</f>
        <v>899.99981999999977</v>
      </c>
      <c r="AA34" s="5">
        <v>150</v>
      </c>
      <c r="AB34" s="8" t="s">
        <v>86</v>
      </c>
      <c r="AC34" s="5">
        <f t="shared" si="3"/>
        <v>1049.9998199999998</v>
      </c>
      <c r="AD34" s="5">
        <f>VLOOKUP(A34,'[2]Tech Employees'!$A$2:$AB$39,24,0)</f>
        <v>899.99981999999977</v>
      </c>
      <c r="AE34" s="5">
        <f>VLOOKUP(A34,'[2]Tech Employees'!$A$2:$AB$39,26,0)</f>
        <v>360.74992784999989</v>
      </c>
      <c r="AF34" s="5">
        <f t="shared" si="4"/>
        <v>1260.7497478499997</v>
      </c>
      <c r="AG34" s="5">
        <f t="shared" si="5"/>
        <v>15000</v>
      </c>
      <c r="AH34" s="7">
        <f t="shared" si="6"/>
        <v>12689.250432150002</v>
      </c>
      <c r="AI34" s="9" t="str">
        <f t="shared" si="0"/>
        <v>Twelve Thousand Six Hundred and Eighty Nine</v>
      </c>
    </row>
    <row r="35" spans="1:35" ht="29" x14ac:dyDescent="0.35">
      <c r="A35" s="10" t="s">
        <v>116</v>
      </c>
      <c r="B35" s="10" t="s">
        <v>117</v>
      </c>
      <c r="C35" s="3" t="s">
        <v>124</v>
      </c>
      <c r="D35" s="11" t="s">
        <v>142</v>
      </c>
      <c r="E35" s="9" t="s">
        <v>72</v>
      </c>
      <c r="F35" s="9" t="s">
        <v>73</v>
      </c>
      <c r="G35" s="12">
        <v>55560103507254</v>
      </c>
      <c r="H35" s="12" t="s">
        <v>127</v>
      </c>
      <c r="I35" s="12">
        <v>102253787902</v>
      </c>
      <c r="K35" s="13" t="s">
        <v>138</v>
      </c>
      <c r="L35" s="3" t="s">
        <v>139</v>
      </c>
      <c r="M35" s="9">
        <v>30</v>
      </c>
      <c r="N35" s="9">
        <v>0</v>
      </c>
      <c r="O35" s="13" t="s">
        <v>138</v>
      </c>
      <c r="P35" s="5">
        <f>VLOOKUP(A35,'[2]Tech Employees'!$A$2:$AB$39,9,0)</f>
        <v>7499.9984999999988</v>
      </c>
      <c r="Q35" s="5">
        <f>VLOOKUP(A35,'[2]Tech Employees'!$A$2:$L$39,9,0)</f>
        <v>7499.9984999999988</v>
      </c>
      <c r="R35" s="5">
        <f>VLOOKUP(A35,'[2]Tech Employees'!$A$2:$AB$39,10,0)</f>
        <v>3749.9992499999994</v>
      </c>
      <c r="S35" s="5">
        <f>VLOOKUP(A35,'[2]Tech Employees'!$A$2:$L$39,10,0)</f>
        <v>3749.9992499999994</v>
      </c>
      <c r="T35" s="5">
        <f>VLOOKUP(A35,'[2]Tech Employees'!$A$2:$AB$39,11,0)</f>
        <v>1600</v>
      </c>
      <c r="U35" s="5">
        <f>VLOOKUP(A35,'[2]Tech Employees'!$A$2:$L$39,11,0)</f>
        <v>1600</v>
      </c>
      <c r="V35" s="5">
        <f>VLOOKUP(A35,'[2]Tech Employees'!$A$2:$AB$39,12,0)</f>
        <v>889.25250215000278</v>
      </c>
      <c r="W35" s="5">
        <f>VLOOKUP(A35,'[2]Tech Employees'!$A$2:$L$39,12,0)</f>
        <v>889.25250215000278</v>
      </c>
      <c r="X35" s="5">
        <f t="shared" si="1"/>
        <v>13739.250252150001</v>
      </c>
      <c r="Y35" s="5">
        <f t="shared" si="2"/>
        <v>13739.250252150001</v>
      </c>
      <c r="Z35" s="5">
        <f>VLOOKUP(A35,'[2]Tech Employees'!$A$2:$AB$39,14,0)</f>
        <v>899.99981999999977</v>
      </c>
      <c r="AA35" s="5">
        <v>150</v>
      </c>
      <c r="AB35" s="8" t="s">
        <v>86</v>
      </c>
      <c r="AC35" s="5">
        <f t="shared" si="3"/>
        <v>1049.9998199999998</v>
      </c>
      <c r="AD35" s="5">
        <f>VLOOKUP(A35,'[2]Tech Employees'!$A$2:$AB$39,24,0)</f>
        <v>899.99981999999977</v>
      </c>
      <c r="AE35" s="5">
        <f>VLOOKUP(A35,'[2]Tech Employees'!$A$2:$AB$39,26,0)</f>
        <v>360.74992784999989</v>
      </c>
      <c r="AF35" s="5">
        <f t="shared" si="4"/>
        <v>1260.7497478499997</v>
      </c>
      <c r="AG35" s="5">
        <f t="shared" si="5"/>
        <v>15000</v>
      </c>
      <c r="AH35" s="7">
        <f t="shared" si="6"/>
        <v>12689.250432150002</v>
      </c>
      <c r="AI35" s="9" t="str">
        <f t="shared" si="0"/>
        <v>Twelve Thousand Six Hundred and Eighty Nine</v>
      </c>
    </row>
    <row r="36" spans="1:35" ht="29" x14ac:dyDescent="0.35">
      <c r="A36" s="10" t="s">
        <v>118</v>
      </c>
      <c r="B36" s="10" t="s">
        <v>119</v>
      </c>
      <c r="C36" s="3" t="s">
        <v>124</v>
      </c>
      <c r="D36" s="11" t="s">
        <v>141</v>
      </c>
      <c r="E36" s="9" t="s">
        <v>72</v>
      </c>
      <c r="F36" s="9" t="s">
        <v>73</v>
      </c>
      <c r="G36" s="12">
        <v>44610100006654</v>
      </c>
      <c r="H36" s="12" t="s">
        <v>137</v>
      </c>
      <c r="I36" s="12">
        <v>102321858303</v>
      </c>
      <c r="K36" s="13" t="s">
        <v>138</v>
      </c>
      <c r="L36" s="3" t="s">
        <v>139</v>
      </c>
      <c r="M36" s="9">
        <v>30</v>
      </c>
      <c r="N36" s="9">
        <v>0</v>
      </c>
      <c r="O36" s="13" t="s">
        <v>138</v>
      </c>
      <c r="P36" s="5">
        <f>VLOOKUP(A36,'[2]Tech Employees'!$A$2:$AB$39,9,0)</f>
        <v>11499.997699999998</v>
      </c>
      <c r="Q36" s="5">
        <f>VLOOKUP(A36,'[2]Tech Employees'!$A$2:$L$39,9,0)</f>
        <v>11499.997699999998</v>
      </c>
      <c r="R36" s="5">
        <f>VLOOKUP(A36,'[2]Tech Employees'!$A$2:$AB$39,10,0)</f>
        <v>5749.998849999999</v>
      </c>
      <c r="S36" s="5">
        <f>VLOOKUP(A36,'[2]Tech Employees'!$A$2:$L$39,10,0)</f>
        <v>5749.998849999999</v>
      </c>
      <c r="T36" s="5">
        <f>VLOOKUP(A36,'[2]Tech Employees'!$A$2:$AB$39,11,0)</f>
        <v>1600</v>
      </c>
      <c r="U36" s="5">
        <f>VLOOKUP(A36,'[2]Tech Employees'!$A$2:$L$39,11,0)</f>
        <v>1600</v>
      </c>
      <c r="V36" s="5">
        <f>VLOOKUP(A36,'[2]Tech Employees'!$A$2:$AB$39,12,0)</f>
        <v>2216.8538366300008</v>
      </c>
      <c r="W36" s="5">
        <f>VLOOKUP(A36,'[2]Tech Employees'!$A$2:$L$39,12,0)</f>
        <v>2216.8538366300008</v>
      </c>
      <c r="X36" s="5">
        <f t="shared" si="1"/>
        <v>21066.850386629998</v>
      </c>
      <c r="Y36" s="5">
        <f t="shared" si="2"/>
        <v>21066.850386629998</v>
      </c>
      <c r="Z36" s="5">
        <f>VLOOKUP(A36,'[2]Tech Employees'!$A$2:$AB$39,14,0)</f>
        <v>1379.9997239999998</v>
      </c>
      <c r="AA36" s="5">
        <v>200</v>
      </c>
      <c r="AB36" s="8" t="s">
        <v>86</v>
      </c>
      <c r="AC36" s="5">
        <f t="shared" si="3"/>
        <v>1579.9997239999998</v>
      </c>
      <c r="AD36" s="5">
        <f>VLOOKUP(A36,'[2]Tech Employees'!$A$2:$AB$39,24,0)</f>
        <v>1379.9997239999998</v>
      </c>
      <c r="AE36" s="5">
        <f>VLOOKUP(A36,'[2]Tech Employees'!$A$2:$AB$39,26,0)</f>
        <v>553.14988936999987</v>
      </c>
      <c r="AF36" s="5">
        <f t="shared" si="4"/>
        <v>1933.1496133699998</v>
      </c>
      <c r="AG36" s="5">
        <f t="shared" si="5"/>
        <v>22999.999999999996</v>
      </c>
      <c r="AH36" s="7">
        <f t="shared" si="6"/>
        <v>19486.850662629997</v>
      </c>
      <c r="AI36" s="9" t="str">
        <f t="shared" si="0"/>
        <v>Nineteen Thousand Four Hundred and Eighty Six</v>
      </c>
    </row>
    <row r="37" spans="1:35" ht="29" x14ac:dyDescent="0.35">
      <c r="A37" s="10" t="s">
        <v>120</v>
      </c>
      <c r="B37" s="10" t="s">
        <v>121</v>
      </c>
      <c r="C37" s="3" t="s">
        <v>77</v>
      </c>
      <c r="D37" s="11" t="s">
        <v>141</v>
      </c>
      <c r="E37" s="9" t="s">
        <v>72</v>
      </c>
      <c r="F37" s="9" t="s">
        <v>73</v>
      </c>
      <c r="G37" s="12">
        <v>55560103427925</v>
      </c>
      <c r="H37" s="12" t="s">
        <v>127</v>
      </c>
      <c r="I37" s="12">
        <v>102241103345</v>
      </c>
      <c r="K37" s="13" t="s">
        <v>138</v>
      </c>
      <c r="L37" s="3" t="s">
        <v>139</v>
      </c>
      <c r="M37" s="9">
        <v>30</v>
      </c>
      <c r="N37" s="9">
        <v>0</v>
      </c>
      <c r="O37" s="13" t="s">
        <v>138</v>
      </c>
      <c r="P37" s="5">
        <f>VLOOKUP(A37,'[2]Tech Employees'!$A$2:$AB$39,9,0)</f>
        <v>11999.997599999999</v>
      </c>
      <c r="Q37" s="5">
        <f>VLOOKUP(A37,'[2]Tech Employees'!$A$2:$L$39,9,0)</f>
        <v>11999.997599999999</v>
      </c>
      <c r="R37" s="5">
        <f>VLOOKUP(A37,'[2]Tech Employees'!$A$2:$AB$39,10,0)</f>
        <v>5999.9987999999994</v>
      </c>
      <c r="S37" s="5">
        <f>VLOOKUP(A37,'[2]Tech Employees'!$A$2:$L$39,10,0)</f>
        <v>5999.9987999999994</v>
      </c>
      <c r="T37" s="5">
        <f>VLOOKUP(A37,'[2]Tech Employees'!$A$2:$AB$39,11,0)</f>
        <v>1600</v>
      </c>
      <c r="U37" s="5">
        <f>VLOOKUP(A37,'[2]Tech Employees'!$A$2:$L$39,11,0)</f>
        <v>1600</v>
      </c>
      <c r="V37" s="5">
        <f>VLOOKUP(A37,'[2]Tech Employees'!$A$2:$AB$39,12,0)</f>
        <v>2382.8040034400019</v>
      </c>
      <c r="W37" s="5">
        <f>VLOOKUP(A37,'[2]Tech Employees'!$A$2:$L$39,12,0)</f>
        <v>2382.8040034400019</v>
      </c>
      <c r="X37" s="5">
        <f t="shared" si="1"/>
        <v>21982.80040344</v>
      </c>
      <c r="Y37" s="5">
        <f t="shared" si="2"/>
        <v>21982.80040344</v>
      </c>
      <c r="Z37" s="5">
        <f>VLOOKUP(A37,'[2]Tech Employees'!$A$2:$AB$39,14,0)</f>
        <v>1439.9997119999998</v>
      </c>
      <c r="AA37" s="5">
        <v>200</v>
      </c>
      <c r="AB37" s="8" t="s">
        <v>86</v>
      </c>
      <c r="AC37" s="5">
        <f t="shared" si="3"/>
        <v>1639.9997119999998</v>
      </c>
      <c r="AD37" s="5">
        <f>VLOOKUP(A37,'[2]Tech Employees'!$A$2:$AB$39,24,0)</f>
        <v>1439.9997119999998</v>
      </c>
      <c r="AE37" s="5">
        <f>VLOOKUP(A37,'[2]Tech Employees'!$A$2:$AB$39,26,0)</f>
        <v>577.19988455999987</v>
      </c>
      <c r="AF37" s="5">
        <f t="shared" si="4"/>
        <v>2017.1995965599997</v>
      </c>
      <c r="AG37" s="5">
        <f t="shared" si="5"/>
        <v>24000</v>
      </c>
      <c r="AH37" s="7">
        <f t="shared" si="6"/>
        <v>20342.800691439999</v>
      </c>
      <c r="AI37" s="9" t="str">
        <f t="shared" si="0"/>
        <v>Twenty  Thousand Three Hundred and Forty Two</v>
      </c>
    </row>
    <row r="38" spans="1:35" x14ac:dyDescent="0.35">
      <c r="A38" s="10" t="s">
        <v>122</v>
      </c>
      <c r="B38" s="10" t="s">
        <v>123</v>
      </c>
      <c r="C38" s="3" t="s">
        <v>124</v>
      </c>
      <c r="D38" t="s">
        <v>149</v>
      </c>
      <c r="E38" s="9" t="s">
        <v>72</v>
      </c>
      <c r="F38" s="9" t="s">
        <v>73</v>
      </c>
      <c r="G38" s="12">
        <v>111101513423</v>
      </c>
      <c r="H38" s="12" t="s">
        <v>145</v>
      </c>
      <c r="I38" s="12">
        <v>102135829120</v>
      </c>
      <c r="K38" s="13" t="s">
        <v>138</v>
      </c>
      <c r="L38" s="3" t="s">
        <v>139</v>
      </c>
      <c r="M38" s="9">
        <v>30</v>
      </c>
      <c r="N38" s="9">
        <v>0</v>
      </c>
      <c r="O38" s="13" t="s">
        <v>138</v>
      </c>
      <c r="P38" s="5">
        <f>VLOOKUP(A38,'[2]Tech Employees'!$A$2:$AB$39,9,0)</f>
        <v>17499.996499999997</v>
      </c>
      <c r="Q38" s="5">
        <f>VLOOKUP(A38,'[2]Tech Employees'!$A$2:$L$39,9,0)</f>
        <v>17499.996499999997</v>
      </c>
      <c r="R38" s="5">
        <f>VLOOKUP(A38,'[2]Tech Employees'!$A$2:$AB$39,10,0)</f>
        <v>8749.9982499999987</v>
      </c>
      <c r="S38" s="5">
        <f>VLOOKUP(A38,'[2]Tech Employees'!$A$2:$L$39,10,0)</f>
        <v>8749.9982499999987</v>
      </c>
      <c r="T38" s="5">
        <f>VLOOKUP(A38,'[2]Tech Employees'!$A$2:$AB$39,11,0)</f>
        <v>1600</v>
      </c>
      <c r="U38" s="5">
        <f>VLOOKUP(A38,'[2]Tech Employees'!$A$2:$L$39,11,0)</f>
        <v>1600</v>
      </c>
      <c r="V38" s="5">
        <f>VLOOKUP(A38,'[2]Tech Employees'!$A$2:$AB$39,12,0)</f>
        <v>4508.2554183500051</v>
      </c>
      <c r="W38" s="5">
        <f>VLOOKUP(A38,'[2]Tech Employees'!$A$2:$L$39,12,0)</f>
        <v>4508.2554183500051</v>
      </c>
      <c r="X38" s="5">
        <f t="shared" si="1"/>
        <v>32358.250168350001</v>
      </c>
      <c r="Y38" s="5">
        <f t="shared" si="2"/>
        <v>32358.250168350001</v>
      </c>
      <c r="Z38" s="5">
        <f>VLOOKUP(A38,'[2]Tech Employees'!$A$2:$AB$39,14,0)</f>
        <v>1800</v>
      </c>
      <c r="AA38" s="5">
        <v>200</v>
      </c>
      <c r="AB38" s="8" t="s">
        <v>86</v>
      </c>
      <c r="AC38" s="5">
        <f t="shared" si="3"/>
        <v>2000</v>
      </c>
      <c r="AD38" s="5">
        <f>VLOOKUP(A38,'[2]Tech Employees'!$A$2:$AB$39,24,0)</f>
        <v>1800</v>
      </c>
      <c r="AE38" s="5">
        <f>VLOOKUP(A38,'[2]Tech Employees'!$A$2:$AB$39,26,0)</f>
        <v>841.74983164999981</v>
      </c>
      <c r="AF38" s="5">
        <f t="shared" si="4"/>
        <v>2641.7498316499996</v>
      </c>
      <c r="AG38" s="5">
        <f t="shared" si="5"/>
        <v>35000</v>
      </c>
      <c r="AH38" s="7">
        <f t="shared" si="6"/>
        <v>30358.250168350001</v>
      </c>
      <c r="AI38" s="9" t="str">
        <f t="shared" si="0"/>
        <v>Thirty  Thousand Three Hundred and Fifty Eight</v>
      </c>
    </row>
    <row r="39" spans="1:35" ht="29" x14ac:dyDescent="0.35">
      <c r="A39" s="10" t="s">
        <v>146</v>
      </c>
      <c r="B39" s="10" t="s">
        <v>147</v>
      </c>
      <c r="C39" s="3" t="s">
        <v>76</v>
      </c>
      <c r="D39" s="11" t="s">
        <v>142</v>
      </c>
      <c r="E39" s="9" t="s">
        <v>72</v>
      </c>
      <c r="F39" s="9" t="s">
        <v>73</v>
      </c>
      <c r="G39" s="12">
        <v>9147600708</v>
      </c>
      <c r="H39" s="12" t="s">
        <v>148</v>
      </c>
      <c r="I39" s="12">
        <v>102317792928</v>
      </c>
      <c r="K39" s="13" t="s">
        <v>138</v>
      </c>
      <c r="L39" s="3" t="s">
        <v>139</v>
      </c>
      <c r="M39" s="9">
        <v>30</v>
      </c>
      <c r="N39" s="9">
        <v>0</v>
      </c>
      <c r="O39" s="13" t="s">
        <v>138</v>
      </c>
      <c r="P39" s="5">
        <f>VLOOKUP(A39,'[2]Tech Employees'!$A$2:$AB$39,9,0)</f>
        <v>7499.9984999999988</v>
      </c>
      <c r="Q39" s="5">
        <f>VLOOKUP(A39,'[2]Tech Employees'!$A$2:$L$39,9,0)</f>
        <v>7499.9984999999988</v>
      </c>
      <c r="R39" s="5">
        <f>VLOOKUP(A39,'[2]Tech Employees'!$A$2:$AB$39,10,0)</f>
        <v>3749.9992499999994</v>
      </c>
      <c r="S39" s="5">
        <f>VLOOKUP(A39,'[2]Tech Employees'!$A$2:$L$39,10,0)</f>
        <v>3749.9992499999994</v>
      </c>
      <c r="T39" s="5">
        <f>VLOOKUP(A39,'[2]Tech Employees'!$A$2:$AB$39,11,0)</f>
        <v>1600</v>
      </c>
      <c r="U39" s="5">
        <f>VLOOKUP(A39,'[2]Tech Employees'!$A$2:$L$39,11,0)</f>
        <v>1600</v>
      </c>
      <c r="V39" s="5">
        <f>VLOOKUP(A39,'[2]Tech Employees'!$A$2:$AB$39,12,0)</f>
        <v>889.25250215000278</v>
      </c>
      <c r="W39" s="5">
        <f>VLOOKUP(A39,'[2]Tech Employees'!$A$2:$L$39,12,0)</f>
        <v>889.25250215000278</v>
      </c>
      <c r="X39" s="5">
        <f t="shared" si="1"/>
        <v>13739.250252150001</v>
      </c>
      <c r="Y39" s="5">
        <f t="shared" si="2"/>
        <v>13739.250252150001</v>
      </c>
      <c r="Z39" s="5">
        <f>VLOOKUP(A39,'[2]Tech Employees'!$A$2:$AB$39,14,0)</f>
        <v>899.99981999999977</v>
      </c>
      <c r="AA39" s="5">
        <v>150</v>
      </c>
      <c r="AB39" s="8" t="s">
        <v>86</v>
      </c>
      <c r="AC39" s="5">
        <f t="shared" si="3"/>
        <v>1049.9998199999998</v>
      </c>
      <c r="AD39" s="5">
        <f>VLOOKUP(A39,'[2]Tech Employees'!$A$2:$AB$39,24,0)</f>
        <v>899.99981999999977</v>
      </c>
      <c r="AE39" s="5">
        <f>VLOOKUP(A39,'[2]Tech Employees'!$A$2:$AB$39,26,0)</f>
        <v>360.74992784999989</v>
      </c>
      <c r="AF39" s="5">
        <f t="shared" si="4"/>
        <v>1260.7497478499997</v>
      </c>
      <c r="AG39" s="5">
        <f t="shared" si="5"/>
        <v>15000</v>
      </c>
      <c r="AH39" s="7">
        <f t="shared" si="6"/>
        <v>12689.250432150002</v>
      </c>
      <c r="AI39" s="9" t="str">
        <f t="shared" si="0"/>
        <v>Twelve Thousand Six Hundred and Eighty Nine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2026-04-27T10:13:23Z</dcterms:modified>
</cp:coreProperties>
</file>