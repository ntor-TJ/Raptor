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xiora\Downloads\"/>
    </mc:Choice>
  </mc:AlternateContent>
  <xr:revisionPtr revIDLastSave="0" documentId="13_ncr:1_{F1675789-19F9-4294-A342-3953F225D81B}" xr6:coauthVersionLast="47" xr6:coauthVersionMax="47" xr10:uidLastSave="{00000000-0000-0000-0000-000000000000}"/>
  <bookViews>
    <workbookView xWindow="-110" yWindow="-110" windowWidth="19420" windowHeight="10420" firstSheet="4" activeTab="7" xr2:uid="{00000000-000D-0000-FFFF-FFFF00000000}"/>
  </bookViews>
  <sheets>
    <sheet name="Employees" sheetId="1" r:id="rId1"/>
    <sheet name="Consultant" sheetId="3" r:id="rId2"/>
    <sheet name="Tech Employees" sheetId="5" r:id="rId3"/>
    <sheet name="Trainers" sheetId="6" r:id="rId4"/>
    <sheet name="Rental Payment" sheetId="8" r:id="rId5"/>
    <sheet name="Salaries_30042026" sheetId="7" r:id="rId6"/>
    <sheet name="Payments_30042026" sheetId="9" r:id="rId7"/>
    <sheet name="Non Federal" sheetId="10" r:id="rId8"/>
    <sheet name="Federal" sheetId="11" r:id="rId9"/>
    <sheet name="Payment" sheetId="2" state="hidden" r:id="rId10"/>
  </sheets>
  <definedNames>
    <definedName name="_xlnm._FilterDatabase" localSheetId="9" hidden="1">Payment!$A$1:$H$1</definedName>
    <definedName name="_xlnm._FilterDatabase" localSheetId="5" hidden="1">Salaries_30042026!$A$1:$H$48</definedName>
  </definedNames>
  <calcPr calcId="191029"/>
</workbook>
</file>

<file path=xl/calcChain.xml><?xml version="1.0" encoding="utf-8"?>
<calcChain xmlns="http://schemas.openxmlformats.org/spreadsheetml/2006/main">
  <c r="C31" i="11" l="1"/>
  <c r="C34" i="10"/>
  <c r="H9" i="8"/>
  <c r="E8" i="9"/>
  <c r="E7" i="9"/>
  <c r="E6" i="9"/>
  <c r="E5" i="9"/>
  <c r="E4" i="9"/>
  <c r="E3" i="9"/>
  <c r="E12" i="9" s="1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D48" i="2"/>
  <c r="D47" i="2"/>
  <c r="I40" i="5"/>
  <c r="J40" i="5" s="1"/>
  <c r="K40" i="5"/>
  <c r="X40" i="5"/>
  <c r="M40" i="5" s="1"/>
  <c r="Z40" i="5"/>
  <c r="I41" i="5"/>
  <c r="Z41" i="5" s="1"/>
  <c r="K41" i="5"/>
  <c r="E4" i="6"/>
  <c r="E5" i="6"/>
  <c r="E6" i="6"/>
  <c r="E7" i="6"/>
  <c r="E8" i="6"/>
  <c r="E3" i="6"/>
  <c r="D4" i="2"/>
  <c r="D15" i="2"/>
  <c r="D18" i="2"/>
  <c r="D30" i="2"/>
  <c r="D3" i="2"/>
  <c r="D5" i="2"/>
  <c r="AC2" i="1"/>
  <c r="D50" i="7" l="1"/>
  <c r="Y40" i="5"/>
  <c r="L40" i="5"/>
  <c r="O40" i="5"/>
  <c r="T40" i="5"/>
  <c r="J41" i="5"/>
  <c r="N40" i="5"/>
  <c r="X41" i="5"/>
  <c r="M41" i="5" s="1"/>
  <c r="N41" i="5"/>
  <c r="X22" i="5"/>
  <c r="X35" i="5"/>
  <c r="N22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J30" i="5"/>
  <c r="I22" i="5"/>
  <c r="Z22" i="5" s="1"/>
  <c r="I23" i="5"/>
  <c r="X23" i="5" s="1"/>
  <c r="I24" i="5"/>
  <c r="N24" i="5" s="1"/>
  <c r="I25" i="5"/>
  <c r="Z25" i="5" s="1"/>
  <c r="I26" i="5"/>
  <c r="J26" i="5" s="1"/>
  <c r="I27" i="5"/>
  <c r="Z27" i="5" s="1"/>
  <c r="I28" i="5"/>
  <c r="J28" i="5" s="1"/>
  <c r="I29" i="5"/>
  <c r="X29" i="5" s="1"/>
  <c r="I30" i="5"/>
  <c r="Z30" i="5" s="1"/>
  <c r="I31" i="5"/>
  <c r="J31" i="5" s="1"/>
  <c r="I32" i="5"/>
  <c r="X32" i="5" s="1"/>
  <c r="I33" i="5"/>
  <c r="N33" i="5" s="1"/>
  <c r="I34" i="5"/>
  <c r="X34" i="5" s="1"/>
  <c r="I35" i="5"/>
  <c r="N35" i="5" s="1"/>
  <c r="I36" i="5"/>
  <c r="X36" i="5" s="1"/>
  <c r="I37" i="5"/>
  <c r="N37" i="5" s="1"/>
  <c r="I38" i="5"/>
  <c r="Z38" i="5" s="1"/>
  <c r="I39" i="5"/>
  <c r="Z39" i="5" s="1"/>
  <c r="E3" i="3"/>
  <c r="H3" i="3" s="1"/>
  <c r="E6" i="3"/>
  <c r="H6" i="3" s="1"/>
  <c r="E4" i="3"/>
  <c r="H4" i="3" s="1"/>
  <c r="E5" i="3"/>
  <c r="H5" i="3" s="1"/>
  <c r="E2" i="3"/>
  <c r="E11" i="6"/>
  <c r="I2" i="1"/>
  <c r="N2" i="1" s="1"/>
  <c r="H2" i="3"/>
  <c r="K3" i="1"/>
  <c r="I3" i="1"/>
  <c r="N3" i="1" s="1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I2" i="5"/>
  <c r="Z2" i="5" s="1"/>
  <c r="I3" i="5"/>
  <c r="Z3" i="5" s="1"/>
  <c r="I4" i="5"/>
  <c r="I5" i="5"/>
  <c r="Z5" i="5" s="1"/>
  <c r="I6" i="5"/>
  <c r="J6" i="5" s="1"/>
  <c r="I7" i="5"/>
  <c r="Z7" i="5" s="1"/>
  <c r="I8" i="5"/>
  <c r="Z8" i="5" s="1"/>
  <c r="I9" i="5"/>
  <c r="Z9" i="5" s="1"/>
  <c r="I10" i="5"/>
  <c r="Z10" i="5" s="1"/>
  <c r="I11" i="5"/>
  <c r="Z11" i="5" s="1"/>
  <c r="I12" i="5"/>
  <c r="X12" i="5" s="1"/>
  <c r="I13" i="5"/>
  <c r="I14" i="5"/>
  <c r="J14" i="5" s="1"/>
  <c r="I15" i="5"/>
  <c r="J15" i="5" s="1"/>
  <c r="I16" i="5"/>
  <c r="J16" i="5" s="1"/>
  <c r="I17" i="5"/>
  <c r="J17" i="5" s="1"/>
  <c r="I18" i="5"/>
  <c r="J18" i="5" s="1"/>
  <c r="I19" i="5"/>
  <c r="J19" i="5" s="1"/>
  <c r="I20" i="5"/>
  <c r="Z20" i="5" s="1"/>
  <c r="I21" i="5"/>
  <c r="V7" i="1"/>
  <c r="W7" i="1"/>
  <c r="Q7" i="1"/>
  <c r="R7" i="1"/>
  <c r="S7" i="1"/>
  <c r="U7" i="1"/>
  <c r="P7" i="1"/>
  <c r="D7" i="1"/>
  <c r="K2" i="1"/>
  <c r="L41" i="5" l="1"/>
  <c r="O41" i="5"/>
  <c r="AA41" i="5" s="1"/>
  <c r="AB41" i="5" s="1"/>
  <c r="T41" i="5"/>
  <c r="Y41" i="5"/>
  <c r="AA40" i="5"/>
  <c r="AB40" i="5" s="1"/>
  <c r="Z21" i="5"/>
  <c r="X13" i="5"/>
  <c r="Z4" i="5"/>
  <c r="M35" i="5"/>
  <c r="L35" i="5" s="1"/>
  <c r="N32" i="5"/>
  <c r="Z31" i="5"/>
  <c r="J39" i="5"/>
  <c r="N31" i="5"/>
  <c r="AA31" i="5" s="1"/>
  <c r="AB31" i="5" s="1"/>
  <c r="D40" i="2" s="1"/>
  <c r="X31" i="5"/>
  <c r="M31" i="5" s="1"/>
  <c r="L31" i="5" s="1"/>
  <c r="N39" i="5"/>
  <c r="J35" i="5"/>
  <c r="N27" i="5"/>
  <c r="AA27" i="5" s="1"/>
  <c r="AB27" i="5" s="1"/>
  <c r="D37" i="2" s="1"/>
  <c r="X30" i="5"/>
  <c r="AA30" i="5" s="1"/>
  <c r="AB30" i="5" s="1"/>
  <c r="D39" i="2" s="1"/>
  <c r="N23" i="5"/>
  <c r="X27" i="5"/>
  <c r="Z24" i="5"/>
  <c r="X39" i="5"/>
  <c r="M39" i="5" s="1"/>
  <c r="X24" i="5"/>
  <c r="Z35" i="5"/>
  <c r="M36" i="5"/>
  <c r="T36" i="5" s="1"/>
  <c r="M27" i="5"/>
  <c r="T27" i="5" s="1"/>
  <c r="J37" i="5"/>
  <c r="Z26" i="5"/>
  <c r="J36" i="5"/>
  <c r="J27" i="5"/>
  <c r="N38" i="5"/>
  <c r="N30" i="5"/>
  <c r="Z34" i="5"/>
  <c r="M34" i="5" s="1"/>
  <c r="X26" i="5"/>
  <c r="M26" i="5" s="1"/>
  <c r="J34" i="5"/>
  <c r="J25" i="5"/>
  <c r="N36" i="5"/>
  <c r="Z37" i="5"/>
  <c r="Z33" i="5"/>
  <c r="AA33" i="5" s="1"/>
  <c r="J33" i="5"/>
  <c r="J24" i="5"/>
  <c r="N26" i="5"/>
  <c r="X37" i="5"/>
  <c r="X33" i="5"/>
  <c r="Z28" i="5"/>
  <c r="Z23" i="5"/>
  <c r="M23" i="5" s="1"/>
  <c r="Y23" i="5" s="1"/>
  <c r="M30" i="5"/>
  <c r="T30" i="5" s="1"/>
  <c r="J32" i="5"/>
  <c r="J23" i="5"/>
  <c r="N34" i="5"/>
  <c r="N25" i="5"/>
  <c r="Z36" i="5"/>
  <c r="Z32" i="5"/>
  <c r="M32" i="5" s="1"/>
  <c r="T32" i="5" s="1"/>
  <c r="X28" i="5"/>
  <c r="M28" i="5" s="1"/>
  <c r="L28" i="5" s="1"/>
  <c r="N28" i="5"/>
  <c r="Z29" i="5"/>
  <c r="X2" i="5"/>
  <c r="M2" i="5" s="1"/>
  <c r="J22" i="5"/>
  <c r="L22" i="5" s="1"/>
  <c r="M29" i="5"/>
  <c r="T29" i="5" s="1"/>
  <c r="M22" i="5"/>
  <c r="Y22" i="5" s="1"/>
  <c r="J29" i="5"/>
  <c r="N29" i="5"/>
  <c r="X38" i="5"/>
  <c r="M38" i="5" s="1"/>
  <c r="Y38" i="5" s="1"/>
  <c r="J38" i="5"/>
  <c r="X25" i="5"/>
  <c r="M25" i="5" s="1"/>
  <c r="T25" i="5" s="1"/>
  <c r="X4" i="5"/>
  <c r="M4" i="5" s="1"/>
  <c r="Y4" i="5" s="1"/>
  <c r="O22" i="5"/>
  <c r="AA22" i="5" s="1"/>
  <c r="AB22" i="5" s="1"/>
  <c r="D31" i="2" s="1"/>
  <c r="L26" i="5"/>
  <c r="T26" i="5"/>
  <c r="AA35" i="5"/>
  <c r="T31" i="5"/>
  <c r="N5" i="5"/>
  <c r="N3" i="5"/>
  <c r="X3" i="5"/>
  <c r="N4" i="5"/>
  <c r="N2" i="5"/>
  <c r="J20" i="5"/>
  <c r="Z19" i="5"/>
  <c r="N13" i="5"/>
  <c r="J21" i="5"/>
  <c r="N21" i="5"/>
  <c r="N18" i="5"/>
  <c r="X18" i="5"/>
  <c r="N14" i="5"/>
  <c r="X10" i="5"/>
  <c r="M10" i="5" s="1"/>
  <c r="Y10" i="5" s="1"/>
  <c r="N10" i="5"/>
  <c r="Z6" i="5"/>
  <c r="X6" i="5"/>
  <c r="N6" i="5"/>
  <c r="N15" i="5"/>
  <c r="N7" i="5"/>
  <c r="X19" i="5"/>
  <c r="X11" i="5"/>
  <c r="M11" i="5" s="1"/>
  <c r="Y11" i="5" s="1"/>
  <c r="X9" i="5"/>
  <c r="M9" i="5" s="1"/>
  <c r="J13" i="5"/>
  <c r="Z18" i="5"/>
  <c r="N20" i="5"/>
  <c r="N12" i="5"/>
  <c r="X16" i="5"/>
  <c r="X8" i="5"/>
  <c r="M8" i="5" s="1"/>
  <c r="J12" i="5"/>
  <c r="Z14" i="5"/>
  <c r="N19" i="5"/>
  <c r="N11" i="5"/>
  <c r="X15" i="5"/>
  <c r="X7" i="5"/>
  <c r="X17" i="5"/>
  <c r="J5" i="5"/>
  <c r="Z13" i="5"/>
  <c r="M13" i="5" s="1"/>
  <c r="Y13" i="5" s="1"/>
  <c r="X14" i="5"/>
  <c r="M14" i="5" s="1"/>
  <c r="Z12" i="5"/>
  <c r="M12" i="5" s="1"/>
  <c r="N17" i="5"/>
  <c r="N9" i="5"/>
  <c r="X21" i="5"/>
  <c r="M21" i="5" s="1"/>
  <c r="Y21" i="5" s="1"/>
  <c r="X5" i="5"/>
  <c r="M5" i="5" s="1"/>
  <c r="Y5" i="5" s="1"/>
  <c r="N16" i="5"/>
  <c r="N8" i="5"/>
  <c r="X20" i="5"/>
  <c r="M20" i="5" s="1"/>
  <c r="J4" i="5"/>
  <c r="J3" i="1"/>
  <c r="X3" i="1"/>
  <c r="H7" i="3"/>
  <c r="J11" i="5"/>
  <c r="J3" i="5"/>
  <c r="J10" i="5"/>
  <c r="J2" i="5"/>
  <c r="Z17" i="5"/>
  <c r="J9" i="5"/>
  <c r="Z16" i="5"/>
  <c r="J8" i="5"/>
  <c r="Z15" i="5"/>
  <c r="J7" i="5"/>
  <c r="M3" i="5"/>
  <c r="Y3" i="5" s="1"/>
  <c r="Z2" i="1"/>
  <c r="J2" i="1"/>
  <c r="X2" i="1"/>
  <c r="K7" i="1"/>
  <c r="AB33" i="5" l="1"/>
  <c r="D42" i="2" s="1"/>
  <c r="L39" i="5"/>
  <c r="Y39" i="5"/>
  <c r="T39" i="5"/>
  <c r="O14" i="5"/>
  <c r="Y14" i="5"/>
  <c r="O8" i="5"/>
  <c r="Y8" i="5"/>
  <c r="L30" i="5"/>
  <c r="M33" i="5"/>
  <c r="M24" i="5"/>
  <c r="O9" i="5"/>
  <c r="Y9" i="5"/>
  <c r="M37" i="5"/>
  <c r="O2" i="5"/>
  <c r="AA2" i="5" s="1"/>
  <c r="AB2" i="5" s="1"/>
  <c r="D7" i="2" s="1"/>
  <c r="Y2" i="5"/>
  <c r="L24" i="5"/>
  <c r="O20" i="5"/>
  <c r="Y20" i="5"/>
  <c r="O38" i="5"/>
  <c r="AA38" i="5" s="1"/>
  <c r="AB38" i="5" s="1"/>
  <c r="D46" i="2" s="1"/>
  <c r="AA26" i="5"/>
  <c r="AB26" i="5" s="1"/>
  <c r="D36" i="2" s="1"/>
  <c r="T35" i="5"/>
  <c r="O12" i="5"/>
  <c r="AA12" i="5" s="1"/>
  <c r="AB12" i="5" s="1"/>
  <c r="D2" i="2" s="1"/>
  <c r="Y12" i="5"/>
  <c r="T22" i="5"/>
  <c r="AB35" i="5"/>
  <c r="D44" i="2" s="1"/>
  <c r="M3" i="1"/>
  <c r="T3" i="1" s="1"/>
  <c r="AA34" i="5"/>
  <c r="AB34" i="5" s="1"/>
  <c r="D43" i="2" s="1"/>
  <c r="L34" i="5"/>
  <c r="T34" i="5"/>
  <c r="L23" i="5"/>
  <c r="O23" i="5"/>
  <c r="AA23" i="5" s="1"/>
  <c r="AB23" i="5" s="1"/>
  <c r="D32" i="2" s="1"/>
  <c r="T23" i="5"/>
  <c r="AA32" i="5"/>
  <c r="AB32" i="5" s="1"/>
  <c r="D24" i="2" s="1"/>
  <c r="AA36" i="5"/>
  <c r="AB36" i="5" s="1"/>
  <c r="D45" i="2" s="1"/>
  <c r="T28" i="5"/>
  <c r="O39" i="5"/>
  <c r="AA39" i="5" s="1"/>
  <c r="AB39" i="5" s="1"/>
  <c r="D33" i="2" s="1"/>
  <c r="L36" i="5"/>
  <c r="AA28" i="5"/>
  <c r="AB28" i="5" s="1"/>
  <c r="D38" i="2" s="1"/>
  <c r="L38" i="5"/>
  <c r="AA29" i="5"/>
  <c r="T37" i="5"/>
  <c r="L29" i="5"/>
  <c r="L32" i="5"/>
  <c r="T38" i="5"/>
  <c r="L27" i="5"/>
  <c r="AA25" i="5"/>
  <c r="L25" i="5"/>
  <c r="M6" i="5"/>
  <c r="M18" i="5"/>
  <c r="M2" i="1"/>
  <c r="M19" i="5"/>
  <c r="AA8" i="5"/>
  <c r="AB8" i="5" s="1"/>
  <c r="D11" i="2" s="1"/>
  <c r="AA9" i="5"/>
  <c r="AB9" i="5" s="1"/>
  <c r="D10" i="2" s="1"/>
  <c r="O13" i="5"/>
  <c r="AA13" i="5" s="1"/>
  <c r="L13" i="5"/>
  <c r="L21" i="5"/>
  <c r="O21" i="5"/>
  <c r="AA21" i="5" s="1"/>
  <c r="O11" i="5"/>
  <c r="AA11" i="5" s="1"/>
  <c r="AB11" i="5" s="1"/>
  <c r="D16" i="2" s="1"/>
  <c r="AA14" i="5"/>
  <c r="AB14" i="5" s="1"/>
  <c r="D20" i="2" s="1"/>
  <c r="M7" i="5"/>
  <c r="Y7" i="5" s="1"/>
  <c r="M15" i="5"/>
  <c r="AA15" i="5" s="1"/>
  <c r="AB15" i="5" s="1"/>
  <c r="D21" i="2" s="1"/>
  <c r="O10" i="5"/>
  <c r="AA10" i="5" s="1"/>
  <c r="AB10" i="5" s="1"/>
  <c r="D8" i="2" s="1"/>
  <c r="T5" i="5"/>
  <c r="O5" i="5"/>
  <c r="AA5" i="5" s="1"/>
  <c r="AB5" i="5" s="1"/>
  <c r="D14" i="2" s="1"/>
  <c r="O4" i="5"/>
  <c r="AA4" i="5" s="1"/>
  <c r="O3" i="5"/>
  <c r="T2" i="1"/>
  <c r="M16" i="5"/>
  <c r="Y16" i="5" s="1"/>
  <c r="L9" i="5"/>
  <c r="T9" i="5"/>
  <c r="L6" i="5"/>
  <c r="L5" i="5"/>
  <c r="T14" i="5"/>
  <c r="L14" i="5"/>
  <c r="M17" i="5"/>
  <c r="T21" i="5"/>
  <c r="L8" i="5"/>
  <c r="T8" i="5"/>
  <c r="T13" i="5"/>
  <c r="T18" i="5"/>
  <c r="T12" i="5"/>
  <c r="L12" i="5"/>
  <c r="T20" i="5"/>
  <c r="L20" i="5"/>
  <c r="L10" i="5"/>
  <c r="T10" i="5"/>
  <c r="L2" i="5"/>
  <c r="T2" i="5"/>
  <c r="T4" i="5"/>
  <c r="L4" i="5"/>
  <c r="L3" i="5"/>
  <c r="T3" i="5"/>
  <c r="L11" i="5"/>
  <c r="T11" i="5"/>
  <c r="J7" i="1"/>
  <c r="I7" i="1"/>
  <c r="X7" i="1"/>
  <c r="N7" i="1"/>
  <c r="L3" i="1" l="1"/>
  <c r="Y3" i="1"/>
  <c r="O3" i="1"/>
  <c r="AA3" i="1" s="1"/>
  <c r="AC3" i="1" s="1"/>
  <c r="D29" i="2" s="1"/>
  <c r="AB24" i="5"/>
  <c r="D34" i="2" s="1"/>
  <c r="L37" i="5"/>
  <c r="Y37" i="5"/>
  <c r="O37" i="5"/>
  <c r="AA37" i="5" s="1"/>
  <c r="AB37" i="5" s="1"/>
  <c r="D19" i="2" s="1"/>
  <c r="L19" i="5"/>
  <c r="Y19" i="5"/>
  <c r="O18" i="5"/>
  <c r="Y18" i="5"/>
  <c r="O17" i="5"/>
  <c r="Y17" i="5"/>
  <c r="O6" i="5"/>
  <c r="Y6" i="5"/>
  <c r="Y24" i="5"/>
  <c r="O24" i="5"/>
  <c r="AA24" i="5" s="1"/>
  <c r="T24" i="5"/>
  <c r="AA20" i="5"/>
  <c r="AB20" i="5" s="1"/>
  <c r="D27" i="2" s="1"/>
  <c r="T33" i="5"/>
  <c r="L33" i="5"/>
  <c r="AB25" i="5"/>
  <c r="D35" i="2" s="1"/>
  <c r="AB21" i="5"/>
  <c r="D28" i="2" s="1"/>
  <c r="AB13" i="5"/>
  <c r="D17" i="2" s="1"/>
  <c r="AB29" i="5"/>
  <c r="D41" i="2" s="1"/>
  <c r="AB4" i="5"/>
  <c r="D6" i="2" s="1"/>
  <c r="L18" i="5"/>
  <c r="T6" i="5"/>
  <c r="L15" i="5"/>
  <c r="O19" i="5"/>
  <c r="AA19" i="5" s="1"/>
  <c r="AB19" i="5" s="1"/>
  <c r="D26" i="2" s="1"/>
  <c r="T19" i="5"/>
  <c r="T15" i="5"/>
  <c r="O7" i="5"/>
  <c r="AA7" i="5" s="1"/>
  <c r="AB7" i="5" s="1"/>
  <c r="D12" i="2" s="1"/>
  <c r="L7" i="5"/>
  <c r="T7" i="5"/>
  <c r="O16" i="5"/>
  <c r="AA16" i="5" s="1"/>
  <c r="AB16" i="5" s="1"/>
  <c r="D22" i="2" s="1"/>
  <c r="AA3" i="5"/>
  <c r="AB3" i="5" s="1"/>
  <c r="D13" i="2" s="1"/>
  <c r="O2" i="1"/>
  <c r="L2" i="1"/>
  <c r="Y2" i="1"/>
  <c r="L16" i="5"/>
  <c r="T16" i="5"/>
  <c r="L17" i="5"/>
  <c r="T17" i="5"/>
  <c r="AA17" i="5" l="1"/>
  <c r="AB17" i="5" s="1"/>
  <c r="D23" i="2" s="1"/>
  <c r="AA18" i="5"/>
  <c r="AB18" i="5" s="1"/>
  <c r="D25" i="2" s="1"/>
  <c r="D50" i="2" s="1"/>
  <c r="AA6" i="5"/>
  <c r="AB6" i="5" s="1"/>
  <c r="D9" i="2" s="1"/>
  <c r="AA2" i="1"/>
  <c r="Z7" i="1"/>
  <c r="L7" i="1"/>
  <c r="Y7" i="1"/>
  <c r="O7" i="1"/>
  <c r="T7" i="1" l="1"/>
  <c r="M7" i="1"/>
  <c r="AA7" i="1" l="1"/>
  <c r="AC7" i="1" l="1"/>
</calcChain>
</file>

<file path=xl/sharedStrings.xml><?xml version="1.0" encoding="utf-8"?>
<sst xmlns="http://schemas.openxmlformats.org/spreadsheetml/2006/main" count="835" uniqueCount="239">
  <si>
    <t>Employee Name</t>
  </si>
  <si>
    <t>Employee ID</t>
  </si>
  <si>
    <t>Basic</t>
  </si>
  <si>
    <t>HRA</t>
  </si>
  <si>
    <t>Special Allowance</t>
  </si>
  <si>
    <t>Other Allowance</t>
  </si>
  <si>
    <t>Arrears</t>
  </si>
  <si>
    <t>Reimbursements</t>
  </si>
  <si>
    <t>Bonus/Incentive</t>
  </si>
  <si>
    <t>Gross Earnings</t>
  </si>
  <si>
    <t>Employee PF (12%)</t>
  </si>
  <si>
    <t>Employee ESI (0.75%)</t>
  </si>
  <si>
    <t>Professional Tax</t>
  </si>
  <si>
    <t>TDS</t>
  </si>
  <si>
    <t>LOP Deduction</t>
  </si>
  <si>
    <t>Other Deductions</t>
  </si>
  <si>
    <t>Total Deductions</t>
  </si>
  <si>
    <t>Net Salary Payable</t>
  </si>
  <si>
    <t>Employer PF (12%)</t>
  </si>
  <si>
    <t>Employer ESI (3.25%)</t>
  </si>
  <si>
    <t>Gratuity (4.81%)</t>
  </si>
  <si>
    <t>DOJ</t>
  </si>
  <si>
    <t>Calendar Days</t>
  </si>
  <si>
    <t>Paid Days</t>
  </si>
  <si>
    <t>LOP day's</t>
  </si>
  <si>
    <t>CTC</t>
  </si>
  <si>
    <t>Abhijeet Vijaysingh Pardeshi</t>
  </si>
  <si>
    <t>AGS26006</t>
  </si>
  <si>
    <t>Total</t>
  </si>
  <si>
    <t>Bank Account Number</t>
  </si>
  <si>
    <t>IFSC code</t>
  </si>
  <si>
    <t>BARB0WALUJX</t>
  </si>
  <si>
    <t>Bank Name</t>
  </si>
  <si>
    <t>BANK OF BARODA</t>
  </si>
  <si>
    <t xml:space="preserve">Total </t>
  </si>
  <si>
    <t>AGS26005</t>
  </si>
  <si>
    <t>AGS26004</t>
  </si>
  <si>
    <t>AGS26024</t>
  </si>
  <si>
    <t>Tanakala Janardhan</t>
  </si>
  <si>
    <t>Priya Darshini Pola</t>
  </si>
  <si>
    <t>PT</t>
  </si>
  <si>
    <t>Payable</t>
  </si>
  <si>
    <t>UBIN0815471</t>
  </si>
  <si>
    <t>Union Bank</t>
  </si>
  <si>
    <t>ICIC0007703</t>
  </si>
  <si>
    <t>ICICI Bank</t>
  </si>
  <si>
    <t>AGS26020</t>
  </si>
  <si>
    <t>Gurindapalli Krishna Chaitanya</t>
  </si>
  <si>
    <t>020201545829</t>
  </si>
  <si>
    <t>ICIC0000202</t>
  </si>
  <si>
    <t>HDFC0001042</t>
  </si>
  <si>
    <t>HDFC Bank</t>
  </si>
  <si>
    <t>Ande Sharath Chandra</t>
  </si>
  <si>
    <t>Actuals</t>
  </si>
  <si>
    <t>Gross Income</t>
  </si>
  <si>
    <t>Remarks</t>
  </si>
  <si>
    <t>AGS26011</t>
  </si>
  <si>
    <t>Siddula Hemasai</t>
  </si>
  <si>
    <t>AGS26018</t>
  </si>
  <si>
    <t>Settybathini Sathish</t>
  </si>
  <si>
    <t>AGS26010</t>
  </si>
  <si>
    <t>Vemula Varshith</t>
  </si>
  <si>
    <t>AGS26019</t>
  </si>
  <si>
    <t>Nelapatla Srinivas</t>
  </si>
  <si>
    <t>AGS26014</t>
  </si>
  <si>
    <t>Vulli Pavan</t>
  </si>
  <si>
    <t>AGS26017</t>
  </si>
  <si>
    <t>Vavilla Saikumar</t>
  </si>
  <si>
    <t>AGS26016</t>
  </si>
  <si>
    <t>Manisha Ashroba Virkar</t>
  </si>
  <si>
    <t>AGS26015</t>
  </si>
  <si>
    <t>Karne Narsimha Reddy</t>
  </si>
  <si>
    <t>AGS26013</t>
  </si>
  <si>
    <t>Kalepu Vijay</t>
  </si>
  <si>
    <t>AGS26021</t>
  </si>
  <si>
    <t>Kontham Sushma</t>
  </si>
  <si>
    <t>AGS26022</t>
  </si>
  <si>
    <t>Akkma Sai Teja</t>
  </si>
  <si>
    <t>AGS26023</t>
  </si>
  <si>
    <t>Bobbarala Varshini</t>
  </si>
  <si>
    <t>AGS26026</t>
  </si>
  <si>
    <t>Surampudi Roop Sai</t>
  </si>
  <si>
    <t>AGS26028</t>
  </si>
  <si>
    <t>Mohammed Abdul Moid</t>
  </si>
  <si>
    <t>AGS26029</t>
  </si>
  <si>
    <t>Mula Sai Preetham Goud</t>
  </si>
  <si>
    <t>AGS26030</t>
  </si>
  <si>
    <t>Sruthin Kumar Basa</t>
  </si>
  <si>
    <t>AGS26032</t>
  </si>
  <si>
    <t>Vempadapu Uday Sai Tarun</t>
  </si>
  <si>
    <t>AGS26033</t>
  </si>
  <si>
    <t>Kethavath Sai Raj</t>
  </si>
  <si>
    <t>AGS26034</t>
  </si>
  <si>
    <t>Sripada Shivakumar</t>
  </si>
  <si>
    <t>AGS26035</t>
  </si>
  <si>
    <t>Varakantham Surender Reddy</t>
  </si>
  <si>
    <t>AGS26038</t>
  </si>
  <si>
    <t>Ainala Saiesha</t>
  </si>
  <si>
    <t>AGS26039</t>
  </si>
  <si>
    <t>Esther Deva Priya</t>
  </si>
  <si>
    <t>Correction</t>
  </si>
  <si>
    <t>CNRB0003327</t>
  </si>
  <si>
    <t>Canara Bank</t>
  </si>
  <si>
    <t>HDFC0000075</t>
  </si>
  <si>
    <t>FDRL0007777</t>
  </si>
  <si>
    <t>SBIN0016293</t>
  </si>
  <si>
    <t>State Bank of India</t>
  </si>
  <si>
    <t>SBIN0003801</t>
  </si>
  <si>
    <t>INDB0000329</t>
  </si>
  <si>
    <t>INDUSIND BANK</t>
  </si>
  <si>
    <t>SBIN0008024</t>
  </si>
  <si>
    <t>HDFC0005175</t>
  </si>
  <si>
    <t>SBIN0000910</t>
  </si>
  <si>
    <t>IDIB000P121</t>
  </si>
  <si>
    <t>Indian Bank</t>
  </si>
  <si>
    <t>KKBK0007474</t>
  </si>
  <si>
    <t xml:space="preserve">Kotak </t>
  </si>
  <si>
    <t>KKBK0007462</t>
  </si>
  <si>
    <t>CNRB0004495</t>
  </si>
  <si>
    <t>SBIN0021227</t>
  </si>
  <si>
    <t>SBIN0008807</t>
  </si>
  <si>
    <t>HDFC0004480</t>
  </si>
  <si>
    <t>Federal Bank</t>
  </si>
  <si>
    <t>LOP</t>
  </si>
  <si>
    <t>HDFC0000545</t>
  </si>
  <si>
    <t>Sridhar</t>
  </si>
  <si>
    <t>KVBL0001446</t>
  </si>
  <si>
    <t>Karur Vysya Bank</t>
  </si>
  <si>
    <t>S.No</t>
  </si>
  <si>
    <t>Name</t>
  </si>
  <si>
    <t>No of Hours</t>
  </si>
  <si>
    <t>Cost per Hour</t>
  </si>
  <si>
    <t>Total Cost</t>
  </si>
  <si>
    <t>Sreekanth (Arjun)</t>
  </si>
  <si>
    <t>Ravi</t>
  </si>
  <si>
    <t>Venkatesh Salla</t>
  </si>
  <si>
    <t>Madhuri</t>
  </si>
  <si>
    <t>SBIN0008054</t>
  </si>
  <si>
    <t>SBIN0020959</t>
  </si>
  <si>
    <t>SBIN0020176</t>
  </si>
  <si>
    <t>2- SL</t>
  </si>
  <si>
    <t>3-SL</t>
  </si>
  <si>
    <t>2 Days</t>
  </si>
  <si>
    <t>AGS26041</t>
  </si>
  <si>
    <t>Sudhagani Sai Charan</t>
  </si>
  <si>
    <t>AGS26043</t>
  </si>
  <si>
    <t>Chebrolu Yashaswini</t>
  </si>
  <si>
    <t>AGS26045</t>
  </si>
  <si>
    <t>Chebrolu Monika</t>
  </si>
  <si>
    <t>AGS26047</t>
  </si>
  <si>
    <t>Upadhyayula Naga Lakshmi Deepthi</t>
  </si>
  <si>
    <t>AGS26048</t>
  </si>
  <si>
    <t>Rapolu Rekha</t>
  </si>
  <si>
    <t>AGS26049</t>
  </si>
  <si>
    <t>Ragiru Nikhitha</t>
  </si>
  <si>
    <t>AGS26051</t>
  </si>
  <si>
    <t>Mundlamuri Mrudula</t>
  </si>
  <si>
    <t>AGS26055</t>
  </si>
  <si>
    <t>Cholleti Sai Kumar</t>
  </si>
  <si>
    <t>AGS26053</t>
  </si>
  <si>
    <t>Palavelli Praveen Reddy</t>
  </si>
  <si>
    <t>AGS26054</t>
  </si>
  <si>
    <t>Yaramothu Himaja</t>
  </si>
  <si>
    <t>AGS26031</t>
  </si>
  <si>
    <t>Y Raghavendar</t>
  </si>
  <si>
    <t>AGS26056</t>
  </si>
  <si>
    <t>Bommala Naveen Kumar</t>
  </si>
  <si>
    <t>AGS26057</t>
  </si>
  <si>
    <t>Odeti Srinivas</t>
  </si>
  <si>
    <t>AGS26058</t>
  </si>
  <si>
    <t>Matha Sai Prasad</t>
  </si>
  <si>
    <t>AGS26059</t>
  </si>
  <si>
    <t>Chamakuri Raghuram</t>
  </si>
  <si>
    <t>AGS26025</t>
  </si>
  <si>
    <t>Tumula Dinesh Kumar</t>
  </si>
  <si>
    <t>AGS26060</t>
  </si>
  <si>
    <t>Thallada Venkatasagar</t>
  </si>
  <si>
    <t>Naveen Pulikonda</t>
  </si>
  <si>
    <t>AGS26044</t>
  </si>
  <si>
    <t>SBI</t>
  </si>
  <si>
    <t>SBIN0011984</t>
  </si>
  <si>
    <t>ICIC0000008</t>
  </si>
  <si>
    <t>Federal bank</t>
  </si>
  <si>
    <t>FDRL0005556</t>
  </si>
  <si>
    <t>CNRB0007792</t>
  </si>
  <si>
    <t>ICIC0003867</t>
  </si>
  <si>
    <t>SBIN0021487</t>
  </si>
  <si>
    <t>Union Bank of India</t>
  </si>
  <si>
    <t>UBIN0826383</t>
  </si>
  <si>
    <t>Union Bank Of India</t>
  </si>
  <si>
    <t>SBIN0013071</t>
  </si>
  <si>
    <t>SBIN0008833</t>
  </si>
  <si>
    <t>SBIN0020908</t>
  </si>
  <si>
    <t>HDFC</t>
  </si>
  <si>
    <t>HDFC0009817</t>
  </si>
  <si>
    <t>Bank of Baroda</t>
  </si>
  <si>
    <t>BARB0SIDDIP</t>
  </si>
  <si>
    <t xml:space="preserve"> FDRL0005556</t>
  </si>
  <si>
    <t>HDFC0003665</t>
  </si>
  <si>
    <t>Chetna</t>
  </si>
  <si>
    <t>Akshay</t>
  </si>
  <si>
    <t>50100868298601</t>
  </si>
  <si>
    <t>UTIB0000008</t>
  </si>
  <si>
    <t>Axis Bank</t>
  </si>
  <si>
    <t>ICIC0001111</t>
  </si>
  <si>
    <t>Hold</t>
  </si>
  <si>
    <t>KONDAPALLY AKHIL</t>
  </si>
  <si>
    <t>SBIN0010328</t>
  </si>
  <si>
    <t>Manikonda Nagasurya Koundinya</t>
  </si>
  <si>
    <t>IOBA0001807</t>
  </si>
  <si>
    <t>Indian Overseas Bank</t>
  </si>
  <si>
    <t>AGS26073</t>
  </si>
  <si>
    <t>AGS26074</t>
  </si>
  <si>
    <t>Account holder Name</t>
  </si>
  <si>
    <t>ICIC0001806</t>
  </si>
  <si>
    <t>Sreekanth Koraboina</t>
  </si>
  <si>
    <t>ICIC0000053</t>
  </si>
  <si>
    <t>G Ravi Teja</t>
  </si>
  <si>
    <t>IDIB000C026</t>
  </si>
  <si>
    <t>K GOPINADH</t>
  </si>
  <si>
    <t>INDIAN BANK</t>
  </si>
  <si>
    <t>004001579702</t>
  </si>
  <si>
    <t>UTIB0003985</t>
  </si>
  <si>
    <t>KAKARLA PRASAD BABU</t>
  </si>
  <si>
    <t>ERGAMREDDY SARADHA</t>
  </si>
  <si>
    <t>SBIN0011121</t>
  </si>
  <si>
    <t>SBIN0020030</t>
  </si>
  <si>
    <t>Shweta Akshay Painjane</t>
  </si>
  <si>
    <t>FDRL0001555</t>
  </si>
  <si>
    <t>HDFC0000485</t>
  </si>
  <si>
    <t>GST</t>
  </si>
  <si>
    <t>HDFC0000364</t>
  </si>
  <si>
    <t>ODCET CONSULTANCY SERVICES PVT LTD
GST Number : 36AADCO5390F1ZD</t>
  </si>
  <si>
    <t>CURRENT</t>
  </si>
  <si>
    <t>Account Type</t>
  </si>
  <si>
    <t>ZOHO Corporation Private Limited</t>
  </si>
  <si>
    <t>HDFC0001225</t>
  </si>
  <si>
    <t xml:space="preserve">ODCET CONSULTANCY SERVICES PVT LTD
</t>
  </si>
  <si>
    <t>ODCET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</si>
</sst>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09]dd\ mmm\ yy"/>
    <numFmt numFmtId="165" formatCode="0.00000000E+00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/>
    <xf numFmtId="164" fontId="4" fillId="0" borderId="0" xfId="0" applyNumberFormat="1" applyFont="1"/>
    <xf numFmtId="1" fontId="4" fillId="0" borderId="0" xfId="0" applyNumberFormat="1" applyFont="1"/>
    <xf numFmtId="1" fontId="0" fillId="0" borderId="0" xfId="0" applyNumberFormat="1"/>
    <xf numFmtId="1" fontId="2" fillId="0" borderId="0" xfId="0" applyNumberFormat="1" applyFont="1"/>
    <xf numFmtId="0" fontId="4" fillId="0" borderId="0" xfId="0" applyFont="1"/>
    <xf numFmtId="0" fontId="1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5" fontId="0" fillId="0" borderId="1" xfId="0" applyNumberFormat="1" applyBorder="1" applyAlignment="1">
      <alignment horizontal="left" vertical="top"/>
    </xf>
    <xf numFmtId="1" fontId="4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164" fontId="4" fillId="0" borderId="1" xfId="0" applyNumberFormat="1" applyFont="1" applyBorder="1"/>
    <xf numFmtId="1" fontId="0" fillId="0" borderId="1" xfId="0" applyNumberFormat="1" applyBorder="1"/>
    <xf numFmtId="2" fontId="0" fillId="0" borderId="1" xfId="0" applyNumberFormat="1" applyBorder="1"/>
    <xf numFmtId="1" fontId="0" fillId="0" borderId="1" xfId="0" quotePrefix="1" applyNumberFormat="1" applyBorder="1" applyAlignment="1">
      <alignment horizontal="right"/>
    </xf>
    <xf numFmtId="0" fontId="5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1" fontId="0" fillId="4" borderId="0" xfId="0" applyNumberFormat="1" applyFill="1"/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horizontal="left" vertical="top"/>
    </xf>
    <xf numFmtId="1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" fontId="6" fillId="0" borderId="1" xfId="0" applyNumberFormat="1" applyFont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0" fillId="4" borderId="1" xfId="0" applyNumberFormat="1" applyFill="1" applyBorder="1" applyAlignment="1">
      <alignment horizontal="left" vertical="top"/>
    </xf>
    <xf numFmtId="165" fontId="0" fillId="2" borderId="0" xfId="0" quotePrefix="1" applyNumberFormat="1" applyFill="1" applyAlignment="1">
      <alignment horizontal="right" vertical="center" wrapText="1"/>
    </xf>
    <xf numFmtId="0" fontId="0" fillId="2" borderId="0" xfId="0" applyFill="1" applyAlignment="1">
      <alignment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2" xfId="0" applyBorder="1"/>
    <xf numFmtId="0" fontId="7" fillId="0" borderId="1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15" fontId="7" fillId="0" borderId="1" xfId="0" applyNumberFormat="1" applyFont="1" applyBorder="1" applyAlignment="1">
      <alignment horizontal="left" vertical="top"/>
    </xf>
    <xf numFmtId="1" fontId="7" fillId="0" borderId="1" xfId="0" applyNumberFormat="1" applyFont="1" applyBorder="1"/>
    <xf numFmtId="0" fontId="7" fillId="0" borderId="1" xfId="0" applyFont="1" applyBorder="1"/>
    <xf numFmtId="1" fontId="0" fillId="2" borderId="1" xfId="0" applyNumberFormat="1" applyFill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left"/>
    </xf>
    <xf numFmtId="1" fontId="0" fillId="0" borderId="1" xfId="0" applyNumberFormat="1" applyBorder="1" applyAlignment="1">
      <alignment horizontal="left"/>
    </xf>
    <xf numFmtId="1" fontId="0" fillId="0" borderId="0" xfId="0" applyNumberFormat="1" applyAlignment="1">
      <alignment horizontal="left"/>
    </xf>
    <xf numFmtId="1" fontId="0" fillId="0" borderId="1" xfId="0" quotePrefix="1" applyNumberFormat="1" applyBorder="1" applyAlignment="1">
      <alignment horizontal="left"/>
    </xf>
    <xf numFmtId="1" fontId="6" fillId="0" borderId="1" xfId="0" applyNumberFormat="1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" fontId="0" fillId="2" borderId="1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9" fillId="0" borderId="1" xfId="0" applyFont="1" applyBorder="1"/>
    <xf numFmtId="0" fontId="0" fillId="0" borderId="1" xfId="0" quotePrefix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1" fontId="7" fillId="0" borderId="1" xfId="0" applyNumberFormat="1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0" fillId="5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1" fontId="2" fillId="0" borderId="0" xfId="0" applyNumberFormat="1" applyFont="1" applyAlignment="1">
      <alignment horizontal="left"/>
    </xf>
    <xf numFmtId="1" fontId="0" fillId="0" borderId="1" xfId="0" applyNumberForma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0" fillId="0" borderId="0" xfId="0" applyBorder="1"/>
    <xf numFmtId="1" fontId="6" fillId="0" borderId="0" xfId="0" applyNumberFormat="1" applyFont="1" applyBorder="1" applyAlignment="1">
      <alignment horizontal="left" vertic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"/>
  <sheetViews>
    <sheetView workbookViewId="0">
      <pane xSplit="3" ySplit="1" topLeftCell="F2" activePane="bottomRight" state="frozen"/>
      <selection pane="topRight" activeCell="D1" sqref="D1"/>
      <selection pane="bottomLeft" activeCell="A2" sqref="A2"/>
      <selection pane="bottomRight" activeCell="G19" sqref="G19"/>
    </sheetView>
  </sheetViews>
  <sheetFormatPr defaultRowHeight="14.5" x14ac:dyDescent="0.35"/>
  <cols>
    <col min="1" max="1" width="11.26953125" bestFit="1" customWidth="1"/>
    <col min="2" max="2" width="24.36328125" bestFit="1" customWidth="1"/>
    <col min="3" max="3" width="9.54296875" bestFit="1" customWidth="1"/>
    <col min="4" max="4" width="8.36328125" bestFit="1" customWidth="1"/>
    <col min="5" max="5" width="12.90625" bestFit="1" customWidth="1"/>
    <col min="6" max="6" width="9.08984375" bestFit="1" customWidth="1"/>
    <col min="7" max="7" width="8.81640625" bestFit="1" customWidth="1"/>
    <col min="8" max="8" width="5.36328125" customWidth="1"/>
    <col min="9" max="10" width="8.36328125" bestFit="1" customWidth="1"/>
    <col min="11" max="11" width="15.81640625" bestFit="1" customWidth="1"/>
    <col min="12" max="12" width="15" bestFit="1" customWidth="1"/>
    <col min="13" max="13" width="13.36328125" bestFit="1" customWidth="1"/>
    <col min="14" max="14" width="16.90625" bestFit="1" customWidth="1"/>
    <col min="15" max="15" width="19" bestFit="1" customWidth="1"/>
    <col min="16" max="16" width="14.7265625" bestFit="1" customWidth="1"/>
    <col min="17" max="17" width="7.1796875" bestFit="1" customWidth="1"/>
    <col min="18" max="18" width="15.26953125" bestFit="1" customWidth="1"/>
    <col min="19" max="19" width="14.54296875" customWidth="1"/>
    <col min="20" max="20" width="13.1796875" bestFit="1" customWidth="1"/>
    <col min="21" max="21" width="5" bestFit="1" customWidth="1"/>
    <col min="22" max="22" width="13.453125" bestFit="1" customWidth="1"/>
    <col min="23" max="23" width="15.90625" bestFit="1" customWidth="1"/>
    <col min="24" max="24" width="16.6328125" bestFit="1" customWidth="1"/>
    <col min="25" max="25" width="18.7265625" bestFit="1" customWidth="1"/>
    <col min="26" max="26" width="14.7265625" bestFit="1" customWidth="1"/>
    <col min="27" max="27" width="15.26953125" bestFit="1" customWidth="1"/>
    <col min="28" max="28" width="15.26953125" customWidth="1"/>
    <col min="29" max="29" width="16.54296875" bestFit="1" customWidth="1"/>
  </cols>
  <sheetData>
    <row r="1" spans="1:29" x14ac:dyDescent="0.35">
      <c r="A1" s="27" t="s">
        <v>1</v>
      </c>
      <c r="B1" s="27" t="s">
        <v>0</v>
      </c>
      <c r="C1" s="27" t="s">
        <v>21</v>
      </c>
      <c r="D1" s="27" t="s">
        <v>25</v>
      </c>
      <c r="E1" s="1" t="s">
        <v>22</v>
      </c>
      <c r="F1" s="27" t="s">
        <v>23</v>
      </c>
      <c r="G1" s="27" t="s">
        <v>24</v>
      </c>
      <c r="H1" s="27"/>
      <c r="I1" s="27" t="s">
        <v>2</v>
      </c>
      <c r="J1" s="27" t="s">
        <v>3</v>
      </c>
      <c r="K1" s="27" t="s">
        <v>4</v>
      </c>
      <c r="L1" s="27" t="s">
        <v>5</v>
      </c>
      <c r="M1" s="27" t="s">
        <v>54</v>
      </c>
      <c r="N1" s="27" t="s">
        <v>10</v>
      </c>
      <c r="O1" s="27" t="s">
        <v>11</v>
      </c>
      <c r="P1" s="27" t="s">
        <v>12</v>
      </c>
      <c r="Q1" s="1" t="s">
        <v>6</v>
      </c>
      <c r="R1" s="1" t="s">
        <v>7</v>
      </c>
      <c r="S1" s="1" t="s">
        <v>8</v>
      </c>
      <c r="T1" s="1" t="s">
        <v>9</v>
      </c>
      <c r="U1" s="27" t="s">
        <v>13</v>
      </c>
      <c r="V1" s="27" t="s">
        <v>14</v>
      </c>
      <c r="W1" s="27" t="s">
        <v>15</v>
      </c>
      <c r="X1" s="27" t="s">
        <v>18</v>
      </c>
      <c r="Y1" s="27" t="s">
        <v>19</v>
      </c>
      <c r="Z1" s="27" t="s">
        <v>20</v>
      </c>
      <c r="AA1" s="27" t="s">
        <v>16</v>
      </c>
      <c r="AB1" s="27" t="s">
        <v>100</v>
      </c>
      <c r="AC1" s="27" t="s">
        <v>17</v>
      </c>
    </row>
    <row r="2" spans="1:29" s="28" customFormat="1" x14ac:dyDescent="0.35">
      <c r="A2" s="28" t="s">
        <v>27</v>
      </c>
      <c r="B2" s="28" t="s">
        <v>26</v>
      </c>
      <c r="C2" s="2">
        <v>46062</v>
      </c>
      <c r="D2" s="3">
        <v>70833</v>
      </c>
      <c r="E2" s="4">
        <v>30</v>
      </c>
      <c r="F2" s="4">
        <v>30</v>
      </c>
      <c r="G2" s="4">
        <v>0</v>
      </c>
      <c r="I2" s="4">
        <f>(+D2*50%)/E2*F2</f>
        <v>35416.5</v>
      </c>
      <c r="J2" s="4">
        <f>(I2*50%)</f>
        <v>17708.25</v>
      </c>
      <c r="K2" s="4">
        <f>(1600/E2)*F2</f>
        <v>1600</v>
      </c>
      <c r="L2" s="4">
        <f>(M2-I2-J2-K2)</f>
        <v>12604.716350000002</v>
      </c>
      <c r="M2" s="4">
        <f>((D2-X2)/E2*F2)-Z2</f>
        <v>67329.466350000002</v>
      </c>
      <c r="N2" s="4">
        <f>IF($I2*0.12&gt;1800,1800,$I2*0.12)</f>
        <v>1800</v>
      </c>
      <c r="O2" s="4">
        <f>IF(M2&lt;=21000,M2*0.75%,0)</f>
        <v>0</v>
      </c>
      <c r="P2" s="4">
        <v>200</v>
      </c>
      <c r="Q2" s="4">
        <v>0</v>
      </c>
      <c r="R2" s="30">
        <v>1999</v>
      </c>
      <c r="S2" s="4">
        <v>0</v>
      </c>
      <c r="T2" s="4">
        <f>M2+Q2+R2+S2</f>
        <v>69328.466350000002</v>
      </c>
      <c r="U2" s="4">
        <v>0</v>
      </c>
      <c r="V2" s="4">
        <v>0</v>
      </c>
      <c r="W2" s="4">
        <v>0</v>
      </c>
      <c r="X2" s="4">
        <f>IF($I2*0.12&gt;1800,1800,$I2*0.12)</f>
        <v>1800</v>
      </c>
      <c r="Y2" s="4">
        <f>IF(M2&lt;=21000,M2*3.25%,0)</f>
        <v>0</v>
      </c>
      <c r="Z2" s="4">
        <f>I2*4.81%</f>
        <v>1703.5336499999999</v>
      </c>
      <c r="AA2" s="4">
        <f>N2+O2+P2+V2+W2+U2+X2+Y2+Z2</f>
        <v>5503.5336499999994</v>
      </c>
      <c r="AB2" s="4">
        <v>1</v>
      </c>
      <c r="AC2" s="4">
        <f>M2-AA2+AB2+N2+Z2+R2</f>
        <v>67329.466350000002</v>
      </c>
    </row>
    <row r="3" spans="1:29" x14ac:dyDescent="0.35">
      <c r="A3" s="28" t="s">
        <v>96</v>
      </c>
      <c r="B3" s="28" t="s">
        <v>97</v>
      </c>
      <c r="C3" s="2">
        <v>46086</v>
      </c>
      <c r="D3">
        <v>100000</v>
      </c>
      <c r="E3">
        <v>30</v>
      </c>
      <c r="F3">
        <v>29</v>
      </c>
      <c r="G3">
        <v>1</v>
      </c>
      <c r="I3" s="4">
        <f t="shared" ref="I3" si="0">(+D3*49.99999%)/E3*F3</f>
        <v>48333.323666666663</v>
      </c>
      <c r="J3" s="4">
        <f>(I3*50%)</f>
        <v>24166.661833333332</v>
      </c>
      <c r="K3" s="4">
        <f>(1600/E3)*F3</f>
        <v>1546.6666666666667</v>
      </c>
      <c r="L3" s="4">
        <f>(M3-I3-J3-K3)</f>
        <v>18475.014500000008</v>
      </c>
      <c r="M3" s="4">
        <f>(D3-X3)/E3*F3-Z3</f>
        <v>92521.666666666672</v>
      </c>
      <c r="N3" s="4">
        <f>IF($I3*0.12&gt;1800,1800,$I3*0.12)</f>
        <v>1800</v>
      </c>
      <c r="O3" s="4">
        <f>IF(M3&lt;=21000,M3*0.75%,0)</f>
        <v>0</v>
      </c>
      <c r="P3" s="4">
        <v>200</v>
      </c>
      <c r="Q3" s="4">
        <v>0</v>
      </c>
      <c r="R3" s="4">
        <v>0</v>
      </c>
      <c r="S3" s="4">
        <v>0</v>
      </c>
      <c r="T3" s="4">
        <f>M3+Q3+R3+S3</f>
        <v>92521.666666666672</v>
      </c>
      <c r="U3" s="4">
        <v>0</v>
      </c>
      <c r="V3" s="4">
        <v>0</v>
      </c>
      <c r="W3" s="4">
        <v>0</v>
      </c>
      <c r="X3" s="4">
        <f>IF($I3*0.12&gt;1800,1800,$I3*0.12)</f>
        <v>1800</v>
      </c>
      <c r="Y3" s="4">
        <f>IF(M3&lt;=21000,M3*3.25%,0)</f>
        <v>0</v>
      </c>
      <c r="Z3" s="4">
        <v>2405</v>
      </c>
      <c r="AA3" s="4">
        <f>N3+O3+P3+V3+W3+U3+X3+Y3+Z3</f>
        <v>6205</v>
      </c>
      <c r="AB3" s="4"/>
      <c r="AC3" s="4">
        <f>M3-AA3+AB3+N3+Z3</f>
        <v>90521.666666666672</v>
      </c>
    </row>
    <row r="4" spans="1:29" x14ac:dyDescent="0.35">
      <c r="I4" s="4"/>
    </row>
    <row r="7" spans="1:29" x14ac:dyDescent="0.35">
      <c r="C7" t="s">
        <v>28</v>
      </c>
      <c r="D7" s="4">
        <f>SUM(D2:D6)</f>
        <v>170833</v>
      </c>
      <c r="I7" s="4">
        <f t="shared" ref="I7:AC7" si="1">SUM(I2:I6)</f>
        <v>83749.823666666663</v>
      </c>
      <c r="J7" s="4">
        <f t="shared" si="1"/>
        <v>41874.911833333332</v>
      </c>
      <c r="K7" s="4">
        <f t="shared" si="1"/>
        <v>3146.666666666667</v>
      </c>
      <c r="L7" s="4">
        <f t="shared" si="1"/>
        <v>31079.730850000011</v>
      </c>
      <c r="M7" s="4">
        <f t="shared" si="1"/>
        <v>159851.13301666669</v>
      </c>
      <c r="N7" s="4">
        <f t="shared" si="1"/>
        <v>3600</v>
      </c>
      <c r="O7" s="4">
        <f t="shared" si="1"/>
        <v>0</v>
      </c>
      <c r="P7" s="4">
        <f t="shared" si="1"/>
        <v>400</v>
      </c>
      <c r="Q7" s="4">
        <f t="shared" si="1"/>
        <v>0</v>
      </c>
      <c r="R7" s="4">
        <f t="shared" si="1"/>
        <v>1999</v>
      </c>
      <c r="S7" s="4">
        <f t="shared" si="1"/>
        <v>0</v>
      </c>
      <c r="T7" s="4">
        <f t="shared" si="1"/>
        <v>161850.13301666669</v>
      </c>
      <c r="U7" s="4">
        <f t="shared" si="1"/>
        <v>0</v>
      </c>
      <c r="V7" s="4">
        <f t="shared" si="1"/>
        <v>0</v>
      </c>
      <c r="W7" s="4">
        <f t="shared" si="1"/>
        <v>0</v>
      </c>
      <c r="X7" s="4">
        <f t="shared" si="1"/>
        <v>3600</v>
      </c>
      <c r="Y7" s="4">
        <f t="shared" si="1"/>
        <v>0</v>
      </c>
      <c r="Z7" s="4">
        <f t="shared" si="1"/>
        <v>4108.5336499999994</v>
      </c>
      <c r="AA7" s="4">
        <f t="shared" si="1"/>
        <v>11708.533649999999</v>
      </c>
      <c r="AB7" s="4"/>
      <c r="AC7" s="5">
        <f t="shared" si="1"/>
        <v>157851.13301666669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7414-A3D1-4254-8A8C-87E636D1B006}">
  <dimension ref="A1:I7"/>
  <sheetViews>
    <sheetView workbookViewId="0">
      <selection activeCell="B2" sqref="B2:B6"/>
    </sheetView>
  </sheetViews>
  <sheetFormatPr defaultRowHeight="14.5" x14ac:dyDescent="0.35"/>
  <cols>
    <col min="1" max="1" width="11.26953125" bestFit="1" customWidth="1"/>
    <col min="2" max="2" width="26.7265625" bestFit="1" customWidth="1"/>
    <col min="3" max="3" width="9.1796875" bestFit="1" customWidth="1"/>
    <col min="4" max="4" width="6.81640625" bestFit="1" customWidth="1"/>
    <col min="5" max="5" width="6.90625" bestFit="1" customWidth="1"/>
    <col min="6" max="6" width="4" bestFit="1" customWidth="1"/>
    <col min="7" max="7" width="5.08984375" bestFit="1" customWidth="1"/>
    <col min="8" max="8" width="7.36328125" bestFit="1" customWidth="1"/>
    <col min="9" max="9" width="6.90625" bestFit="1" customWidth="1"/>
  </cols>
  <sheetData>
    <row r="1" spans="1:9" x14ac:dyDescent="0.35">
      <c r="A1" s="19" t="s">
        <v>1</v>
      </c>
      <c r="B1" s="19" t="s">
        <v>0</v>
      </c>
      <c r="C1" s="19" t="s">
        <v>21</v>
      </c>
      <c r="D1" s="20" t="s">
        <v>25</v>
      </c>
      <c r="E1" s="20" t="s">
        <v>53</v>
      </c>
      <c r="F1" s="20" t="s">
        <v>13</v>
      </c>
      <c r="G1" s="20" t="s">
        <v>40</v>
      </c>
      <c r="H1" s="20" t="s">
        <v>41</v>
      </c>
      <c r="I1" s="20" t="s">
        <v>123</v>
      </c>
    </row>
    <row r="2" spans="1:9" x14ac:dyDescent="0.35">
      <c r="A2" s="21" t="s">
        <v>36</v>
      </c>
      <c r="B2" s="22" t="s">
        <v>52</v>
      </c>
      <c r="C2" s="23">
        <v>46055</v>
      </c>
      <c r="D2" s="22">
        <v>80000</v>
      </c>
      <c r="E2" s="24">
        <f>D2/30*30</f>
        <v>80000</v>
      </c>
      <c r="F2" s="22">
        <v>0</v>
      </c>
      <c r="G2" s="22">
        <v>200</v>
      </c>
      <c r="H2" s="24">
        <f>E2-G2</f>
        <v>79800</v>
      </c>
      <c r="I2" s="24"/>
    </row>
    <row r="3" spans="1:9" x14ac:dyDescent="0.35">
      <c r="A3" s="21" t="s">
        <v>35</v>
      </c>
      <c r="B3" s="21" t="s">
        <v>38</v>
      </c>
      <c r="C3" s="23">
        <v>46055</v>
      </c>
      <c r="D3" s="22">
        <v>70000</v>
      </c>
      <c r="E3" s="24">
        <f>D3/30*30</f>
        <v>70000</v>
      </c>
      <c r="F3" s="22">
        <v>0</v>
      </c>
      <c r="G3" s="22">
        <v>200</v>
      </c>
      <c r="H3" s="24">
        <f>E3-G3</f>
        <v>69800</v>
      </c>
      <c r="I3" s="24"/>
    </row>
    <row r="4" spans="1:9" x14ac:dyDescent="0.35">
      <c r="A4" s="21" t="s">
        <v>46</v>
      </c>
      <c r="B4" s="21" t="s">
        <v>47</v>
      </c>
      <c r="C4" s="23">
        <v>46066</v>
      </c>
      <c r="D4" s="22">
        <v>60000</v>
      </c>
      <c r="E4" s="24">
        <f>D4/30*28</f>
        <v>56000</v>
      </c>
      <c r="F4" s="22">
        <v>0</v>
      </c>
      <c r="G4" s="22">
        <v>200</v>
      </c>
      <c r="H4" s="24">
        <f>E4-G4</f>
        <v>55800</v>
      </c>
      <c r="I4" s="24" t="s">
        <v>142</v>
      </c>
    </row>
    <row r="5" spans="1:9" x14ac:dyDescent="0.35">
      <c r="A5" s="21" t="s">
        <v>37</v>
      </c>
      <c r="B5" s="21" t="s">
        <v>39</v>
      </c>
      <c r="C5" s="23">
        <v>46072</v>
      </c>
      <c r="D5" s="22">
        <v>80000</v>
      </c>
      <c r="E5" s="24">
        <f>D5/30*28</f>
        <v>74666.666666666657</v>
      </c>
      <c r="F5" s="22">
        <v>0</v>
      </c>
      <c r="G5" s="22">
        <v>200</v>
      </c>
      <c r="H5" s="24">
        <f>E5-G5</f>
        <v>74466.666666666657</v>
      </c>
      <c r="I5" s="24" t="s">
        <v>140</v>
      </c>
    </row>
    <row r="6" spans="1:9" x14ac:dyDescent="0.35">
      <c r="A6" s="17" t="s">
        <v>98</v>
      </c>
      <c r="B6" s="18" t="s">
        <v>99</v>
      </c>
      <c r="C6" s="23">
        <v>46092</v>
      </c>
      <c r="D6" s="22">
        <v>20000</v>
      </c>
      <c r="E6" s="24">
        <f>D6/30*27</f>
        <v>18000</v>
      </c>
      <c r="F6" s="22">
        <v>0</v>
      </c>
      <c r="G6" s="22">
        <v>200</v>
      </c>
      <c r="H6" s="24">
        <f>E6-G6</f>
        <v>17800</v>
      </c>
      <c r="I6" s="24" t="s">
        <v>141</v>
      </c>
    </row>
    <row r="7" spans="1:9" x14ac:dyDescent="0.35">
      <c r="G7" s="1" t="s">
        <v>28</v>
      </c>
      <c r="H7" s="5">
        <f>SUM(H2:H6)</f>
        <v>297666.66666666663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E387-27D4-44EE-A3D1-5D19139B38CB}">
  <dimension ref="A1:AB41"/>
  <sheetViews>
    <sheetView zoomScale="120" zoomScaleNormal="120" workbookViewId="0">
      <pane xSplit="4" ySplit="1" topLeftCell="E29" activePane="bottomRight" state="frozen"/>
      <selection pane="topRight" activeCell="E1" sqref="E1"/>
      <selection pane="bottomLeft" activeCell="A2" sqref="A2"/>
      <selection pane="bottomRight" activeCell="B2" sqref="B2:B41"/>
    </sheetView>
  </sheetViews>
  <sheetFormatPr defaultRowHeight="14.5" x14ac:dyDescent="0.35"/>
  <cols>
    <col min="1" max="1" width="11.26953125" style="9" bestFit="1" customWidth="1"/>
    <col min="2" max="2" width="31.81640625" style="9" customWidth="1"/>
    <col min="3" max="3" width="9.54296875" style="9" bestFit="1" customWidth="1"/>
    <col min="4" max="4" width="8.36328125" style="9" bestFit="1" customWidth="1"/>
    <col min="5" max="5" width="12.90625" style="9" bestFit="1" customWidth="1"/>
    <col min="6" max="6" width="9.08984375" style="9" bestFit="1" customWidth="1"/>
    <col min="7" max="7" width="8.81640625" style="9" bestFit="1" customWidth="1"/>
    <col min="8" max="8" width="5.36328125" style="9" customWidth="1"/>
    <col min="9" max="10" width="8.36328125" style="9" customWidth="1"/>
    <col min="11" max="11" width="15.81640625" style="9" customWidth="1"/>
    <col min="12" max="12" width="15" style="9" customWidth="1"/>
    <col min="13" max="13" width="13.36328125" style="9" customWidth="1"/>
    <col min="14" max="14" width="16.90625" style="9" customWidth="1"/>
    <col min="15" max="15" width="19" style="9" customWidth="1"/>
    <col min="16" max="16" width="14.7265625" style="9" customWidth="1"/>
    <col min="17" max="17" width="7.1796875" style="9" customWidth="1"/>
    <col min="18" max="18" width="15.26953125" style="9" customWidth="1"/>
    <col min="19" max="19" width="14.54296875" style="9" customWidth="1"/>
    <col min="20" max="20" width="12.1796875" style="9" customWidth="1"/>
    <col min="21" max="21" width="5" style="9" customWidth="1"/>
    <col min="22" max="22" width="13.453125" style="9" customWidth="1"/>
    <col min="23" max="23" width="15.90625" style="9" customWidth="1"/>
    <col min="24" max="24" width="16.6328125" style="9" customWidth="1"/>
    <col min="25" max="25" width="18.7265625" style="9" customWidth="1"/>
    <col min="26" max="26" width="14.7265625" style="9" customWidth="1"/>
    <col min="27" max="27" width="15.26953125" style="9" bestFit="1" customWidth="1"/>
    <col min="28" max="28" width="16.54296875" style="9" bestFit="1" customWidth="1"/>
    <col min="29" max="16384" width="8.7265625" style="9"/>
  </cols>
  <sheetData>
    <row r="1" spans="1:28" x14ac:dyDescent="0.35">
      <c r="A1" s="7" t="s">
        <v>1</v>
      </c>
      <c r="B1" s="7" t="s">
        <v>0</v>
      </c>
      <c r="C1" s="7" t="s">
        <v>21</v>
      </c>
      <c r="D1" s="7" t="s">
        <v>25</v>
      </c>
      <c r="E1" s="8" t="s">
        <v>22</v>
      </c>
      <c r="F1" s="7" t="s">
        <v>23</v>
      </c>
      <c r="G1" s="7" t="s">
        <v>24</v>
      </c>
      <c r="H1" s="7"/>
      <c r="I1" s="7" t="s">
        <v>2</v>
      </c>
      <c r="J1" s="7" t="s">
        <v>3</v>
      </c>
      <c r="K1" s="7" t="s">
        <v>4</v>
      </c>
      <c r="L1" s="7" t="s">
        <v>5</v>
      </c>
      <c r="M1" s="7" t="s">
        <v>54</v>
      </c>
      <c r="N1" s="7" t="s">
        <v>10</v>
      </c>
      <c r="O1" s="7" t="s">
        <v>11</v>
      </c>
      <c r="P1" s="7" t="s">
        <v>12</v>
      </c>
      <c r="Q1" s="8" t="s">
        <v>6</v>
      </c>
      <c r="R1" s="8" t="s">
        <v>7</v>
      </c>
      <c r="S1" s="8" t="s">
        <v>8</v>
      </c>
      <c r="T1" s="8" t="s">
        <v>9</v>
      </c>
      <c r="U1" s="7" t="s">
        <v>13</v>
      </c>
      <c r="V1" s="7" t="s">
        <v>14</v>
      </c>
      <c r="W1" s="7" t="s">
        <v>15</v>
      </c>
      <c r="X1" s="7" t="s">
        <v>18</v>
      </c>
      <c r="Y1" s="7" t="s">
        <v>19</v>
      </c>
      <c r="Z1" s="7" t="s">
        <v>20</v>
      </c>
      <c r="AA1" s="7" t="s">
        <v>16</v>
      </c>
      <c r="AB1" s="7" t="s">
        <v>17</v>
      </c>
    </row>
    <row r="2" spans="1:28" x14ac:dyDescent="0.35">
      <c r="A2" s="10" t="s">
        <v>56</v>
      </c>
      <c r="B2" s="11" t="s">
        <v>57</v>
      </c>
      <c r="C2" s="12">
        <v>46083</v>
      </c>
      <c r="D2" s="13">
        <v>45000</v>
      </c>
      <c r="E2" s="14">
        <v>30</v>
      </c>
      <c r="F2" s="14">
        <v>30</v>
      </c>
      <c r="G2" s="14">
        <v>0</v>
      </c>
      <c r="H2" s="14"/>
      <c r="I2" s="15">
        <f t="shared" ref="I2:I39" si="0">(+D2*49.99999%)/E2*F2</f>
        <v>22499.995499999997</v>
      </c>
      <c r="J2" s="15">
        <f t="shared" ref="J2:J39" si="1">(I2*50%)</f>
        <v>11249.997749999999</v>
      </c>
      <c r="K2" s="15">
        <f t="shared" ref="K2:K39" si="2">(1600/E2)*F2</f>
        <v>1600</v>
      </c>
      <c r="L2" s="15">
        <f t="shared" ref="L2:L39" si="3">(M2-I2-J2-K2)</f>
        <v>6767.7569664500079</v>
      </c>
      <c r="M2" s="15">
        <f t="shared" ref="M2:M39" si="4">(D2-X2)/E2*F2-Z2</f>
        <v>42117.750216450004</v>
      </c>
      <c r="N2" s="15">
        <f>IF($I2*0.12&gt;1800,1800,$I2*0.12)</f>
        <v>1800</v>
      </c>
      <c r="O2" s="15">
        <f>IF(M2&lt;=21000,M2*0.75%,0)</f>
        <v>0</v>
      </c>
      <c r="P2" s="15">
        <v>200</v>
      </c>
      <c r="Q2" s="15">
        <v>0</v>
      </c>
      <c r="R2" s="15">
        <v>0</v>
      </c>
      <c r="S2" s="15">
        <v>0</v>
      </c>
      <c r="T2" s="15">
        <f t="shared" ref="T2:T39" si="5">M2+Q2+R2+S2</f>
        <v>42117.750216450004</v>
      </c>
      <c r="U2" s="15">
        <v>0</v>
      </c>
      <c r="V2" s="15">
        <v>0</v>
      </c>
      <c r="W2" s="15">
        <v>0</v>
      </c>
      <c r="X2" s="15">
        <f>IF($I2*0.12&gt;1800,1800,$I2*0.12)</f>
        <v>1800</v>
      </c>
      <c r="Y2" s="15">
        <f>IF(M2&lt;=21000,M2*3.25%,0)</f>
        <v>0</v>
      </c>
      <c r="Z2" s="15">
        <f t="shared" ref="Z2:Z21" si="6">I2*4.81%</f>
        <v>1082.2497835499998</v>
      </c>
      <c r="AA2" s="15">
        <f>N2+O2+P2+V2+W2+U2+X2+Y2+Z2</f>
        <v>4882.2497835499998</v>
      </c>
      <c r="AB2" s="15">
        <f>M2-AA2+Z2+X2</f>
        <v>40117.750216450004</v>
      </c>
    </row>
    <row r="3" spans="1:28" x14ac:dyDescent="0.35">
      <c r="A3" s="10" t="s">
        <v>58</v>
      </c>
      <c r="B3" s="11" t="s">
        <v>59</v>
      </c>
      <c r="C3" s="12">
        <v>46083</v>
      </c>
      <c r="D3" s="13">
        <v>45000</v>
      </c>
      <c r="E3" s="14">
        <v>30</v>
      </c>
      <c r="F3" s="14">
        <v>30</v>
      </c>
      <c r="G3" s="14">
        <v>0</v>
      </c>
      <c r="H3" s="14"/>
      <c r="I3" s="15">
        <f t="shared" si="0"/>
        <v>22499.995499999997</v>
      </c>
      <c r="J3" s="15">
        <f t="shared" si="1"/>
        <v>11249.997749999999</v>
      </c>
      <c r="K3" s="15">
        <f t="shared" si="2"/>
        <v>1600</v>
      </c>
      <c r="L3" s="15">
        <f t="shared" si="3"/>
        <v>6767.7569664500079</v>
      </c>
      <c r="M3" s="15">
        <f t="shared" si="4"/>
        <v>42117.750216450004</v>
      </c>
      <c r="N3" s="15">
        <f t="shared" ref="N3:N41" si="7">IF($I3*0.12&gt;1800,1800,$I3*0.12)</f>
        <v>1800</v>
      </c>
      <c r="O3" s="15">
        <f t="shared" ref="O3:O39" si="8">IF(M3&lt;=21000,M3*0.75%,0)</f>
        <v>0</v>
      </c>
      <c r="P3" s="15">
        <v>200</v>
      </c>
      <c r="Q3" s="15">
        <v>0</v>
      </c>
      <c r="R3" s="15">
        <v>0</v>
      </c>
      <c r="S3" s="15">
        <v>0</v>
      </c>
      <c r="T3" s="15">
        <f t="shared" si="5"/>
        <v>42117.750216450004</v>
      </c>
      <c r="U3" s="15">
        <v>0</v>
      </c>
      <c r="V3" s="15">
        <v>0</v>
      </c>
      <c r="W3" s="15">
        <v>0</v>
      </c>
      <c r="X3" s="15">
        <f t="shared" ref="X3:X41" si="9">IF($I3*0.12&gt;1800,1800,$I3*0.12)</f>
        <v>1800</v>
      </c>
      <c r="Y3" s="15">
        <f t="shared" ref="Y3:Y39" si="10">IF(M3&lt;=21000,M3*3.25%,0)</f>
        <v>0</v>
      </c>
      <c r="Z3" s="15">
        <f t="shared" si="6"/>
        <v>1082.2497835499998</v>
      </c>
      <c r="AA3" s="15">
        <f t="shared" ref="AA3:AA21" si="11">N3+O3+P3+V3+W3+U3+X3+Y3+Z3</f>
        <v>4882.2497835499998</v>
      </c>
      <c r="AB3" s="15">
        <f t="shared" ref="AB3:AB21" si="12">M3-AA3+Z3+X3</f>
        <v>40117.750216450004</v>
      </c>
    </row>
    <row r="4" spans="1:28" x14ac:dyDescent="0.35">
      <c r="A4" s="10" t="s">
        <v>60</v>
      </c>
      <c r="B4" s="11" t="s">
        <v>61</v>
      </c>
      <c r="C4" s="12">
        <v>46083</v>
      </c>
      <c r="D4" s="13">
        <v>60000</v>
      </c>
      <c r="E4" s="14">
        <v>30</v>
      </c>
      <c r="F4" s="14">
        <v>29</v>
      </c>
      <c r="G4" s="32">
        <v>1</v>
      </c>
      <c r="H4" s="14"/>
      <c r="I4" s="15">
        <f t="shared" si="0"/>
        <v>28999.994199999994</v>
      </c>
      <c r="J4" s="15">
        <f t="shared" si="1"/>
        <v>14499.997099999997</v>
      </c>
      <c r="K4" s="15">
        <f t="shared" si="2"/>
        <v>1546.6666666666667</v>
      </c>
      <c r="L4" s="15">
        <f t="shared" si="3"/>
        <v>9818.4423123133402</v>
      </c>
      <c r="M4" s="15">
        <f t="shared" si="4"/>
        <v>54865.100278979997</v>
      </c>
      <c r="N4" s="15">
        <f t="shared" si="7"/>
        <v>1800</v>
      </c>
      <c r="O4" s="15">
        <f t="shared" si="8"/>
        <v>0</v>
      </c>
      <c r="P4" s="15">
        <v>200</v>
      </c>
      <c r="Q4" s="15">
        <v>0</v>
      </c>
      <c r="R4" s="15">
        <v>0</v>
      </c>
      <c r="S4" s="15">
        <v>0</v>
      </c>
      <c r="T4" s="15">
        <f t="shared" si="5"/>
        <v>54865.100278979997</v>
      </c>
      <c r="U4" s="15">
        <v>0</v>
      </c>
      <c r="V4" s="15">
        <v>0</v>
      </c>
      <c r="W4" s="15">
        <v>0</v>
      </c>
      <c r="X4" s="15">
        <f t="shared" si="9"/>
        <v>1800</v>
      </c>
      <c r="Y4" s="15">
        <f t="shared" si="10"/>
        <v>0</v>
      </c>
      <c r="Z4" s="15">
        <f t="shared" si="6"/>
        <v>1394.8997210199996</v>
      </c>
      <c r="AA4" s="15">
        <f t="shared" si="11"/>
        <v>5194.8997210199996</v>
      </c>
      <c r="AB4" s="15">
        <f t="shared" si="12"/>
        <v>52865.100278979997</v>
      </c>
    </row>
    <row r="5" spans="1:28" x14ac:dyDescent="0.35">
      <c r="A5" s="10" t="s">
        <v>62</v>
      </c>
      <c r="B5" s="11" t="s">
        <v>63</v>
      </c>
      <c r="C5" s="12">
        <v>46083</v>
      </c>
      <c r="D5" s="13">
        <v>23000</v>
      </c>
      <c r="E5" s="14">
        <v>30</v>
      </c>
      <c r="F5" s="14">
        <v>30</v>
      </c>
      <c r="G5" s="14">
        <v>0</v>
      </c>
      <c r="H5" s="14"/>
      <c r="I5" s="15">
        <f t="shared" si="0"/>
        <v>11499.997699999998</v>
      </c>
      <c r="J5" s="15">
        <f t="shared" si="1"/>
        <v>5749.998849999999</v>
      </c>
      <c r="K5" s="15">
        <f t="shared" si="2"/>
        <v>1600</v>
      </c>
      <c r="L5" s="15">
        <f t="shared" si="3"/>
        <v>2216.8538366300008</v>
      </c>
      <c r="M5" s="15">
        <f t="shared" si="4"/>
        <v>21066.850386629998</v>
      </c>
      <c r="N5" s="15">
        <f t="shared" si="7"/>
        <v>1379.9997239999998</v>
      </c>
      <c r="O5" s="15">
        <f t="shared" si="8"/>
        <v>0</v>
      </c>
      <c r="P5" s="15">
        <v>200</v>
      </c>
      <c r="Q5" s="15">
        <v>0</v>
      </c>
      <c r="R5" s="15">
        <v>0</v>
      </c>
      <c r="S5" s="15">
        <v>0</v>
      </c>
      <c r="T5" s="15">
        <f t="shared" si="5"/>
        <v>21066.850386629998</v>
      </c>
      <c r="U5" s="15">
        <v>0</v>
      </c>
      <c r="V5" s="15">
        <v>0</v>
      </c>
      <c r="W5" s="15">
        <v>0</v>
      </c>
      <c r="X5" s="15">
        <f t="shared" si="9"/>
        <v>1379.9997239999998</v>
      </c>
      <c r="Y5" s="15">
        <f t="shared" si="10"/>
        <v>0</v>
      </c>
      <c r="Z5" s="15">
        <f t="shared" si="6"/>
        <v>553.14988936999987</v>
      </c>
      <c r="AA5" s="15">
        <f t="shared" si="11"/>
        <v>3513.1493373699996</v>
      </c>
      <c r="AB5" s="15">
        <f t="shared" si="12"/>
        <v>19486.85066263</v>
      </c>
    </row>
    <row r="6" spans="1:28" x14ac:dyDescent="0.35">
      <c r="A6" s="10" t="s">
        <v>64</v>
      </c>
      <c r="B6" s="11" t="s">
        <v>65</v>
      </c>
      <c r="C6" s="12">
        <v>46083</v>
      </c>
      <c r="D6" s="15">
        <v>50000</v>
      </c>
      <c r="E6" s="14">
        <v>30</v>
      </c>
      <c r="F6" s="14">
        <v>30</v>
      </c>
      <c r="G6" s="14">
        <v>0</v>
      </c>
      <c r="H6" s="14"/>
      <c r="I6" s="15">
        <f t="shared" si="0"/>
        <v>24999.994999999995</v>
      </c>
      <c r="J6" s="15">
        <f t="shared" si="1"/>
        <v>12499.997499999998</v>
      </c>
      <c r="K6" s="15">
        <f t="shared" si="2"/>
        <v>1600</v>
      </c>
      <c r="L6" s="15">
        <f t="shared" si="3"/>
        <v>7897.5077405000047</v>
      </c>
      <c r="M6" s="15">
        <f t="shared" si="4"/>
        <v>46997.500240499998</v>
      </c>
      <c r="N6" s="15">
        <f t="shared" si="7"/>
        <v>1800</v>
      </c>
      <c r="O6" s="15">
        <f t="shared" si="8"/>
        <v>0</v>
      </c>
      <c r="P6" s="15">
        <v>200</v>
      </c>
      <c r="Q6" s="15">
        <v>0</v>
      </c>
      <c r="R6" s="15">
        <v>0</v>
      </c>
      <c r="S6" s="15">
        <v>0</v>
      </c>
      <c r="T6" s="15">
        <f t="shared" si="5"/>
        <v>46997.500240499998</v>
      </c>
      <c r="U6" s="15">
        <v>0</v>
      </c>
      <c r="V6" s="15">
        <v>0</v>
      </c>
      <c r="W6" s="15">
        <v>0</v>
      </c>
      <c r="X6" s="15">
        <f t="shared" si="9"/>
        <v>1800</v>
      </c>
      <c r="Y6" s="15">
        <f t="shared" si="10"/>
        <v>0</v>
      </c>
      <c r="Z6" s="15">
        <f t="shared" si="6"/>
        <v>1202.4997594999998</v>
      </c>
      <c r="AA6" s="15">
        <f t="shared" si="11"/>
        <v>5002.4997594999995</v>
      </c>
      <c r="AB6" s="15">
        <f t="shared" si="12"/>
        <v>44997.500240499998</v>
      </c>
    </row>
    <row r="7" spans="1:28" x14ac:dyDescent="0.35">
      <c r="A7" s="10" t="s">
        <v>66</v>
      </c>
      <c r="B7" s="11" t="s">
        <v>67</v>
      </c>
      <c r="C7" s="12">
        <v>46083</v>
      </c>
      <c r="D7" s="13">
        <v>45000</v>
      </c>
      <c r="E7" s="14">
        <v>30</v>
      </c>
      <c r="F7" s="14">
        <v>30</v>
      </c>
      <c r="G7" s="14">
        <v>0</v>
      </c>
      <c r="H7" s="14"/>
      <c r="I7" s="15">
        <f t="shared" si="0"/>
        <v>22499.995499999997</v>
      </c>
      <c r="J7" s="15">
        <f t="shared" si="1"/>
        <v>11249.997749999999</v>
      </c>
      <c r="K7" s="15">
        <f t="shared" si="2"/>
        <v>1600</v>
      </c>
      <c r="L7" s="15">
        <f t="shared" si="3"/>
        <v>6767.7569664500079</v>
      </c>
      <c r="M7" s="15">
        <f t="shared" si="4"/>
        <v>42117.750216450004</v>
      </c>
      <c r="N7" s="15">
        <f t="shared" si="7"/>
        <v>1800</v>
      </c>
      <c r="O7" s="15">
        <f t="shared" si="8"/>
        <v>0</v>
      </c>
      <c r="P7" s="15">
        <v>200</v>
      </c>
      <c r="Q7" s="15">
        <v>0</v>
      </c>
      <c r="R7" s="15">
        <v>0</v>
      </c>
      <c r="S7" s="15">
        <v>0</v>
      </c>
      <c r="T7" s="15">
        <f t="shared" si="5"/>
        <v>42117.750216450004</v>
      </c>
      <c r="U7" s="15">
        <v>0</v>
      </c>
      <c r="V7" s="15">
        <v>0</v>
      </c>
      <c r="W7" s="15">
        <v>0</v>
      </c>
      <c r="X7" s="15">
        <f t="shared" si="9"/>
        <v>1800</v>
      </c>
      <c r="Y7" s="15">
        <f t="shared" si="10"/>
        <v>0</v>
      </c>
      <c r="Z7" s="15">
        <f t="shared" si="6"/>
        <v>1082.2497835499998</v>
      </c>
      <c r="AA7" s="15">
        <f t="shared" si="11"/>
        <v>4882.2497835499998</v>
      </c>
      <c r="AB7" s="15">
        <f t="shared" si="12"/>
        <v>40117.750216450004</v>
      </c>
    </row>
    <row r="8" spans="1:28" x14ac:dyDescent="0.35">
      <c r="A8" s="10" t="s">
        <v>68</v>
      </c>
      <c r="B8" s="11" t="s">
        <v>69</v>
      </c>
      <c r="C8" s="12">
        <v>46083</v>
      </c>
      <c r="D8" s="13">
        <v>45000</v>
      </c>
      <c r="E8" s="14">
        <v>30</v>
      </c>
      <c r="F8" s="14">
        <v>30</v>
      </c>
      <c r="G8" s="14">
        <v>0</v>
      </c>
      <c r="H8" s="14"/>
      <c r="I8" s="15">
        <f t="shared" si="0"/>
        <v>22499.995499999997</v>
      </c>
      <c r="J8" s="15">
        <f t="shared" si="1"/>
        <v>11249.997749999999</v>
      </c>
      <c r="K8" s="15">
        <f t="shared" si="2"/>
        <v>1600</v>
      </c>
      <c r="L8" s="15">
        <f t="shared" si="3"/>
        <v>6767.7569664500079</v>
      </c>
      <c r="M8" s="15">
        <f t="shared" si="4"/>
        <v>42117.750216450004</v>
      </c>
      <c r="N8" s="15">
        <f t="shared" si="7"/>
        <v>1800</v>
      </c>
      <c r="O8" s="15">
        <f t="shared" si="8"/>
        <v>0</v>
      </c>
      <c r="P8" s="15">
        <v>200</v>
      </c>
      <c r="Q8" s="15">
        <v>0</v>
      </c>
      <c r="R8" s="15">
        <v>0</v>
      </c>
      <c r="S8" s="15">
        <v>0</v>
      </c>
      <c r="T8" s="15">
        <f t="shared" si="5"/>
        <v>42117.750216450004</v>
      </c>
      <c r="U8" s="15">
        <v>0</v>
      </c>
      <c r="V8" s="15">
        <v>0</v>
      </c>
      <c r="W8" s="15">
        <v>0</v>
      </c>
      <c r="X8" s="15">
        <f t="shared" si="9"/>
        <v>1800</v>
      </c>
      <c r="Y8" s="15">
        <f t="shared" si="10"/>
        <v>0</v>
      </c>
      <c r="Z8" s="15">
        <f t="shared" si="6"/>
        <v>1082.2497835499998</v>
      </c>
      <c r="AA8" s="15">
        <f t="shared" si="11"/>
        <v>4882.2497835499998</v>
      </c>
      <c r="AB8" s="15">
        <f t="shared" si="12"/>
        <v>40117.750216450004</v>
      </c>
    </row>
    <row r="9" spans="1:28" x14ac:dyDescent="0.35">
      <c r="A9" s="10" t="s">
        <v>70</v>
      </c>
      <c r="B9" s="11" t="s">
        <v>71</v>
      </c>
      <c r="C9" s="12">
        <v>46083</v>
      </c>
      <c r="D9" s="13">
        <v>45000</v>
      </c>
      <c r="E9" s="14">
        <v>30</v>
      </c>
      <c r="F9" s="14">
        <v>30</v>
      </c>
      <c r="G9" s="14">
        <v>0</v>
      </c>
      <c r="H9" s="14"/>
      <c r="I9" s="15">
        <f t="shared" si="0"/>
        <v>22499.995499999997</v>
      </c>
      <c r="J9" s="15">
        <f t="shared" si="1"/>
        <v>11249.997749999999</v>
      </c>
      <c r="K9" s="15">
        <f t="shared" si="2"/>
        <v>1600</v>
      </c>
      <c r="L9" s="15">
        <f t="shared" si="3"/>
        <v>6767.7569664500079</v>
      </c>
      <c r="M9" s="15">
        <f t="shared" si="4"/>
        <v>42117.750216450004</v>
      </c>
      <c r="N9" s="15">
        <f t="shared" si="7"/>
        <v>1800</v>
      </c>
      <c r="O9" s="15">
        <f t="shared" si="8"/>
        <v>0</v>
      </c>
      <c r="P9" s="15">
        <v>200</v>
      </c>
      <c r="Q9" s="15">
        <v>0</v>
      </c>
      <c r="R9" s="15">
        <v>0</v>
      </c>
      <c r="S9" s="15">
        <v>0</v>
      </c>
      <c r="T9" s="15">
        <f t="shared" si="5"/>
        <v>42117.750216450004</v>
      </c>
      <c r="U9" s="15">
        <v>0</v>
      </c>
      <c r="V9" s="15">
        <v>0</v>
      </c>
      <c r="W9" s="15">
        <v>0</v>
      </c>
      <c r="X9" s="15">
        <f t="shared" si="9"/>
        <v>1800</v>
      </c>
      <c r="Y9" s="15">
        <f t="shared" si="10"/>
        <v>0</v>
      </c>
      <c r="Z9" s="15">
        <f t="shared" si="6"/>
        <v>1082.2497835499998</v>
      </c>
      <c r="AA9" s="15">
        <f t="shared" si="11"/>
        <v>4882.2497835499998</v>
      </c>
      <c r="AB9" s="15">
        <f t="shared" si="12"/>
        <v>40117.750216450004</v>
      </c>
    </row>
    <row r="10" spans="1:28" x14ac:dyDescent="0.35">
      <c r="A10" s="10" t="s">
        <v>72</v>
      </c>
      <c r="B10" s="11" t="s">
        <v>73</v>
      </c>
      <c r="C10" s="12">
        <v>46083</v>
      </c>
      <c r="D10" s="13">
        <v>45000</v>
      </c>
      <c r="E10" s="14">
        <v>30</v>
      </c>
      <c r="F10" s="14">
        <v>30</v>
      </c>
      <c r="G10" s="14">
        <v>0</v>
      </c>
      <c r="H10" s="14"/>
      <c r="I10" s="15">
        <f t="shared" si="0"/>
        <v>22499.995499999997</v>
      </c>
      <c r="J10" s="15">
        <f t="shared" si="1"/>
        <v>11249.997749999999</v>
      </c>
      <c r="K10" s="15">
        <f t="shared" si="2"/>
        <v>1600</v>
      </c>
      <c r="L10" s="15">
        <f t="shared" si="3"/>
        <v>6767.7569664500079</v>
      </c>
      <c r="M10" s="15">
        <f t="shared" si="4"/>
        <v>42117.750216450004</v>
      </c>
      <c r="N10" s="15">
        <f t="shared" si="7"/>
        <v>1800</v>
      </c>
      <c r="O10" s="15">
        <f t="shared" si="8"/>
        <v>0</v>
      </c>
      <c r="P10" s="15">
        <v>200</v>
      </c>
      <c r="Q10" s="15">
        <v>0</v>
      </c>
      <c r="R10" s="15">
        <v>0</v>
      </c>
      <c r="S10" s="15">
        <v>0</v>
      </c>
      <c r="T10" s="15">
        <f t="shared" si="5"/>
        <v>42117.750216450004</v>
      </c>
      <c r="U10" s="15">
        <v>0</v>
      </c>
      <c r="V10" s="15">
        <v>0</v>
      </c>
      <c r="W10" s="15">
        <v>0</v>
      </c>
      <c r="X10" s="15">
        <f t="shared" si="9"/>
        <v>1800</v>
      </c>
      <c r="Y10" s="15">
        <f t="shared" si="10"/>
        <v>0</v>
      </c>
      <c r="Z10" s="15">
        <f t="shared" si="6"/>
        <v>1082.2497835499998</v>
      </c>
      <c r="AA10" s="15">
        <f t="shared" si="11"/>
        <v>4882.2497835499998</v>
      </c>
      <c r="AB10" s="15">
        <f t="shared" si="12"/>
        <v>40117.750216450004</v>
      </c>
    </row>
    <row r="11" spans="1:28" x14ac:dyDescent="0.35">
      <c r="A11" s="10" t="s">
        <v>74</v>
      </c>
      <c r="B11" s="11" t="s">
        <v>75</v>
      </c>
      <c r="C11" s="12">
        <v>46083</v>
      </c>
      <c r="D11" s="13">
        <v>50000</v>
      </c>
      <c r="E11" s="14">
        <v>30</v>
      </c>
      <c r="F11" s="14">
        <v>30</v>
      </c>
      <c r="G11" s="14">
        <v>0</v>
      </c>
      <c r="H11" s="14"/>
      <c r="I11" s="15">
        <f t="shared" si="0"/>
        <v>24999.994999999995</v>
      </c>
      <c r="J11" s="15">
        <f t="shared" si="1"/>
        <v>12499.997499999998</v>
      </c>
      <c r="K11" s="15">
        <f t="shared" si="2"/>
        <v>1600</v>
      </c>
      <c r="L11" s="15">
        <f t="shared" si="3"/>
        <v>7897.5077405000047</v>
      </c>
      <c r="M11" s="15">
        <f t="shared" si="4"/>
        <v>46997.500240499998</v>
      </c>
      <c r="N11" s="15">
        <f t="shared" si="7"/>
        <v>1800</v>
      </c>
      <c r="O11" s="15">
        <f t="shared" si="8"/>
        <v>0</v>
      </c>
      <c r="P11" s="15">
        <v>200</v>
      </c>
      <c r="Q11" s="15">
        <v>0</v>
      </c>
      <c r="R11" s="15">
        <v>0</v>
      </c>
      <c r="S11" s="15">
        <v>0</v>
      </c>
      <c r="T11" s="15">
        <f t="shared" si="5"/>
        <v>46997.500240499998</v>
      </c>
      <c r="U11" s="15">
        <v>0</v>
      </c>
      <c r="V11" s="15">
        <v>0</v>
      </c>
      <c r="W11" s="15">
        <v>0</v>
      </c>
      <c r="X11" s="15">
        <f t="shared" si="9"/>
        <v>1800</v>
      </c>
      <c r="Y11" s="15">
        <f t="shared" si="10"/>
        <v>0</v>
      </c>
      <c r="Z11" s="15">
        <f t="shared" si="6"/>
        <v>1202.4997594999998</v>
      </c>
      <c r="AA11" s="15">
        <f t="shared" si="11"/>
        <v>5002.4997594999995</v>
      </c>
      <c r="AB11" s="15">
        <f t="shared" si="12"/>
        <v>44997.500240499998</v>
      </c>
    </row>
    <row r="12" spans="1:28" x14ac:dyDescent="0.35">
      <c r="A12" s="43" t="s">
        <v>76</v>
      </c>
      <c r="B12" s="44" t="s">
        <v>77</v>
      </c>
      <c r="C12" s="45">
        <v>46083</v>
      </c>
      <c r="D12" s="63">
        <v>50000</v>
      </c>
      <c r="E12" s="64">
        <v>30</v>
      </c>
      <c r="F12" s="64">
        <v>30</v>
      </c>
      <c r="G12" s="64">
        <v>0</v>
      </c>
      <c r="H12" s="64"/>
      <c r="I12" s="63">
        <f t="shared" si="0"/>
        <v>24999.994999999995</v>
      </c>
      <c r="J12" s="63">
        <f t="shared" si="1"/>
        <v>12499.997499999998</v>
      </c>
      <c r="K12" s="63">
        <f t="shared" si="2"/>
        <v>1600</v>
      </c>
      <c r="L12" s="63">
        <f t="shared" si="3"/>
        <v>7897.5077405000047</v>
      </c>
      <c r="M12" s="63">
        <f t="shared" si="4"/>
        <v>46997.500240499998</v>
      </c>
      <c r="N12" s="63">
        <f t="shared" si="7"/>
        <v>1800</v>
      </c>
      <c r="O12" s="63">
        <f t="shared" si="8"/>
        <v>0</v>
      </c>
      <c r="P12" s="63">
        <v>200</v>
      </c>
      <c r="Q12" s="63">
        <v>0</v>
      </c>
      <c r="R12" s="63">
        <v>0</v>
      </c>
      <c r="S12" s="63">
        <v>0</v>
      </c>
      <c r="T12" s="63">
        <f t="shared" si="5"/>
        <v>46997.500240499998</v>
      </c>
      <c r="U12" s="63">
        <v>0</v>
      </c>
      <c r="V12" s="63">
        <v>0</v>
      </c>
      <c r="W12" s="63">
        <v>0</v>
      </c>
      <c r="X12" s="63">
        <f t="shared" si="9"/>
        <v>1800</v>
      </c>
      <c r="Y12" s="63">
        <f t="shared" si="10"/>
        <v>0</v>
      </c>
      <c r="Z12" s="63">
        <f t="shared" si="6"/>
        <v>1202.4997594999998</v>
      </c>
      <c r="AA12" s="63">
        <f t="shared" si="11"/>
        <v>5002.4997594999995</v>
      </c>
      <c r="AB12" s="63">
        <f t="shared" si="12"/>
        <v>44997.500240499998</v>
      </c>
    </row>
    <row r="13" spans="1:28" x14ac:dyDescent="0.35">
      <c r="A13" s="10" t="s">
        <v>78</v>
      </c>
      <c r="B13" s="11" t="s">
        <v>79</v>
      </c>
      <c r="C13" s="12">
        <v>46083</v>
      </c>
      <c r="D13" s="13">
        <v>60000</v>
      </c>
      <c r="E13" s="14">
        <v>30</v>
      </c>
      <c r="F13" s="14">
        <v>28</v>
      </c>
      <c r="G13" s="32">
        <v>2</v>
      </c>
      <c r="H13" s="14"/>
      <c r="I13" s="15">
        <f t="shared" si="0"/>
        <v>27999.994399999996</v>
      </c>
      <c r="J13" s="15">
        <f t="shared" si="1"/>
        <v>13999.997199999998</v>
      </c>
      <c r="K13" s="15">
        <f t="shared" si="2"/>
        <v>1493.3333333333335</v>
      </c>
      <c r="L13" s="15">
        <f t="shared" si="3"/>
        <v>9479.8753360266728</v>
      </c>
      <c r="M13" s="15">
        <f t="shared" si="4"/>
        <v>52973.200269360001</v>
      </c>
      <c r="N13" s="15">
        <f t="shared" si="7"/>
        <v>1800</v>
      </c>
      <c r="O13" s="15">
        <f t="shared" si="8"/>
        <v>0</v>
      </c>
      <c r="P13" s="15">
        <v>200</v>
      </c>
      <c r="Q13" s="15">
        <v>0</v>
      </c>
      <c r="R13" s="15">
        <v>0</v>
      </c>
      <c r="S13" s="15">
        <v>0</v>
      </c>
      <c r="T13" s="15">
        <f t="shared" si="5"/>
        <v>52973.200269360001</v>
      </c>
      <c r="U13" s="15">
        <v>0</v>
      </c>
      <c r="V13" s="15">
        <v>0</v>
      </c>
      <c r="W13" s="15">
        <v>0</v>
      </c>
      <c r="X13" s="15">
        <f t="shared" si="9"/>
        <v>1800</v>
      </c>
      <c r="Y13" s="15">
        <f t="shared" si="10"/>
        <v>0</v>
      </c>
      <c r="Z13" s="15">
        <f t="shared" si="6"/>
        <v>1346.7997306399998</v>
      </c>
      <c r="AA13" s="15">
        <f t="shared" si="11"/>
        <v>5146.7997306399993</v>
      </c>
      <c r="AB13" s="15">
        <f t="shared" si="12"/>
        <v>50973.200269360001</v>
      </c>
    </row>
    <row r="14" spans="1:28" x14ac:dyDescent="0.35">
      <c r="A14" s="10" t="s">
        <v>80</v>
      </c>
      <c r="B14" s="11" t="s">
        <v>81</v>
      </c>
      <c r="C14" s="12">
        <v>46083</v>
      </c>
      <c r="D14" s="13">
        <v>60000</v>
      </c>
      <c r="E14" s="14">
        <v>30</v>
      </c>
      <c r="F14" s="14">
        <v>30</v>
      </c>
      <c r="G14" s="14">
        <v>0</v>
      </c>
      <c r="H14" s="14"/>
      <c r="I14" s="15">
        <f t="shared" si="0"/>
        <v>29999.993999999995</v>
      </c>
      <c r="J14" s="15">
        <f t="shared" si="1"/>
        <v>14999.996999999998</v>
      </c>
      <c r="K14" s="15">
        <f t="shared" si="2"/>
        <v>1600</v>
      </c>
      <c r="L14" s="15">
        <f t="shared" si="3"/>
        <v>10157.009288600007</v>
      </c>
      <c r="M14" s="15">
        <f t="shared" si="4"/>
        <v>56757.0002886</v>
      </c>
      <c r="N14" s="15">
        <f t="shared" si="7"/>
        <v>1800</v>
      </c>
      <c r="O14" s="15">
        <f t="shared" si="8"/>
        <v>0</v>
      </c>
      <c r="P14" s="15">
        <v>200</v>
      </c>
      <c r="Q14" s="15">
        <v>0</v>
      </c>
      <c r="R14" s="15">
        <v>0</v>
      </c>
      <c r="S14" s="15">
        <v>0</v>
      </c>
      <c r="T14" s="15">
        <f t="shared" si="5"/>
        <v>56757.0002886</v>
      </c>
      <c r="U14" s="15">
        <v>0</v>
      </c>
      <c r="V14" s="15">
        <v>0</v>
      </c>
      <c r="W14" s="15">
        <v>0</v>
      </c>
      <c r="X14" s="15">
        <f t="shared" si="9"/>
        <v>1800</v>
      </c>
      <c r="Y14" s="15">
        <f t="shared" si="10"/>
        <v>0</v>
      </c>
      <c r="Z14" s="15">
        <f t="shared" si="6"/>
        <v>1442.9997113999996</v>
      </c>
      <c r="AA14" s="15">
        <f t="shared" si="11"/>
        <v>5242.9997113999998</v>
      </c>
      <c r="AB14" s="15">
        <f t="shared" si="12"/>
        <v>54757.0002886</v>
      </c>
    </row>
    <row r="15" spans="1:28" x14ac:dyDescent="0.35">
      <c r="A15" s="10" t="s">
        <v>82</v>
      </c>
      <c r="B15" s="11" t="s">
        <v>83</v>
      </c>
      <c r="C15" s="12">
        <v>46083</v>
      </c>
      <c r="D15" s="13">
        <v>15000</v>
      </c>
      <c r="E15" s="14">
        <v>30</v>
      </c>
      <c r="F15" s="14">
        <v>30</v>
      </c>
      <c r="G15" s="14">
        <v>0</v>
      </c>
      <c r="H15" s="14"/>
      <c r="I15" s="15">
        <f t="shared" si="0"/>
        <v>7499.9984999999988</v>
      </c>
      <c r="J15" s="15">
        <f t="shared" si="1"/>
        <v>3749.9992499999994</v>
      </c>
      <c r="K15" s="15">
        <f t="shared" si="2"/>
        <v>1600</v>
      </c>
      <c r="L15" s="15">
        <f t="shared" si="3"/>
        <v>889.25250215000278</v>
      </c>
      <c r="M15" s="15">
        <f t="shared" si="4"/>
        <v>13739.250252150001</v>
      </c>
      <c r="N15" s="15">
        <f t="shared" si="7"/>
        <v>899.99981999999977</v>
      </c>
      <c r="O15" s="15">
        <v>0</v>
      </c>
      <c r="P15" s="15">
        <v>200</v>
      </c>
      <c r="Q15" s="15">
        <v>0</v>
      </c>
      <c r="R15" s="15">
        <v>0</v>
      </c>
      <c r="S15" s="15">
        <v>0</v>
      </c>
      <c r="T15" s="15">
        <f t="shared" si="5"/>
        <v>13739.250252150001</v>
      </c>
      <c r="U15" s="15">
        <v>0</v>
      </c>
      <c r="V15" s="15">
        <v>0</v>
      </c>
      <c r="W15" s="15">
        <v>0</v>
      </c>
      <c r="X15" s="15">
        <f t="shared" si="9"/>
        <v>899.99981999999977</v>
      </c>
      <c r="Y15" s="15">
        <v>0</v>
      </c>
      <c r="Z15" s="15">
        <f t="shared" si="6"/>
        <v>360.74992784999989</v>
      </c>
      <c r="AA15" s="15">
        <f t="shared" si="11"/>
        <v>2360.7495678499995</v>
      </c>
      <c r="AB15" s="15">
        <f t="shared" si="12"/>
        <v>12639.25043215</v>
      </c>
    </row>
    <row r="16" spans="1:28" x14ac:dyDescent="0.35">
      <c r="A16" s="10" t="s">
        <v>84</v>
      </c>
      <c r="B16" s="11" t="s">
        <v>85</v>
      </c>
      <c r="C16" s="12">
        <v>46083</v>
      </c>
      <c r="D16" s="13">
        <v>35000</v>
      </c>
      <c r="E16" s="14">
        <v>30</v>
      </c>
      <c r="F16" s="14">
        <v>30</v>
      </c>
      <c r="G16" s="14">
        <v>0</v>
      </c>
      <c r="H16" s="14"/>
      <c r="I16" s="15">
        <f t="shared" si="0"/>
        <v>17499.996499999997</v>
      </c>
      <c r="J16" s="15">
        <f t="shared" si="1"/>
        <v>8749.9982499999987</v>
      </c>
      <c r="K16" s="15">
        <f t="shared" si="2"/>
        <v>1600</v>
      </c>
      <c r="L16" s="15">
        <f t="shared" si="3"/>
        <v>4508.2554183500051</v>
      </c>
      <c r="M16" s="15">
        <f t="shared" si="4"/>
        <v>32358.250168350001</v>
      </c>
      <c r="N16" s="15">
        <f t="shared" si="7"/>
        <v>1800</v>
      </c>
      <c r="O16" s="15">
        <f t="shared" si="8"/>
        <v>0</v>
      </c>
      <c r="P16" s="15">
        <v>200</v>
      </c>
      <c r="Q16" s="15">
        <v>0</v>
      </c>
      <c r="R16" s="15">
        <v>0</v>
      </c>
      <c r="S16" s="15">
        <v>0</v>
      </c>
      <c r="T16" s="15">
        <f t="shared" si="5"/>
        <v>32358.250168350001</v>
      </c>
      <c r="U16" s="15">
        <v>0</v>
      </c>
      <c r="V16" s="15">
        <v>0</v>
      </c>
      <c r="W16" s="15">
        <v>0</v>
      </c>
      <c r="X16" s="15">
        <f t="shared" si="9"/>
        <v>1800</v>
      </c>
      <c r="Y16" s="15">
        <f t="shared" si="10"/>
        <v>0</v>
      </c>
      <c r="Z16" s="15">
        <f t="shared" si="6"/>
        <v>841.74983164999981</v>
      </c>
      <c r="AA16" s="15">
        <f t="shared" si="11"/>
        <v>4641.7498316499996</v>
      </c>
      <c r="AB16" s="15">
        <f t="shared" si="12"/>
        <v>30358.250168350001</v>
      </c>
    </row>
    <row r="17" spans="1:28" x14ac:dyDescent="0.35">
      <c r="A17" s="10" t="s">
        <v>86</v>
      </c>
      <c r="B17" s="11" t="s">
        <v>87</v>
      </c>
      <c r="C17" s="12">
        <v>46083</v>
      </c>
      <c r="D17" s="13">
        <v>35000</v>
      </c>
      <c r="E17" s="14">
        <v>30</v>
      </c>
      <c r="F17" s="14">
        <v>30</v>
      </c>
      <c r="G17" s="14">
        <v>0</v>
      </c>
      <c r="H17" s="14"/>
      <c r="I17" s="15">
        <f t="shared" si="0"/>
        <v>17499.996499999997</v>
      </c>
      <c r="J17" s="15">
        <f t="shared" si="1"/>
        <v>8749.9982499999987</v>
      </c>
      <c r="K17" s="15">
        <f t="shared" si="2"/>
        <v>1600</v>
      </c>
      <c r="L17" s="15">
        <f t="shared" si="3"/>
        <v>4508.2554183500051</v>
      </c>
      <c r="M17" s="15">
        <f t="shared" si="4"/>
        <v>32358.250168350001</v>
      </c>
      <c r="N17" s="15">
        <f t="shared" si="7"/>
        <v>1800</v>
      </c>
      <c r="O17" s="15">
        <f t="shared" si="8"/>
        <v>0</v>
      </c>
      <c r="P17" s="15">
        <v>200</v>
      </c>
      <c r="Q17" s="15">
        <v>0</v>
      </c>
      <c r="R17" s="15">
        <v>0</v>
      </c>
      <c r="S17" s="15">
        <v>0</v>
      </c>
      <c r="T17" s="15">
        <f t="shared" si="5"/>
        <v>32358.250168350001</v>
      </c>
      <c r="U17" s="15">
        <v>0</v>
      </c>
      <c r="V17" s="15">
        <v>0</v>
      </c>
      <c r="W17" s="15">
        <v>0</v>
      </c>
      <c r="X17" s="15">
        <f t="shared" si="9"/>
        <v>1800</v>
      </c>
      <c r="Y17" s="15">
        <f t="shared" si="10"/>
        <v>0</v>
      </c>
      <c r="Z17" s="15">
        <f t="shared" si="6"/>
        <v>841.74983164999981</v>
      </c>
      <c r="AA17" s="15">
        <f t="shared" si="11"/>
        <v>4641.7498316499996</v>
      </c>
      <c r="AB17" s="15">
        <f t="shared" si="12"/>
        <v>30358.250168350001</v>
      </c>
    </row>
    <row r="18" spans="1:28" x14ac:dyDescent="0.35">
      <c r="A18" s="10" t="s">
        <v>88</v>
      </c>
      <c r="B18" s="10" t="s">
        <v>89</v>
      </c>
      <c r="C18" s="12">
        <v>46083</v>
      </c>
      <c r="D18" s="13">
        <v>23000</v>
      </c>
      <c r="E18" s="14">
        <v>30</v>
      </c>
      <c r="F18" s="14">
        <v>30</v>
      </c>
      <c r="G18" s="14">
        <v>0</v>
      </c>
      <c r="H18" s="14"/>
      <c r="I18" s="15">
        <f t="shared" si="0"/>
        <v>11499.997699999998</v>
      </c>
      <c r="J18" s="15">
        <f t="shared" si="1"/>
        <v>5749.998849999999</v>
      </c>
      <c r="K18" s="15">
        <f t="shared" si="2"/>
        <v>1600</v>
      </c>
      <c r="L18" s="15">
        <f t="shared" si="3"/>
        <v>2216.8538366300008</v>
      </c>
      <c r="M18" s="15">
        <f t="shared" si="4"/>
        <v>21066.850386629998</v>
      </c>
      <c r="N18" s="15">
        <f t="shared" si="7"/>
        <v>1379.9997239999998</v>
      </c>
      <c r="O18" s="15">
        <f t="shared" si="8"/>
        <v>0</v>
      </c>
      <c r="P18" s="15">
        <v>200</v>
      </c>
      <c r="Q18" s="15">
        <v>0</v>
      </c>
      <c r="R18" s="15">
        <v>0</v>
      </c>
      <c r="S18" s="15">
        <v>0</v>
      </c>
      <c r="T18" s="15">
        <f t="shared" si="5"/>
        <v>21066.850386629998</v>
      </c>
      <c r="U18" s="15">
        <v>0</v>
      </c>
      <c r="V18" s="15">
        <v>0</v>
      </c>
      <c r="W18" s="15">
        <v>0</v>
      </c>
      <c r="X18" s="15">
        <f t="shared" si="9"/>
        <v>1379.9997239999998</v>
      </c>
      <c r="Y18" s="15">
        <f t="shared" si="10"/>
        <v>0</v>
      </c>
      <c r="Z18" s="15">
        <f t="shared" si="6"/>
        <v>553.14988936999987</v>
      </c>
      <c r="AA18" s="15">
        <f t="shared" si="11"/>
        <v>3513.1493373699996</v>
      </c>
      <c r="AB18" s="15">
        <f t="shared" si="12"/>
        <v>19486.85066263</v>
      </c>
    </row>
    <row r="19" spans="1:28" x14ac:dyDescent="0.35">
      <c r="A19" s="10" t="s">
        <v>90</v>
      </c>
      <c r="B19" s="10" t="s">
        <v>91</v>
      </c>
      <c r="C19" s="12">
        <v>46083</v>
      </c>
      <c r="D19" s="13">
        <v>35000</v>
      </c>
      <c r="E19" s="14">
        <v>30</v>
      </c>
      <c r="F19" s="14">
        <v>30</v>
      </c>
      <c r="G19" s="14">
        <v>0</v>
      </c>
      <c r="H19" s="14"/>
      <c r="I19" s="15">
        <f t="shared" si="0"/>
        <v>17499.996499999997</v>
      </c>
      <c r="J19" s="15">
        <f t="shared" si="1"/>
        <v>8749.9982499999987</v>
      </c>
      <c r="K19" s="15">
        <f t="shared" si="2"/>
        <v>1600</v>
      </c>
      <c r="L19" s="15">
        <f t="shared" si="3"/>
        <v>4508.2554183500051</v>
      </c>
      <c r="M19" s="15">
        <f t="shared" si="4"/>
        <v>32358.250168350001</v>
      </c>
      <c r="N19" s="15">
        <f t="shared" si="7"/>
        <v>1800</v>
      </c>
      <c r="O19" s="15">
        <f t="shared" si="8"/>
        <v>0</v>
      </c>
      <c r="P19" s="15">
        <v>200</v>
      </c>
      <c r="Q19" s="15">
        <v>0</v>
      </c>
      <c r="R19" s="15">
        <v>0</v>
      </c>
      <c r="S19" s="15">
        <v>0</v>
      </c>
      <c r="T19" s="15">
        <f t="shared" si="5"/>
        <v>32358.250168350001</v>
      </c>
      <c r="U19" s="15">
        <v>0</v>
      </c>
      <c r="V19" s="15">
        <v>0</v>
      </c>
      <c r="W19" s="15">
        <v>0</v>
      </c>
      <c r="X19" s="15">
        <f t="shared" si="9"/>
        <v>1800</v>
      </c>
      <c r="Y19" s="15">
        <f t="shared" si="10"/>
        <v>0</v>
      </c>
      <c r="Z19" s="15">
        <f t="shared" si="6"/>
        <v>841.74983164999981</v>
      </c>
      <c r="AA19" s="15">
        <f t="shared" si="11"/>
        <v>4641.7498316499996</v>
      </c>
      <c r="AB19" s="15">
        <f t="shared" si="12"/>
        <v>30358.250168350001</v>
      </c>
    </row>
    <row r="20" spans="1:28" x14ac:dyDescent="0.35">
      <c r="A20" s="10" t="s">
        <v>92</v>
      </c>
      <c r="B20" s="10" t="s">
        <v>93</v>
      </c>
      <c r="C20" s="12">
        <v>46083</v>
      </c>
      <c r="D20" s="13">
        <v>60000</v>
      </c>
      <c r="E20" s="14">
        <v>30</v>
      </c>
      <c r="F20" s="14">
        <v>30</v>
      </c>
      <c r="G20" s="14">
        <v>0</v>
      </c>
      <c r="H20" s="14"/>
      <c r="I20" s="15">
        <f t="shared" si="0"/>
        <v>29999.993999999995</v>
      </c>
      <c r="J20" s="15">
        <f t="shared" si="1"/>
        <v>14999.996999999998</v>
      </c>
      <c r="K20" s="15">
        <f t="shared" si="2"/>
        <v>1600</v>
      </c>
      <c r="L20" s="15">
        <f t="shared" si="3"/>
        <v>10157.009288600007</v>
      </c>
      <c r="M20" s="15">
        <f t="shared" si="4"/>
        <v>56757.0002886</v>
      </c>
      <c r="N20" s="15">
        <f t="shared" si="7"/>
        <v>1800</v>
      </c>
      <c r="O20" s="15">
        <f t="shared" si="8"/>
        <v>0</v>
      </c>
      <c r="P20" s="15">
        <v>200</v>
      </c>
      <c r="Q20" s="15">
        <v>0</v>
      </c>
      <c r="R20" s="15">
        <v>0</v>
      </c>
      <c r="S20" s="15">
        <v>0</v>
      </c>
      <c r="T20" s="15">
        <f t="shared" si="5"/>
        <v>56757.0002886</v>
      </c>
      <c r="U20" s="15">
        <v>0</v>
      </c>
      <c r="V20" s="15">
        <v>0</v>
      </c>
      <c r="W20" s="15">
        <v>0</v>
      </c>
      <c r="X20" s="15">
        <f t="shared" si="9"/>
        <v>1800</v>
      </c>
      <c r="Y20" s="15">
        <f t="shared" si="10"/>
        <v>0</v>
      </c>
      <c r="Z20" s="15">
        <f t="shared" si="6"/>
        <v>1442.9997113999996</v>
      </c>
      <c r="AA20" s="15">
        <f t="shared" si="11"/>
        <v>5242.9997113999998</v>
      </c>
      <c r="AB20" s="15">
        <f t="shared" si="12"/>
        <v>54757.0002886</v>
      </c>
    </row>
    <row r="21" spans="1:28" ht="22" customHeight="1" x14ac:dyDescent="0.35">
      <c r="A21" s="10" t="s">
        <v>94</v>
      </c>
      <c r="B21" s="10" t="s">
        <v>95</v>
      </c>
      <c r="C21" s="12">
        <v>46083</v>
      </c>
      <c r="D21" s="13">
        <v>60000</v>
      </c>
      <c r="E21" s="14">
        <v>30</v>
      </c>
      <c r="F21" s="14">
        <v>29</v>
      </c>
      <c r="G21" s="32">
        <v>1</v>
      </c>
      <c r="H21" s="14"/>
      <c r="I21" s="15">
        <f t="shared" si="0"/>
        <v>28999.994199999994</v>
      </c>
      <c r="J21" s="15">
        <f t="shared" si="1"/>
        <v>14499.997099999997</v>
      </c>
      <c r="K21" s="15">
        <f t="shared" si="2"/>
        <v>1546.6666666666667</v>
      </c>
      <c r="L21" s="15">
        <f t="shared" si="3"/>
        <v>9818.4423123133402</v>
      </c>
      <c r="M21" s="15">
        <f t="shared" si="4"/>
        <v>54865.100278979997</v>
      </c>
      <c r="N21" s="15">
        <f t="shared" si="7"/>
        <v>1800</v>
      </c>
      <c r="O21" s="15">
        <f t="shared" si="8"/>
        <v>0</v>
      </c>
      <c r="P21" s="15">
        <v>200</v>
      </c>
      <c r="Q21" s="15">
        <v>0</v>
      </c>
      <c r="R21" s="15">
        <v>0</v>
      </c>
      <c r="S21" s="15">
        <v>0</v>
      </c>
      <c r="T21" s="15">
        <f t="shared" si="5"/>
        <v>54865.100278979997</v>
      </c>
      <c r="U21" s="15">
        <v>0</v>
      </c>
      <c r="V21" s="15">
        <v>0</v>
      </c>
      <c r="W21" s="15">
        <v>0</v>
      </c>
      <c r="X21" s="15">
        <f t="shared" si="9"/>
        <v>1800</v>
      </c>
      <c r="Y21" s="15">
        <f t="shared" si="10"/>
        <v>0</v>
      </c>
      <c r="Z21" s="15">
        <f t="shared" si="6"/>
        <v>1394.8997210199996</v>
      </c>
      <c r="AA21" s="15">
        <f t="shared" si="11"/>
        <v>5194.8997210199996</v>
      </c>
      <c r="AB21" s="15">
        <f t="shared" si="12"/>
        <v>52865.100278979997</v>
      </c>
    </row>
    <row r="22" spans="1:28" x14ac:dyDescent="0.35">
      <c r="A22" s="17" t="s">
        <v>143</v>
      </c>
      <c r="B22" s="18" t="s">
        <v>144</v>
      </c>
      <c r="C22" s="12">
        <v>46113</v>
      </c>
      <c r="D22" s="13">
        <v>35000</v>
      </c>
      <c r="E22" s="14">
        <v>30</v>
      </c>
      <c r="F22" s="14">
        <v>30</v>
      </c>
      <c r="G22" s="14">
        <v>0</v>
      </c>
      <c r="H22" s="16"/>
      <c r="I22" s="15">
        <f t="shared" si="0"/>
        <v>17499.996499999997</v>
      </c>
      <c r="J22" s="15">
        <f t="shared" si="1"/>
        <v>8749.9982499999987</v>
      </c>
      <c r="K22" s="15">
        <f t="shared" si="2"/>
        <v>1600</v>
      </c>
      <c r="L22" s="15">
        <f t="shared" si="3"/>
        <v>4508.2554183500051</v>
      </c>
      <c r="M22" s="15">
        <f t="shared" si="4"/>
        <v>32358.250168350001</v>
      </c>
      <c r="N22" s="15">
        <f t="shared" si="7"/>
        <v>1800</v>
      </c>
      <c r="O22" s="15">
        <f t="shared" si="8"/>
        <v>0</v>
      </c>
      <c r="P22" s="15">
        <v>200</v>
      </c>
      <c r="Q22" s="15">
        <v>0</v>
      </c>
      <c r="R22" s="15">
        <v>0</v>
      </c>
      <c r="S22" s="15">
        <v>0</v>
      </c>
      <c r="T22" s="15">
        <f t="shared" si="5"/>
        <v>32358.250168350001</v>
      </c>
      <c r="U22" s="15">
        <v>0</v>
      </c>
      <c r="V22" s="15">
        <v>0</v>
      </c>
      <c r="W22" s="15">
        <v>0</v>
      </c>
      <c r="X22" s="15">
        <f t="shared" si="9"/>
        <v>1800</v>
      </c>
      <c r="Y22" s="15">
        <f t="shared" si="10"/>
        <v>0</v>
      </c>
      <c r="Z22" s="15">
        <f t="shared" ref="Z22:Z39" si="13">I22*4.81%</f>
        <v>841.74983164999981</v>
      </c>
      <c r="AA22" s="15">
        <f t="shared" ref="AA22:AA39" si="14">N22+O22+P22+V22+W22+U22+X22+Y22+Z22</f>
        <v>4641.7498316499996</v>
      </c>
      <c r="AB22" s="15">
        <f t="shared" ref="AB22:AB39" si="15">M22-AA22+Z22+X22</f>
        <v>30358.250168350001</v>
      </c>
    </row>
    <row r="23" spans="1:28" x14ac:dyDescent="0.35">
      <c r="A23" s="17" t="s">
        <v>145</v>
      </c>
      <c r="B23" s="18" t="s">
        <v>146</v>
      </c>
      <c r="C23" s="12">
        <v>46113</v>
      </c>
      <c r="D23" s="14">
        <v>30000</v>
      </c>
      <c r="E23" s="14">
        <v>30</v>
      </c>
      <c r="F23" s="14">
        <v>30</v>
      </c>
      <c r="G23" s="14">
        <v>0</v>
      </c>
      <c r="H23" s="14"/>
      <c r="I23" s="15">
        <f t="shared" si="0"/>
        <v>14999.996999999998</v>
      </c>
      <c r="J23" s="15">
        <f t="shared" si="1"/>
        <v>7499.9984999999988</v>
      </c>
      <c r="K23" s="15">
        <f t="shared" si="2"/>
        <v>1600</v>
      </c>
      <c r="L23" s="15">
        <f t="shared" si="3"/>
        <v>3378.5050043000056</v>
      </c>
      <c r="M23" s="15">
        <f t="shared" si="4"/>
        <v>27478.500504300002</v>
      </c>
      <c r="N23" s="15">
        <f t="shared" si="7"/>
        <v>1799.9996399999995</v>
      </c>
      <c r="O23" s="15">
        <f t="shared" si="8"/>
        <v>0</v>
      </c>
      <c r="P23" s="15">
        <v>200</v>
      </c>
      <c r="Q23" s="15">
        <v>0</v>
      </c>
      <c r="R23" s="15">
        <v>0</v>
      </c>
      <c r="S23" s="15">
        <v>0</v>
      </c>
      <c r="T23" s="15">
        <f t="shared" si="5"/>
        <v>27478.500504300002</v>
      </c>
      <c r="U23" s="15">
        <v>0</v>
      </c>
      <c r="V23" s="15">
        <v>0</v>
      </c>
      <c r="W23" s="15">
        <v>0</v>
      </c>
      <c r="X23" s="15">
        <f t="shared" si="9"/>
        <v>1799.9996399999995</v>
      </c>
      <c r="Y23" s="15">
        <f t="shared" si="10"/>
        <v>0</v>
      </c>
      <c r="Z23" s="15">
        <f t="shared" si="13"/>
        <v>721.49985569999978</v>
      </c>
      <c r="AA23" s="15">
        <f t="shared" si="14"/>
        <v>4521.499135699999</v>
      </c>
      <c r="AB23" s="15">
        <f t="shared" si="15"/>
        <v>25478.5008643</v>
      </c>
    </row>
    <row r="24" spans="1:28" x14ac:dyDescent="0.35">
      <c r="A24" s="17" t="s">
        <v>147</v>
      </c>
      <c r="B24" s="18" t="s">
        <v>148</v>
      </c>
      <c r="C24" s="12">
        <v>46113</v>
      </c>
      <c r="D24" s="14">
        <v>50000</v>
      </c>
      <c r="E24" s="14">
        <v>30</v>
      </c>
      <c r="F24" s="14">
        <v>30</v>
      </c>
      <c r="G24" s="14">
        <v>0</v>
      </c>
      <c r="H24" s="14"/>
      <c r="I24" s="15">
        <f t="shared" si="0"/>
        <v>24999.994999999995</v>
      </c>
      <c r="J24" s="15">
        <f t="shared" si="1"/>
        <v>12499.997499999998</v>
      </c>
      <c r="K24" s="15">
        <f t="shared" si="2"/>
        <v>1600</v>
      </c>
      <c r="L24" s="15">
        <f t="shared" si="3"/>
        <v>7897.5077405000047</v>
      </c>
      <c r="M24" s="15">
        <f t="shared" si="4"/>
        <v>46997.500240499998</v>
      </c>
      <c r="N24" s="15">
        <f t="shared" si="7"/>
        <v>1800</v>
      </c>
      <c r="O24" s="15">
        <f t="shared" si="8"/>
        <v>0</v>
      </c>
      <c r="P24" s="15">
        <v>200</v>
      </c>
      <c r="Q24" s="15">
        <v>0</v>
      </c>
      <c r="R24" s="15">
        <v>0</v>
      </c>
      <c r="S24" s="15">
        <v>0</v>
      </c>
      <c r="T24" s="15">
        <f t="shared" si="5"/>
        <v>46997.500240499998</v>
      </c>
      <c r="U24" s="15">
        <v>0</v>
      </c>
      <c r="V24" s="15">
        <v>0</v>
      </c>
      <c r="W24" s="37">
        <v>1850</v>
      </c>
      <c r="X24" s="15">
        <f t="shared" si="9"/>
        <v>1800</v>
      </c>
      <c r="Y24" s="15">
        <f t="shared" si="10"/>
        <v>0</v>
      </c>
      <c r="Z24" s="15">
        <f t="shared" si="13"/>
        <v>1202.4997594999998</v>
      </c>
      <c r="AA24" s="15">
        <f t="shared" si="14"/>
        <v>6852.4997594999995</v>
      </c>
      <c r="AB24" s="15">
        <f t="shared" si="15"/>
        <v>43147.500240499998</v>
      </c>
    </row>
    <row r="25" spans="1:28" x14ac:dyDescent="0.35">
      <c r="A25" s="17" t="s">
        <v>149</v>
      </c>
      <c r="B25" s="18" t="s">
        <v>150</v>
      </c>
      <c r="C25" s="12">
        <v>46114</v>
      </c>
      <c r="D25" s="14">
        <v>23000</v>
      </c>
      <c r="E25" s="14">
        <v>29</v>
      </c>
      <c r="F25" s="14">
        <v>28</v>
      </c>
      <c r="G25" s="32">
        <v>1</v>
      </c>
      <c r="H25" s="14"/>
      <c r="I25" s="15">
        <f t="shared" si="0"/>
        <v>11103.446055172411</v>
      </c>
      <c r="J25" s="15">
        <f t="shared" si="1"/>
        <v>5551.7230275862057</v>
      </c>
      <c r="K25" s="15">
        <f t="shared" si="2"/>
        <v>1544.8275862068965</v>
      </c>
      <c r="L25" s="15">
        <f t="shared" si="3"/>
        <v>2186.3558949055423</v>
      </c>
      <c r="M25" s="15">
        <f t="shared" si="4"/>
        <v>20386.352563871056</v>
      </c>
      <c r="N25" s="15">
        <f t="shared" si="7"/>
        <v>1332.4135266206893</v>
      </c>
      <c r="O25" s="15">
        <v>0</v>
      </c>
      <c r="P25" s="15">
        <v>200</v>
      </c>
      <c r="Q25" s="15">
        <v>0</v>
      </c>
      <c r="R25" s="15">
        <v>0</v>
      </c>
      <c r="S25" s="15">
        <v>0</v>
      </c>
      <c r="T25" s="15">
        <f t="shared" si="5"/>
        <v>20386.352563871056</v>
      </c>
      <c r="U25" s="15">
        <v>0</v>
      </c>
      <c r="V25" s="15">
        <v>0</v>
      </c>
      <c r="W25" s="15">
        <v>0</v>
      </c>
      <c r="X25" s="15">
        <f t="shared" si="9"/>
        <v>1332.4135266206893</v>
      </c>
      <c r="Y25" s="15">
        <v>0</v>
      </c>
      <c r="Z25" s="15">
        <f t="shared" si="13"/>
        <v>534.07575525379298</v>
      </c>
      <c r="AA25" s="15">
        <f t="shared" si="14"/>
        <v>3398.9028084951715</v>
      </c>
      <c r="AB25" s="15">
        <f t="shared" si="15"/>
        <v>18853.939037250369</v>
      </c>
    </row>
    <row r="26" spans="1:28" x14ac:dyDescent="0.35">
      <c r="A26" s="17" t="s">
        <v>151</v>
      </c>
      <c r="B26" s="18" t="s">
        <v>152</v>
      </c>
      <c r="C26" s="12">
        <v>46113</v>
      </c>
      <c r="D26" s="14">
        <v>15000</v>
      </c>
      <c r="E26" s="14">
        <v>30</v>
      </c>
      <c r="F26" s="14">
        <v>30</v>
      </c>
      <c r="G26" s="14">
        <v>0</v>
      </c>
      <c r="H26" s="14"/>
      <c r="I26" s="15">
        <f t="shared" si="0"/>
        <v>7499.9984999999988</v>
      </c>
      <c r="J26" s="15">
        <f t="shared" si="1"/>
        <v>3749.9992499999994</v>
      </c>
      <c r="K26" s="15">
        <f t="shared" si="2"/>
        <v>1600</v>
      </c>
      <c r="L26" s="15">
        <f t="shared" si="3"/>
        <v>889.25250215000278</v>
      </c>
      <c r="M26" s="15">
        <f t="shared" si="4"/>
        <v>13739.250252150001</v>
      </c>
      <c r="N26" s="15">
        <f t="shared" si="7"/>
        <v>899.99981999999977</v>
      </c>
      <c r="O26" s="15">
        <v>0</v>
      </c>
      <c r="P26" s="15">
        <v>150</v>
      </c>
      <c r="Q26" s="15">
        <v>0</v>
      </c>
      <c r="R26" s="15">
        <v>0</v>
      </c>
      <c r="S26" s="15">
        <v>0</v>
      </c>
      <c r="T26" s="15">
        <f t="shared" si="5"/>
        <v>13739.250252150001</v>
      </c>
      <c r="U26" s="15">
        <v>0</v>
      </c>
      <c r="V26" s="15">
        <v>0</v>
      </c>
      <c r="W26" s="15">
        <v>0</v>
      </c>
      <c r="X26" s="15">
        <f t="shared" si="9"/>
        <v>899.99981999999977</v>
      </c>
      <c r="Y26" s="15">
        <v>0</v>
      </c>
      <c r="Z26" s="15">
        <f t="shared" si="13"/>
        <v>360.74992784999989</v>
      </c>
      <c r="AA26" s="15">
        <f t="shared" si="14"/>
        <v>2310.7495678499995</v>
      </c>
      <c r="AB26" s="15">
        <f t="shared" si="15"/>
        <v>12689.25043215</v>
      </c>
    </row>
    <row r="27" spans="1:28" x14ac:dyDescent="0.35">
      <c r="A27" s="17" t="s">
        <v>153</v>
      </c>
      <c r="B27" s="18" t="s">
        <v>154</v>
      </c>
      <c r="C27" s="12">
        <v>46113</v>
      </c>
      <c r="D27" s="14">
        <v>15000</v>
      </c>
      <c r="E27" s="14">
        <v>30</v>
      </c>
      <c r="F27" s="14">
        <v>30</v>
      </c>
      <c r="G27" s="14">
        <v>0</v>
      </c>
      <c r="H27" s="14"/>
      <c r="I27" s="15">
        <f t="shared" si="0"/>
        <v>7499.9984999999988</v>
      </c>
      <c r="J27" s="15">
        <f t="shared" si="1"/>
        <v>3749.9992499999994</v>
      </c>
      <c r="K27" s="15">
        <f t="shared" si="2"/>
        <v>1600</v>
      </c>
      <c r="L27" s="15">
        <f t="shared" si="3"/>
        <v>889.25250215000278</v>
      </c>
      <c r="M27" s="15">
        <f t="shared" si="4"/>
        <v>13739.250252150001</v>
      </c>
      <c r="N27" s="15">
        <f t="shared" si="7"/>
        <v>899.99981999999977</v>
      </c>
      <c r="O27" s="15">
        <v>0</v>
      </c>
      <c r="P27" s="15">
        <v>150</v>
      </c>
      <c r="Q27" s="15">
        <v>0</v>
      </c>
      <c r="R27" s="15">
        <v>0</v>
      </c>
      <c r="S27" s="15">
        <v>0</v>
      </c>
      <c r="T27" s="15">
        <f t="shared" si="5"/>
        <v>13739.250252150001</v>
      </c>
      <c r="U27" s="15">
        <v>0</v>
      </c>
      <c r="V27" s="15">
        <v>0</v>
      </c>
      <c r="W27" s="15">
        <v>0</v>
      </c>
      <c r="X27" s="15">
        <f t="shared" si="9"/>
        <v>899.99981999999977</v>
      </c>
      <c r="Y27" s="15">
        <v>0</v>
      </c>
      <c r="Z27" s="15">
        <f t="shared" si="13"/>
        <v>360.74992784999989</v>
      </c>
      <c r="AA27" s="15">
        <f t="shared" si="14"/>
        <v>2310.7495678499995</v>
      </c>
      <c r="AB27" s="15">
        <f t="shared" si="15"/>
        <v>12689.25043215</v>
      </c>
    </row>
    <row r="28" spans="1:28" x14ac:dyDescent="0.35">
      <c r="A28" s="17" t="s">
        <v>155</v>
      </c>
      <c r="B28" s="18" t="s">
        <v>156</v>
      </c>
      <c r="C28" s="12">
        <v>46113</v>
      </c>
      <c r="D28" s="14">
        <v>15000</v>
      </c>
      <c r="E28" s="14">
        <v>30</v>
      </c>
      <c r="F28" s="14">
        <v>30</v>
      </c>
      <c r="G28" s="14">
        <v>0</v>
      </c>
      <c r="H28" s="14"/>
      <c r="I28" s="15">
        <f t="shared" si="0"/>
        <v>7499.9984999999988</v>
      </c>
      <c r="J28" s="15">
        <f t="shared" si="1"/>
        <v>3749.9992499999994</v>
      </c>
      <c r="K28" s="15">
        <f t="shared" si="2"/>
        <v>1600</v>
      </c>
      <c r="L28" s="15">
        <f t="shared" si="3"/>
        <v>889.25250215000278</v>
      </c>
      <c r="M28" s="15">
        <f t="shared" si="4"/>
        <v>13739.250252150001</v>
      </c>
      <c r="N28" s="15">
        <f t="shared" si="7"/>
        <v>899.99981999999977</v>
      </c>
      <c r="O28" s="15">
        <v>0</v>
      </c>
      <c r="P28" s="15">
        <v>150</v>
      </c>
      <c r="Q28" s="15">
        <v>0</v>
      </c>
      <c r="R28" s="15">
        <v>0</v>
      </c>
      <c r="S28" s="15">
        <v>0</v>
      </c>
      <c r="T28" s="15">
        <f t="shared" si="5"/>
        <v>13739.250252150001</v>
      </c>
      <c r="U28" s="15">
        <v>0</v>
      </c>
      <c r="V28" s="15">
        <v>0</v>
      </c>
      <c r="W28" s="15">
        <v>0</v>
      </c>
      <c r="X28" s="15">
        <f t="shared" si="9"/>
        <v>899.99981999999977</v>
      </c>
      <c r="Y28" s="15">
        <v>0</v>
      </c>
      <c r="Z28" s="15">
        <f t="shared" si="13"/>
        <v>360.74992784999989</v>
      </c>
      <c r="AA28" s="15">
        <f t="shared" si="14"/>
        <v>2310.7495678499995</v>
      </c>
      <c r="AB28" s="15">
        <f t="shared" si="15"/>
        <v>12689.25043215</v>
      </c>
    </row>
    <row r="29" spans="1:28" x14ac:dyDescent="0.35">
      <c r="A29" s="17" t="s">
        <v>157</v>
      </c>
      <c r="B29" s="18" t="s">
        <v>158</v>
      </c>
      <c r="C29" s="12">
        <v>46113</v>
      </c>
      <c r="D29" s="14">
        <v>15000</v>
      </c>
      <c r="E29" s="14">
        <v>30</v>
      </c>
      <c r="F29" s="14">
        <v>28</v>
      </c>
      <c r="G29" s="32">
        <v>2</v>
      </c>
      <c r="H29" s="14"/>
      <c r="I29" s="15">
        <f t="shared" si="0"/>
        <v>6999.998599999999</v>
      </c>
      <c r="J29" s="15">
        <f t="shared" si="1"/>
        <v>3499.9992999999995</v>
      </c>
      <c r="K29" s="15">
        <f t="shared" si="2"/>
        <v>1493.3333333333335</v>
      </c>
      <c r="L29" s="15">
        <f t="shared" si="3"/>
        <v>885.9689908066689</v>
      </c>
      <c r="M29" s="15">
        <f t="shared" si="4"/>
        <v>12879.300224140001</v>
      </c>
      <c r="N29" s="15">
        <f t="shared" si="7"/>
        <v>839.99983199999986</v>
      </c>
      <c r="O29" s="15">
        <v>0</v>
      </c>
      <c r="P29" s="15">
        <v>150</v>
      </c>
      <c r="Q29" s="15">
        <v>0</v>
      </c>
      <c r="R29" s="15">
        <v>0</v>
      </c>
      <c r="S29" s="15">
        <v>0</v>
      </c>
      <c r="T29" s="15">
        <f t="shared" si="5"/>
        <v>12879.300224140001</v>
      </c>
      <c r="U29" s="15">
        <v>0</v>
      </c>
      <c r="V29" s="15">
        <v>0</v>
      </c>
      <c r="W29" s="15">
        <v>0</v>
      </c>
      <c r="X29" s="15">
        <f t="shared" si="9"/>
        <v>839.99983199999986</v>
      </c>
      <c r="Y29" s="15">
        <v>0</v>
      </c>
      <c r="Z29" s="15">
        <f t="shared" si="13"/>
        <v>336.69993265999994</v>
      </c>
      <c r="AA29" s="15">
        <f t="shared" si="14"/>
        <v>2166.6995966599998</v>
      </c>
      <c r="AB29" s="15">
        <f t="shared" si="15"/>
        <v>11889.300392140001</v>
      </c>
    </row>
    <row r="30" spans="1:28" x14ac:dyDescent="0.35">
      <c r="A30" s="17" t="s">
        <v>159</v>
      </c>
      <c r="B30" s="31" t="s">
        <v>160</v>
      </c>
      <c r="C30" s="12">
        <v>46113</v>
      </c>
      <c r="D30" s="14">
        <v>15000</v>
      </c>
      <c r="E30" s="14">
        <v>30</v>
      </c>
      <c r="F30" s="14">
        <v>30</v>
      </c>
      <c r="G30" s="14">
        <v>0</v>
      </c>
      <c r="H30" s="14"/>
      <c r="I30" s="15">
        <f t="shared" si="0"/>
        <v>7499.9984999999988</v>
      </c>
      <c r="J30" s="15">
        <f t="shared" si="1"/>
        <v>3749.9992499999994</v>
      </c>
      <c r="K30" s="15">
        <f t="shared" si="2"/>
        <v>1600</v>
      </c>
      <c r="L30" s="15">
        <f t="shared" si="3"/>
        <v>889.25250215000278</v>
      </c>
      <c r="M30" s="15">
        <f t="shared" si="4"/>
        <v>13739.250252150001</v>
      </c>
      <c r="N30" s="15">
        <f t="shared" si="7"/>
        <v>899.99981999999977</v>
      </c>
      <c r="O30" s="15">
        <v>0</v>
      </c>
      <c r="P30" s="15">
        <v>150</v>
      </c>
      <c r="Q30" s="15">
        <v>0</v>
      </c>
      <c r="R30" s="15">
        <v>0</v>
      </c>
      <c r="S30" s="15">
        <v>0</v>
      </c>
      <c r="T30" s="15">
        <f t="shared" si="5"/>
        <v>13739.250252150001</v>
      </c>
      <c r="U30" s="15">
        <v>0</v>
      </c>
      <c r="V30" s="15">
        <v>0</v>
      </c>
      <c r="W30" s="15">
        <v>0</v>
      </c>
      <c r="X30" s="15">
        <f t="shared" si="9"/>
        <v>899.99981999999977</v>
      </c>
      <c r="Y30" s="15">
        <v>0</v>
      </c>
      <c r="Z30" s="15">
        <f t="shared" si="13"/>
        <v>360.74992784999989</v>
      </c>
      <c r="AA30" s="15">
        <f t="shared" si="14"/>
        <v>2310.7495678499995</v>
      </c>
      <c r="AB30" s="15">
        <f t="shared" si="15"/>
        <v>12689.25043215</v>
      </c>
    </row>
    <row r="31" spans="1:28" x14ac:dyDescent="0.35">
      <c r="A31" s="17" t="s">
        <v>161</v>
      </c>
      <c r="B31" s="31" t="s">
        <v>162</v>
      </c>
      <c r="C31" s="12">
        <v>46113</v>
      </c>
      <c r="D31" s="14">
        <v>15000</v>
      </c>
      <c r="E31" s="14">
        <v>30</v>
      </c>
      <c r="F31" s="14">
        <v>30</v>
      </c>
      <c r="G31" s="14">
        <v>0</v>
      </c>
      <c r="H31" s="14"/>
      <c r="I31" s="15">
        <f t="shared" si="0"/>
        <v>7499.9984999999988</v>
      </c>
      <c r="J31" s="15">
        <f t="shared" si="1"/>
        <v>3749.9992499999994</v>
      </c>
      <c r="K31" s="15">
        <f t="shared" si="2"/>
        <v>1600</v>
      </c>
      <c r="L31" s="15">
        <f t="shared" si="3"/>
        <v>889.25250215000278</v>
      </c>
      <c r="M31" s="15">
        <f t="shared" si="4"/>
        <v>13739.250252150001</v>
      </c>
      <c r="N31" s="15">
        <f t="shared" si="7"/>
        <v>899.99981999999977</v>
      </c>
      <c r="O31" s="15">
        <v>0</v>
      </c>
      <c r="P31" s="15">
        <v>150</v>
      </c>
      <c r="Q31" s="15">
        <v>0</v>
      </c>
      <c r="R31" s="15">
        <v>0</v>
      </c>
      <c r="S31" s="15">
        <v>0</v>
      </c>
      <c r="T31" s="15">
        <f t="shared" si="5"/>
        <v>13739.250252150001</v>
      </c>
      <c r="U31" s="15">
        <v>0</v>
      </c>
      <c r="V31" s="15">
        <v>0</v>
      </c>
      <c r="W31" s="15">
        <v>0</v>
      </c>
      <c r="X31" s="15">
        <f t="shared" si="9"/>
        <v>899.99981999999977</v>
      </c>
      <c r="Y31" s="15">
        <v>0</v>
      </c>
      <c r="Z31" s="15">
        <f t="shared" si="13"/>
        <v>360.74992784999989</v>
      </c>
      <c r="AA31" s="15">
        <f t="shared" si="14"/>
        <v>2310.7495678499995</v>
      </c>
      <c r="AB31" s="15">
        <f t="shared" si="15"/>
        <v>12689.25043215</v>
      </c>
    </row>
    <row r="32" spans="1:28" x14ac:dyDescent="0.35">
      <c r="A32" s="17" t="s">
        <v>163</v>
      </c>
      <c r="B32" s="18" t="s">
        <v>164</v>
      </c>
      <c r="C32" s="12">
        <v>46113</v>
      </c>
      <c r="D32" s="14">
        <v>45000</v>
      </c>
      <c r="E32" s="14">
        <v>30</v>
      </c>
      <c r="F32" s="14">
        <v>30</v>
      </c>
      <c r="G32" s="14">
        <v>0</v>
      </c>
      <c r="H32" s="14"/>
      <c r="I32" s="15">
        <f t="shared" si="0"/>
        <v>22499.995499999997</v>
      </c>
      <c r="J32" s="15">
        <f t="shared" si="1"/>
        <v>11249.997749999999</v>
      </c>
      <c r="K32" s="15">
        <f t="shared" si="2"/>
        <v>1600</v>
      </c>
      <c r="L32" s="15">
        <f t="shared" si="3"/>
        <v>6767.7569664500079</v>
      </c>
      <c r="M32" s="15">
        <f t="shared" si="4"/>
        <v>42117.750216450004</v>
      </c>
      <c r="N32" s="15">
        <f t="shared" si="7"/>
        <v>1800</v>
      </c>
      <c r="O32" s="15">
        <v>0</v>
      </c>
      <c r="P32" s="15">
        <v>200</v>
      </c>
      <c r="Q32" s="15">
        <v>0</v>
      </c>
      <c r="R32" s="15">
        <v>0</v>
      </c>
      <c r="S32" s="15">
        <v>0</v>
      </c>
      <c r="T32" s="15">
        <f t="shared" si="5"/>
        <v>42117.750216450004</v>
      </c>
      <c r="U32" s="15">
        <v>0</v>
      </c>
      <c r="V32" s="15">
        <v>0</v>
      </c>
      <c r="W32" s="15">
        <v>0</v>
      </c>
      <c r="X32" s="15">
        <f t="shared" si="9"/>
        <v>1800</v>
      </c>
      <c r="Y32" s="15">
        <v>0</v>
      </c>
      <c r="Z32" s="15">
        <f t="shared" si="13"/>
        <v>1082.2497835499998</v>
      </c>
      <c r="AA32" s="15">
        <f t="shared" si="14"/>
        <v>4882.2497835499998</v>
      </c>
      <c r="AB32" s="15">
        <f t="shared" si="15"/>
        <v>40117.750216450004</v>
      </c>
    </row>
    <row r="33" spans="1:28" x14ac:dyDescent="0.35">
      <c r="A33" s="17" t="s">
        <v>165</v>
      </c>
      <c r="B33" s="18" t="s">
        <v>166</v>
      </c>
      <c r="C33" s="12">
        <v>46113</v>
      </c>
      <c r="D33" s="14">
        <v>45000</v>
      </c>
      <c r="E33" s="14">
        <v>30</v>
      </c>
      <c r="F33" s="14">
        <v>30</v>
      </c>
      <c r="G33" s="14">
        <v>0</v>
      </c>
      <c r="H33" s="14"/>
      <c r="I33" s="15">
        <f t="shared" si="0"/>
        <v>22499.995499999997</v>
      </c>
      <c r="J33" s="15">
        <f t="shared" si="1"/>
        <v>11249.997749999999</v>
      </c>
      <c r="K33" s="15">
        <f t="shared" si="2"/>
        <v>1600</v>
      </c>
      <c r="L33" s="15">
        <f t="shared" si="3"/>
        <v>6767.7569664500079</v>
      </c>
      <c r="M33" s="15">
        <f t="shared" si="4"/>
        <v>42117.750216450004</v>
      </c>
      <c r="N33" s="15">
        <f t="shared" si="7"/>
        <v>1800</v>
      </c>
      <c r="O33" s="15">
        <v>0</v>
      </c>
      <c r="P33" s="15">
        <v>200</v>
      </c>
      <c r="Q33" s="15">
        <v>0</v>
      </c>
      <c r="R33" s="15">
        <v>0</v>
      </c>
      <c r="S33" s="15">
        <v>0</v>
      </c>
      <c r="T33" s="15">
        <f t="shared" si="5"/>
        <v>42117.750216450004</v>
      </c>
      <c r="U33" s="15">
        <v>0</v>
      </c>
      <c r="V33" s="15">
        <v>0</v>
      </c>
      <c r="W33" s="15">
        <v>0</v>
      </c>
      <c r="X33" s="15">
        <f t="shared" si="9"/>
        <v>1800</v>
      </c>
      <c r="Y33" s="15">
        <v>0</v>
      </c>
      <c r="Z33" s="15">
        <f t="shared" si="13"/>
        <v>1082.2497835499998</v>
      </c>
      <c r="AA33" s="15">
        <f t="shared" si="14"/>
        <v>4882.2497835499998</v>
      </c>
      <c r="AB33" s="15">
        <f t="shared" si="15"/>
        <v>40117.750216450004</v>
      </c>
    </row>
    <row r="34" spans="1:28" x14ac:dyDescent="0.35">
      <c r="A34" s="17" t="s">
        <v>167</v>
      </c>
      <c r="B34" s="18" t="s">
        <v>168</v>
      </c>
      <c r="C34" s="12">
        <v>46113</v>
      </c>
      <c r="D34" s="14">
        <v>30000</v>
      </c>
      <c r="E34" s="14">
        <v>30</v>
      </c>
      <c r="F34" s="14">
        <v>30</v>
      </c>
      <c r="G34" s="14">
        <v>0</v>
      </c>
      <c r="H34" s="14"/>
      <c r="I34" s="15">
        <f t="shared" si="0"/>
        <v>14999.996999999998</v>
      </c>
      <c r="J34" s="15">
        <f t="shared" si="1"/>
        <v>7499.9984999999988</v>
      </c>
      <c r="K34" s="15">
        <f t="shared" si="2"/>
        <v>1600</v>
      </c>
      <c r="L34" s="15">
        <f t="shared" si="3"/>
        <v>3378.5050043000056</v>
      </c>
      <c r="M34" s="15">
        <f t="shared" si="4"/>
        <v>27478.500504300002</v>
      </c>
      <c r="N34" s="15">
        <f t="shared" si="7"/>
        <v>1799.9996399999995</v>
      </c>
      <c r="O34" s="15">
        <v>0</v>
      </c>
      <c r="P34" s="15">
        <v>200</v>
      </c>
      <c r="Q34" s="15">
        <v>0</v>
      </c>
      <c r="R34" s="15">
        <v>0</v>
      </c>
      <c r="S34" s="15">
        <v>0</v>
      </c>
      <c r="T34" s="15">
        <f t="shared" si="5"/>
        <v>27478.500504300002</v>
      </c>
      <c r="U34" s="15">
        <v>0</v>
      </c>
      <c r="V34" s="15">
        <v>0</v>
      </c>
      <c r="W34" s="15">
        <v>0</v>
      </c>
      <c r="X34" s="15">
        <f t="shared" si="9"/>
        <v>1799.9996399999995</v>
      </c>
      <c r="Y34" s="15">
        <v>0</v>
      </c>
      <c r="Z34" s="15">
        <f t="shared" si="13"/>
        <v>721.49985569999978</v>
      </c>
      <c r="AA34" s="15">
        <f t="shared" si="14"/>
        <v>4521.499135699999</v>
      </c>
      <c r="AB34" s="15">
        <f t="shared" si="15"/>
        <v>25478.5008643</v>
      </c>
    </row>
    <row r="35" spans="1:28" x14ac:dyDescent="0.35">
      <c r="A35" s="17" t="s">
        <v>169</v>
      </c>
      <c r="B35" s="18" t="s">
        <v>170</v>
      </c>
      <c r="C35" s="12">
        <v>46113</v>
      </c>
      <c r="D35" s="14">
        <v>15000</v>
      </c>
      <c r="E35" s="14">
        <v>30</v>
      </c>
      <c r="F35" s="14">
        <v>30</v>
      </c>
      <c r="G35" s="14">
        <v>0</v>
      </c>
      <c r="H35" s="14"/>
      <c r="I35" s="15">
        <f t="shared" si="0"/>
        <v>7499.9984999999988</v>
      </c>
      <c r="J35" s="15">
        <f t="shared" si="1"/>
        <v>3749.9992499999994</v>
      </c>
      <c r="K35" s="15">
        <f t="shared" si="2"/>
        <v>1600</v>
      </c>
      <c r="L35" s="15">
        <f t="shared" si="3"/>
        <v>889.25250215000278</v>
      </c>
      <c r="M35" s="15">
        <f t="shared" si="4"/>
        <v>13739.250252150001</v>
      </c>
      <c r="N35" s="15">
        <f t="shared" si="7"/>
        <v>899.99981999999977</v>
      </c>
      <c r="O35" s="15">
        <v>0</v>
      </c>
      <c r="P35" s="15">
        <v>150</v>
      </c>
      <c r="Q35" s="15">
        <v>0</v>
      </c>
      <c r="R35" s="15">
        <v>0</v>
      </c>
      <c r="S35" s="15">
        <v>0</v>
      </c>
      <c r="T35" s="15">
        <f t="shared" si="5"/>
        <v>13739.250252150001</v>
      </c>
      <c r="U35" s="15">
        <v>0</v>
      </c>
      <c r="V35" s="15">
        <v>0</v>
      </c>
      <c r="W35" s="37">
        <v>1650</v>
      </c>
      <c r="X35" s="15">
        <f t="shared" si="9"/>
        <v>899.99981999999977</v>
      </c>
      <c r="Y35" s="15">
        <v>0</v>
      </c>
      <c r="Z35" s="15">
        <f t="shared" si="13"/>
        <v>360.74992784999989</v>
      </c>
      <c r="AA35" s="15">
        <f t="shared" si="14"/>
        <v>3960.7495678499999</v>
      </c>
      <c r="AB35" s="15">
        <f t="shared" si="15"/>
        <v>11039.25043215</v>
      </c>
    </row>
    <row r="36" spans="1:28" x14ac:dyDescent="0.35">
      <c r="A36" s="17" t="s">
        <v>171</v>
      </c>
      <c r="B36" s="18" t="s">
        <v>172</v>
      </c>
      <c r="C36" s="12">
        <v>46113</v>
      </c>
      <c r="D36" s="14">
        <v>15000</v>
      </c>
      <c r="E36" s="14">
        <v>30</v>
      </c>
      <c r="F36" s="14">
        <v>30</v>
      </c>
      <c r="G36" s="14">
        <v>0</v>
      </c>
      <c r="H36" s="14"/>
      <c r="I36" s="15">
        <f t="shared" si="0"/>
        <v>7499.9984999999988</v>
      </c>
      <c r="J36" s="15">
        <f t="shared" si="1"/>
        <v>3749.9992499999994</v>
      </c>
      <c r="K36" s="15">
        <f t="shared" si="2"/>
        <v>1600</v>
      </c>
      <c r="L36" s="15">
        <f t="shared" si="3"/>
        <v>889.25250215000278</v>
      </c>
      <c r="M36" s="15">
        <f t="shared" si="4"/>
        <v>13739.250252150001</v>
      </c>
      <c r="N36" s="15">
        <f t="shared" si="7"/>
        <v>899.99981999999977</v>
      </c>
      <c r="O36" s="15">
        <v>0</v>
      </c>
      <c r="P36" s="15">
        <v>150</v>
      </c>
      <c r="Q36" s="15">
        <v>0</v>
      </c>
      <c r="R36" s="15">
        <v>0</v>
      </c>
      <c r="S36" s="15">
        <v>0</v>
      </c>
      <c r="T36" s="15">
        <f t="shared" si="5"/>
        <v>13739.250252150001</v>
      </c>
      <c r="U36" s="15">
        <v>0</v>
      </c>
      <c r="V36" s="15">
        <v>0</v>
      </c>
      <c r="W36" s="15">
        <v>0</v>
      </c>
      <c r="X36" s="15">
        <f t="shared" si="9"/>
        <v>899.99981999999977</v>
      </c>
      <c r="Y36" s="15">
        <v>0</v>
      </c>
      <c r="Z36" s="15">
        <f t="shared" si="13"/>
        <v>360.74992784999989</v>
      </c>
      <c r="AA36" s="15">
        <f t="shared" si="14"/>
        <v>2310.7495678499995</v>
      </c>
      <c r="AB36" s="15">
        <f t="shared" si="15"/>
        <v>12689.25043215</v>
      </c>
    </row>
    <row r="37" spans="1:28" x14ac:dyDescent="0.35">
      <c r="A37" s="17" t="s">
        <v>173</v>
      </c>
      <c r="B37" s="18" t="s">
        <v>174</v>
      </c>
      <c r="C37" s="12">
        <v>46113</v>
      </c>
      <c r="D37" s="14">
        <v>23000</v>
      </c>
      <c r="E37" s="14">
        <v>30</v>
      </c>
      <c r="F37" s="14">
        <v>30</v>
      </c>
      <c r="G37" s="14">
        <v>0</v>
      </c>
      <c r="H37" s="14"/>
      <c r="I37" s="15">
        <f t="shared" si="0"/>
        <v>11499.997699999998</v>
      </c>
      <c r="J37" s="15">
        <f t="shared" si="1"/>
        <v>5749.998849999999</v>
      </c>
      <c r="K37" s="15">
        <f t="shared" si="2"/>
        <v>1600</v>
      </c>
      <c r="L37" s="15">
        <f t="shared" si="3"/>
        <v>2216.8538366300008</v>
      </c>
      <c r="M37" s="15">
        <f t="shared" si="4"/>
        <v>21066.850386629998</v>
      </c>
      <c r="N37" s="15">
        <f t="shared" si="7"/>
        <v>1379.9997239999998</v>
      </c>
      <c r="O37" s="15">
        <f t="shared" si="8"/>
        <v>0</v>
      </c>
      <c r="P37" s="15">
        <v>200</v>
      </c>
      <c r="Q37" s="15">
        <v>0</v>
      </c>
      <c r="R37" s="15">
        <v>0</v>
      </c>
      <c r="S37" s="15">
        <v>0</v>
      </c>
      <c r="T37" s="15">
        <f t="shared" si="5"/>
        <v>21066.850386629998</v>
      </c>
      <c r="U37" s="15">
        <v>0</v>
      </c>
      <c r="V37" s="15">
        <v>0</v>
      </c>
      <c r="W37" s="37">
        <v>1450</v>
      </c>
      <c r="X37" s="15">
        <f t="shared" si="9"/>
        <v>1379.9997239999998</v>
      </c>
      <c r="Y37" s="15">
        <f t="shared" si="10"/>
        <v>0</v>
      </c>
      <c r="Z37" s="15">
        <f t="shared" si="13"/>
        <v>553.14988936999987</v>
      </c>
      <c r="AA37" s="15">
        <f t="shared" si="14"/>
        <v>4963.1493373699996</v>
      </c>
      <c r="AB37" s="15">
        <f t="shared" si="15"/>
        <v>18036.85066263</v>
      </c>
    </row>
    <row r="38" spans="1:28" x14ac:dyDescent="0.35">
      <c r="A38" s="17" t="s">
        <v>175</v>
      </c>
      <c r="B38" s="17" t="s">
        <v>176</v>
      </c>
      <c r="C38" s="12">
        <v>46114</v>
      </c>
      <c r="D38" s="14">
        <v>24000</v>
      </c>
      <c r="E38" s="14">
        <v>30</v>
      </c>
      <c r="F38" s="14">
        <v>30</v>
      </c>
      <c r="G38" s="14">
        <v>0</v>
      </c>
      <c r="H38" s="14"/>
      <c r="I38" s="15">
        <f t="shared" si="0"/>
        <v>11999.997599999999</v>
      </c>
      <c r="J38" s="15">
        <f t="shared" si="1"/>
        <v>5999.9987999999994</v>
      </c>
      <c r="K38" s="15">
        <f t="shared" si="2"/>
        <v>1600</v>
      </c>
      <c r="L38" s="15">
        <f t="shared" si="3"/>
        <v>2382.8040034400019</v>
      </c>
      <c r="M38" s="15">
        <f t="shared" si="4"/>
        <v>21982.80040344</v>
      </c>
      <c r="N38" s="15">
        <f t="shared" si="7"/>
        <v>1439.9997119999998</v>
      </c>
      <c r="O38" s="15">
        <f t="shared" si="8"/>
        <v>0</v>
      </c>
      <c r="P38" s="15">
        <v>200</v>
      </c>
      <c r="Q38" s="15">
        <v>0</v>
      </c>
      <c r="R38" s="15">
        <v>0</v>
      </c>
      <c r="S38" s="15">
        <v>0</v>
      </c>
      <c r="T38" s="15">
        <f t="shared" si="5"/>
        <v>21982.80040344</v>
      </c>
      <c r="U38" s="15">
        <v>0</v>
      </c>
      <c r="V38" s="15">
        <v>0</v>
      </c>
      <c r="W38" s="15">
        <v>0</v>
      </c>
      <c r="X38" s="15">
        <f t="shared" si="9"/>
        <v>1439.9997119999998</v>
      </c>
      <c r="Y38" s="15">
        <f t="shared" si="10"/>
        <v>0</v>
      </c>
      <c r="Z38" s="15">
        <f t="shared" si="13"/>
        <v>577.19988455999987</v>
      </c>
      <c r="AA38" s="15">
        <f t="shared" si="14"/>
        <v>3657.1993085599997</v>
      </c>
      <c r="AB38" s="15">
        <f t="shared" si="15"/>
        <v>20342.800691439999</v>
      </c>
    </row>
    <row r="39" spans="1:28" x14ac:dyDescent="0.35">
      <c r="A39" s="21" t="s">
        <v>178</v>
      </c>
      <c r="B39" s="14" t="s">
        <v>177</v>
      </c>
      <c r="C39" s="12">
        <v>46113</v>
      </c>
      <c r="D39" s="14">
        <v>35000</v>
      </c>
      <c r="E39" s="14">
        <v>30</v>
      </c>
      <c r="F39" s="14">
        <v>30</v>
      </c>
      <c r="G39" s="14">
        <v>0</v>
      </c>
      <c r="H39" s="14"/>
      <c r="I39" s="15">
        <f t="shared" si="0"/>
        <v>17499.996499999997</v>
      </c>
      <c r="J39" s="15">
        <f t="shared" si="1"/>
        <v>8749.9982499999987</v>
      </c>
      <c r="K39" s="15">
        <f t="shared" si="2"/>
        <v>1600</v>
      </c>
      <c r="L39" s="15">
        <f t="shared" si="3"/>
        <v>4508.2554183500051</v>
      </c>
      <c r="M39" s="15">
        <f t="shared" si="4"/>
        <v>32358.250168350001</v>
      </c>
      <c r="N39" s="15">
        <f t="shared" si="7"/>
        <v>1800</v>
      </c>
      <c r="O39" s="15">
        <f t="shared" si="8"/>
        <v>0</v>
      </c>
      <c r="P39" s="15">
        <v>200</v>
      </c>
      <c r="Q39" s="15">
        <v>0</v>
      </c>
      <c r="R39" s="15">
        <v>0</v>
      </c>
      <c r="S39" s="15">
        <v>0</v>
      </c>
      <c r="T39" s="15">
        <f t="shared" si="5"/>
        <v>32358.250168350001</v>
      </c>
      <c r="U39" s="15">
        <v>0</v>
      </c>
      <c r="V39" s="15">
        <v>0</v>
      </c>
      <c r="W39" s="15">
        <v>0</v>
      </c>
      <c r="X39" s="15">
        <f t="shared" si="9"/>
        <v>1800</v>
      </c>
      <c r="Y39" s="15">
        <f t="shared" si="10"/>
        <v>0</v>
      </c>
      <c r="Z39" s="15">
        <f t="shared" si="13"/>
        <v>841.74983164999981</v>
      </c>
      <c r="AA39" s="15">
        <f t="shared" si="14"/>
        <v>4641.7498316499996</v>
      </c>
      <c r="AB39" s="15">
        <f t="shared" si="15"/>
        <v>30358.250168350001</v>
      </c>
    </row>
    <row r="40" spans="1:28" x14ac:dyDescent="0.35">
      <c r="A40" s="17" t="s">
        <v>211</v>
      </c>
      <c r="B40" s="18" t="s">
        <v>206</v>
      </c>
      <c r="C40" s="12">
        <v>46113</v>
      </c>
      <c r="D40" s="9">
        <v>100000</v>
      </c>
      <c r="E40" s="14">
        <v>30</v>
      </c>
      <c r="F40" s="14">
        <v>30</v>
      </c>
      <c r="G40" s="14">
        <v>0</v>
      </c>
      <c r="I40" s="15">
        <f t="shared" ref="I40:I41" si="16">(+D40*49.99999%)/E40*F40</f>
        <v>49999.989999999991</v>
      </c>
      <c r="J40" s="15">
        <f t="shared" ref="J40:J41" si="17">(I40*50%)</f>
        <v>24999.994999999995</v>
      </c>
      <c r="K40" s="15">
        <f t="shared" ref="K40:K41" si="18">(1600/E40)*F40</f>
        <v>1600</v>
      </c>
      <c r="L40" s="15">
        <f t="shared" ref="L40:L41" si="19">(M40-I40-J40-K40)</f>
        <v>19195.015481000009</v>
      </c>
      <c r="M40" s="15">
        <f t="shared" ref="M40:M41" si="20">(D40-X40)/E40*F40-Z40</f>
        <v>95795.000480999995</v>
      </c>
      <c r="N40" s="15">
        <f t="shared" si="7"/>
        <v>1800</v>
      </c>
      <c r="O40" s="15">
        <f t="shared" ref="O40:O41" si="21">IF(M40&lt;=21000,M40*0.75%,0)</f>
        <v>0</v>
      </c>
      <c r="P40" s="15">
        <v>200</v>
      </c>
      <c r="Q40" s="15">
        <v>0</v>
      </c>
      <c r="R40" s="15">
        <v>0</v>
      </c>
      <c r="S40" s="15">
        <v>0</v>
      </c>
      <c r="T40" s="15">
        <f t="shared" ref="T40:T41" si="22">M40+Q40+R40+S40</f>
        <v>95795.000480999995</v>
      </c>
      <c r="U40" s="15">
        <v>0</v>
      </c>
      <c r="V40" s="15">
        <v>0</v>
      </c>
      <c r="W40" s="15">
        <v>0</v>
      </c>
      <c r="X40" s="15">
        <f t="shared" si="9"/>
        <v>1800</v>
      </c>
      <c r="Y40" s="15">
        <f t="shared" ref="Y40:Y41" si="23">IF(M40&lt;=21000,M40*3.25%,0)</f>
        <v>0</v>
      </c>
      <c r="Z40" s="15">
        <f t="shared" ref="Z40:Z41" si="24">I40*4.81%</f>
        <v>2404.9995189999995</v>
      </c>
      <c r="AA40" s="15">
        <f t="shared" ref="AA40:AA41" si="25">N40+O40+P40+V40+W40+U40+X40+Y40+Z40</f>
        <v>6204.9995189999991</v>
      </c>
      <c r="AB40" s="15">
        <f t="shared" ref="AB40:AB41" si="26">M40-AA40+Z40+X40</f>
        <v>93795.000480999995</v>
      </c>
    </row>
    <row r="41" spans="1:28" x14ac:dyDescent="0.35">
      <c r="A41" s="17" t="s">
        <v>212</v>
      </c>
      <c r="B41" s="18" t="s">
        <v>208</v>
      </c>
      <c r="C41" s="12">
        <v>46113</v>
      </c>
      <c r="D41" s="9">
        <v>33333</v>
      </c>
      <c r="E41" s="14">
        <v>30</v>
      </c>
      <c r="F41" s="14">
        <v>30</v>
      </c>
      <c r="G41" s="14">
        <v>0</v>
      </c>
      <c r="I41" s="15">
        <f t="shared" si="16"/>
        <v>16666.496666699997</v>
      </c>
      <c r="J41" s="15">
        <f t="shared" si="17"/>
        <v>8333.2483333499986</v>
      </c>
      <c r="K41" s="15">
        <f t="shared" si="18"/>
        <v>1600</v>
      </c>
      <c r="L41" s="15">
        <f t="shared" si="19"/>
        <v>4131.5965102817318</v>
      </c>
      <c r="M41" s="15">
        <f t="shared" si="20"/>
        <v>30731.341510331727</v>
      </c>
      <c r="N41" s="15">
        <f t="shared" si="7"/>
        <v>1800</v>
      </c>
      <c r="O41" s="15">
        <f t="shared" si="21"/>
        <v>0</v>
      </c>
      <c r="P41" s="15">
        <v>200</v>
      </c>
      <c r="Q41" s="15">
        <v>0</v>
      </c>
      <c r="R41" s="15">
        <v>0</v>
      </c>
      <c r="S41" s="15">
        <v>0</v>
      </c>
      <c r="T41" s="15">
        <f t="shared" si="22"/>
        <v>30731.341510331727</v>
      </c>
      <c r="U41" s="15">
        <v>0</v>
      </c>
      <c r="V41" s="15">
        <v>0</v>
      </c>
      <c r="W41" s="15">
        <v>0</v>
      </c>
      <c r="X41" s="15">
        <f t="shared" si="9"/>
        <v>1800</v>
      </c>
      <c r="Y41" s="15">
        <f t="shared" si="23"/>
        <v>0</v>
      </c>
      <c r="Z41" s="15">
        <f t="shared" si="24"/>
        <v>801.65848966826979</v>
      </c>
      <c r="AA41" s="15">
        <f t="shared" si="25"/>
        <v>4601.6584896682698</v>
      </c>
      <c r="AB41" s="15">
        <f t="shared" si="26"/>
        <v>28731.341510331727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9937-D8E5-4F9E-97D1-8B5E20610177}">
  <dimension ref="A1:K11"/>
  <sheetViews>
    <sheetView workbookViewId="0">
      <selection activeCell="F16" sqref="F16"/>
    </sheetView>
  </sheetViews>
  <sheetFormatPr defaultColWidth="4.54296875" defaultRowHeight="14.5" x14ac:dyDescent="0.35"/>
  <cols>
    <col min="1" max="1" width="4.6328125" bestFit="1" customWidth="1"/>
    <col min="2" max="2" width="15.54296875" bestFit="1" customWidth="1"/>
    <col min="3" max="3" width="10.81640625" bestFit="1" customWidth="1"/>
    <col min="4" max="4" width="12.36328125" bestFit="1" customWidth="1"/>
    <col min="5" max="5" width="9.08984375" bestFit="1" customWidth="1"/>
    <col min="6" max="6" width="19.7265625" bestFit="1" customWidth="1"/>
    <col min="7" max="7" width="13.08984375" bestFit="1" customWidth="1"/>
    <col min="8" max="8" width="22" bestFit="1" customWidth="1"/>
    <col min="9" max="9" width="16.453125" bestFit="1" customWidth="1"/>
  </cols>
  <sheetData>
    <row r="1" spans="1:11" x14ac:dyDescent="0.35">
      <c r="A1" s="41" t="s">
        <v>128</v>
      </c>
      <c r="B1" s="41" t="s">
        <v>129</v>
      </c>
      <c r="C1" s="41" t="s">
        <v>130</v>
      </c>
      <c r="D1" s="41" t="s">
        <v>131</v>
      </c>
      <c r="E1" s="41" t="s">
        <v>132</v>
      </c>
      <c r="F1" s="19" t="s">
        <v>29</v>
      </c>
      <c r="G1" s="19" t="s">
        <v>30</v>
      </c>
      <c r="H1" s="19" t="s">
        <v>213</v>
      </c>
      <c r="I1" s="19" t="s">
        <v>32</v>
      </c>
    </row>
    <row r="2" spans="1:11" x14ac:dyDescent="0.35">
      <c r="A2" s="22">
        <v>1</v>
      </c>
      <c r="B2" s="22" t="s">
        <v>125</v>
      </c>
      <c r="C2" s="40"/>
      <c r="D2" s="22"/>
      <c r="E2" s="22">
        <v>230000</v>
      </c>
      <c r="F2" s="50">
        <v>32862142889</v>
      </c>
      <c r="G2" s="22" t="s">
        <v>225</v>
      </c>
      <c r="H2" s="22" t="s">
        <v>224</v>
      </c>
      <c r="I2" s="22" t="s">
        <v>179</v>
      </c>
    </row>
    <row r="3" spans="1:11" x14ac:dyDescent="0.35">
      <c r="A3" s="22">
        <v>2</v>
      </c>
      <c r="B3" s="22" t="s">
        <v>133</v>
      </c>
      <c r="C3" s="40">
        <v>22</v>
      </c>
      <c r="D3" s="22">
        <v>1200</v>
      </c>
      <c r="E3" s="22">
        <f>C3*D3</f>
        <v>26400</v>
      </c>
      <c r="F3" s="61" t="s">
        <v>221</v>
      </c>
      <c r="G3" s="22" t="s">
        <v>214</v>
      </c>
      <c r="H3" s="22" t="s">
        <v>215</v>
      </c>
      <c r="I3" s="22" t="s">
        <v>45</v>
      </c>
      <c r="J3" s="42"/>
    </row>
    <row r="4" spans="1:11" x14ac:dyDescent="0.35">
      <c r="A4" s="22">
        <v>3</v>
      </c>
      <c r="B4" s="22" t="s">
        <v>134</v>
      </c>
      <c r="C4" s="40">
        <v>22</v>
      </c>
      <c r="D4" s="22">
        <v>1200</v>
      </c>
      <c r="E4" s="22">
        <f t="shared" ref="E4:E8" si="0">C4*D4</f>
        <v>26400</v>
      </c>
      <c r="F4" s="50">
        <v>653101004326</v>
      </c>
      <c r="G4" s="22" t="s">
        <v>216</v>
      </c>
      <c r="H4" s="22" t="s">
        <v>217</v>
      </c>
      <c r="I4" s="22" t="s">
        <v>45</v>
      </c>
      <c r="J4" s="42"/>
    </row>
    <row r="5" spans="1:11" x14ac:dyDescent="0.35">
      <c r="A5" s="22">
        <v>4</v>
      </c>
      <c r="B5" s="22" t="s">
        <v>135</v>
      </c>
      <c r="C5" s="40">
        <v>30</v>
      </c>
      <c r="D5" s="22">
        <v>1000</v>
      </c>
      <c r="E5" s="22">
        <f t="shared" si="0"/>
        <v>30000</v>
      </c>
      <c r="F5" s="50">
        <v>922020060410761</v>
      </c>
      <c r="G5" s="22" t="s">
        <v>222</v>
      </c>
      <c r="H5" s="22" t="s">
        <v>223</v>
      </c>
      <c r="I5" s="22" t="s">
        <v>203</v>
      </c>
      <c r="J5" s="42"/>
      <c r="K5" s="65"/>
    </row>
    <row r="6" spans="1:11" x14ac:dyDescent="0.35">
      <c r="A6" s="22">
        <v>5</v>
      </c>
      <c r="B6" s="22" t="s">
        <v>136</v>
      </c>
      <c r="C6" s="40">
        <v>30</v>
      </c>
      <c r="D6" s="22">
        <v>1000</v>
      </c>
      <c r="E6" s="22">
        <f t="shared" si="0"/>
        <v>30000</v>
      </c>
      <c r="F6" s="55">
        <v>814649188</v>
      </c>
      <c r="G6" s="22" t="s">
        <v>218</v>
      </c>
      <c r="H6" s="22" t="s">
        <v>219</v>
      </c>
      <c r="I6" s="22" t="s">
        <v>220</v>
      </c>
      <c r="J6" s="42"/>
    </row>
    <row r="7" spans="1:11" x14ac:dyDescent="0.35">
      <c r="A7" s="22">
        <v>6</v>
      </c>
      <c r="B7" s="22" t="s">
        <v>199</v>
      </c>
      <c r="C7" s="40">
        <v>13.5</v>
      </c>
      <c r="D7" s="22">
        <v>1000</v>
      </c>
      <c r="E7" s="22">
        <f t="shared" si="0"/>
        <v>13500</v>
      </c>
      <c r="F7" s="50">
        <v>50100115451901</v>
      </c>
      <c r="G7" s="22" t="s">
        <v>229</v>
      </c>
      <c r="H7" s="22" t="s">
        <v>229</v>
      </c>
      <c r="I7" s="22" t="s">
        <v>193</v>
      </c>
    </row>
    <row r="8" spans="1:11" x14ac:dyDescent="0.35">
      <c r="A8" s="22">
        <v>7</v>
      </c>
      <c r="B8" s="22" t="s">
        <v>200</v>
      </c>
      <c r="C8" s="40">
        <v>19</v>
      </c>
      <c r="D8" s="22">
        <v>800</v>
      </c>
      <c r="E8" s="22">
        <f t="shared" si="0"/>
        <v>15200</v>
      </c>
      <c r="F8" s="55">
        <v>45080524946</v>
      </c>
      <c r="G8" s="22" t="s">
        <v>226</v>
      </c>
      <c r="H8" s="22" t="s">
        <v>227</v>
      </c>
      <c r="I8" s="22" t="s">
        <v>179</v>
      </c>
    </row>
    <row r="10" spans="1:11" x14ac:dyDescent="0.35">
      <c r="C10" s="29"/>
    </row>
    <row r="11" spans="1:11" x14ac:dyDescent="0.35">
      <c r="E11" s="1">
        <f>SUM(E2:E10)</f>
        <v>371500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E0F1-FE9B-4C0F-B350-8B3214F65ECA}">
  <dimension ref="A1:H9"/>
  <sheetViews>
    <sheetView workbookViewId="0">
      <selection activeCell="H10" sqref="H10"/>
    </sheetView>
  </sheetViews>
  <sheetFormatPr defaultRowHeight="14.5" x14ac:dyDescent="0.35"/>
  <cols>
    <col min="1" max="1" width="35.08984375" customWidth="1"/>
    <col min="2" max="2" width="10.08984375" customWidth="1"/>
    <col min="3" max="3" width="8.6328125" customWidth="1"/>
    <col min="4" max="4" width="19.08984375" customWidth="1"/>
    <col min="5" max="5" width="22.26953125" customWidth="1"/>
    <col min="6" max="6" width="13.36328125" customWidth="1"/>
    <col min="7" max="7" width="18.1796875" customWidth="1"/>
  </cols>
  <sheetData>
    <row r="1" spans="1:8" x14ac:dyDescent="0.35">
      <c r="A1" s="19" t="s">
        <v>213</v>
      </c>
      <c r="B1" s="41" t="s">
        <v>132</v>
      </c>
      <c r="C1" s="41" t="s">
        <v>230</v>
      </c>
      <c r="D1" s="19" t="s">
        <v>29</v>
      </c>
      <c r="E1" s="19" t="s">
        <v>30</v>
      </c>
      <c r="F1" s="19" t="s">
        <v>32</v>
      </c>
      <c r="G1" s="19" t="s">
        <v>234</v>
      </c>
    </row>
    <row r="2" spans="1:8" ht="50" customHeight="1" x14ac:dyDescent="0.35">
      <c r="A2" s="67" t="s">
        <v>232</v>
      </c>
      <c r="B2" s="66">
        <v>160000</v>
      </c>
      <c r="C2" s="66">
        <v>0</v>
      </c>
      <c r="D2" s="51">
        <v>50200062999445</v>
      </c>
      <c r="E2" s="66" t="s">
        <v>231</v>
      </c>
      <c r="F2" s="66" t="s">
        <v>193</v>
      </c>
      <c r="G2" t="s">
        <v>233</v>
      </c>
    </row>
    <row r="3" spans="1:8" x14ac:dyDescent="0.35">
      <c r="A3" t="s">
        <v>235</v>
      </c>
      <c r="B3" s="66">
        <v>22583.06</v>
      </c>
      <c r="C3" s="66">
        <v>3444.87</v>
      </c>
      <c r="D3" s="51">
        <v>50200026430541</v>
      </c>
      <c r="E3" s="66" t="s">
        <v>236</v>
      </c>
      <c r="F3" s="66" t="s">
        <v>193</v>
      </c>
      <c r="G3" s="66" t="s">
        <v>233</v>
      </c>
    </row>
    <row r="9" spans="1:8" x14ac:dyDescent="0.35">
      <c r="H9">
        <f>371500+160000+22583.06</f>
        <v>554083.06000000006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20E4-9944-43A1-99D2-A2D85D0C0D6A}">
  <sheetPr filterMode="1"/>
  <dimension ref="A1:H50"/>
  <sheetViews>
    <sheetView workbookViewId="0">
      <pane ySplit="1" topLeftCell="A16" activePane="bottomLeft" state="frozen"/>
      <selection pane="bottomLeft" sqref="A1:G46"/>
    </sheetView>
  </sheetViews>
  <sheetFormatPr defaultRowHeight="14.5" x14ac:dyDescent="0.35"/>
  <cols>
    <col min="1" max="1" width="11.26953125" bestFit="1" customWidth="1"/>
    <col min="2" max="2" width="33" customWidth="1"/>
    <col min="3" max="3" width="9.54296875" customWidth="1"/>
    <col min="4" max="4" width="17.7265625" customWidth="1"/>
    <col min="5" max="5" width="19.7265625" bestFit="1" customWidth="1"/>
    <col min="6" max="6" width="12.6328125" customWidth="1"/>
    <col min="7" max="7" width="17.54296875" customWidth="1"/>
    <col min="8" max="8" width="8.08984375" bestFit="1" customWidth="1"/>
  </cols>
  <sheetData>
    <row r="1" spans="1:8" x14ac:dyDescent="0.35">
      <c r="A1" s="19" t="s">
        <v>1</v>
      </c>
      <c r="B1" s="19" t="s">
        <v>0</v>
      </c>
      <c r="C1" s="19" t="s">
        <v>21</v>
      </c>
      <c r="D1" s="19" t="s">
        <v>17</v>
      </c>
      <c r="E1" s="20" t="s">
        <v>29</v>
      </c>
      <c r="F1" s="20" t="s">
        <v>30</v>
      </c>
      <c r="G1" s="20" t="s">
        <v>32</v>
      </c>
      <c r="H1" s="20" t="s">
        <v>55</v>
      </c>
    </row>
    <row r="2" spans="1:8" hidden="1" x14ac:dyDescent="0.35">
      <c r="A2" s="43" t="s">
        <v>76</v>
      </c>
      <c r="B2" s="44" t="s">
        <v>77</v>
      </c>
      <c r="C2" s="45">
        <v>46083</v>
      </c>
      <c r="D2" s="49">
        <f>VLOOKUP(A2,'Tech Employees'!A12:AB49,28,0)</f>
        <v>44997.500240499998</v>
      </c>
      <c r="E2" s="49">
        <v>50100565431077</v>
      </c>
      <c r="F2" s="46" t="s">
        <v>111</v>
      </c>
      <c r="G2" s="46" t="s">
        <v>51</v>
      </c>
      <c r="H2" s="60" t="s">
        <v>205</v>
      </c>
    </row>
    <row r="3" spans="1:8" hidden="1" x14ac:dyDescent="0.35">
      <c r="A3" s="21" t="s">
        <v>36</v>
      </c>
      <c r="B3" s="22" t="s">
        <v>52</v>
      </c>
      <c r="C3" s="62">
        <v>46054</v>
      </c>
      <c r="D3" s="50">
        <f>VLOOKUP(A3,Consultant!A2:H6,8,0)</f>
        <v>79800</v>
      </c>
      <c r="E3" s="50">
        <v>50100677371816</v>
      </c>
      <c r="F3" s="22" t="s">
        <v>50</v>
      </c>
      <c r="G3" s="22" t="s">
        <v>51</v>
      </c>
      <c r="H3" s="22"/>
    </row>
    <row r="4" spans="1:8" x14ac:dyDescent="0.35">
      <c r="A4" s="21" t="s">
        <v>35</v>
      </c>
      <c r="B4" s="21" t="s">
        <v>38</v>
      </c>
      <c r="C4" s="62">
        <v>46054</v>
      </c>
      <c r="D4" s="50">
        <f>VLOOKUP(A4,Consultant!A3:H7,8,0)</f>
        <v>69800</v>
      </c>
      <c r="E4" s="51">
        <v>99980130961985</v>
      </c>
      <c r="F4" s="34" t="s">
        <v>228</v>
      </c>
      <c r="G4" s="24" t="s">
        <v>122</v>
      </c>
      <c r="H4" s="22"/>
    </row>
    <row r="5" spans="1:8" hidden="1" x14ac:dyDescent="0.35">
      <c r="A5" s="25" t="s">
        <v>27</v>
      </c>
      <c r="B5" s="25" t="s">
        <v>26</v>
      </c>
      <c r="C5" s="62">
        <v>46062</v>
      </c>
      <c r="D5" s="50">
        <f>VLOOKUP(A5,Employees!2:3,29,0)</f>
        <v>67329.466350000002</v>
      </c>
      <c r="E5" s="50">
        <v>41280100007853</v>
      </c>
      <c r="F5" s="22" t="s">
        <v>31</v>
      </c>
      <c r="G5" s="22" t="s">
        <v>33</v>
      </c>
      <c r="H5" s="22"/>
    </row>
    <row r="6" spans="1:8" x14ac:dyDescent="0.35">
      <c r="A6" s="10" t="s">
        <v>60</v>
      </c>
      <c r="B6" s="11" t="s">
        <v>61</v>
      </c>
      <c r="C6" s="12">
        <v>46083</v>
      </c>
      <c r="D6" s="50">
        <f>VLOOKUP(A6,'Tech Employees'!A4:AB41,28,0)</f>
        <v>52865.100278979997</v>
      </c>
      <c r="E6" s="51">
        <v>99980130961993</v>
      </c>
      <c r="F6" s="34" t="s">
        <v>228</v>
      </c>
      <c r="G6" s="24" t="s">
        <v>122</v>
      </c>
      <c r="H6" s="22"/>
    </row>
    <row r="7" spans="1:8" hidden="1" x14ac:dyDescent="0.35">
      <c r="A7" s="10" t="s">
        <v>56</v>
      </c>
      <c r="B7" s="11" t="s">
        <v>57</v>
      </c>
      <c r="C7" s="12">
        <v>46083</v>
      </c>
      <c r="D7" s="50">
        <f>VLOOKUP(A7,'Tech Employees'!A2:AB39,28,0)</f>
        <v>40117.750216450004</v>
      </c>
      <c r="E7" s="50">
        <v>3327101004003</v>
      </c>
      <c r="F7" s="24" t="s">
        <v>101</v>
      </c>
      <c r="G7" s="24" t="s">
        <v>102</v>
      </c>
      <c r="H7" s="22"/>
    </row>
    <row r="8" spans="1:8" hidden="1" x14ac:dyDescent="0.35">
      <c r="A8" s="10" t="s">
        <v>72</v>
      </c>
      <c r="B8" s="11" t="s">
        <v>73</v>
      </c>
      <c r="C8" s="12">
        <v>46083</v>
      </c>
      <c r="D8" s="50">
        <f>VLOOKUP(A8,'Tech Employees'!A10:AB47,28,0)</f>
        <v>40117.750216450004</v>
      </c>
      <c r="E8" s="50">
        <v>159502740717</v>
      </c>
      <c r="F8" s="24" t="s">
        <v>108</v>
      </c>
      <c r="G8" s="24" t="s">
        <v>109</v>
      </c>
      <c r="H8" s="22"/>
    </row>
    <row r="9" spans="1:8" x14ac:dyDescent="0.35">
      <c r="A9" s="10" t="s">
        <v>64</v>
      </c>
      <c r="B9" s="11" t="s">
        <v>65</v>
      </c>
      <c r="C9" s="12">
        <v>46083</v>
      </c>
      <c r="D9" s="50">
        <f>VLOOKUP(A9,'Tech Employees'!A6:AB43,28,0)</f>
        <v>44997.500240499998</v>
      </c>
      <c r="E9" s="50">
        <v>77770116800885</v>
      </c>
      <c r="F9" s="24" t="s">
        <v>104</v>
      </c>
      <c r="G9" s="24" t="s">
        <v>122</v>
      </c>
      <c r="H9" s="22"/>
    </row>
    <row r="10" spans="1:8" x14ac:dyDescent="0.35">
      <c r="A10" s="10" t="s">
        <v>70</v>
      </c>
      <c r="B10" s="11" t="s">
        <v>71</v>
      </c>
      <c r="C10" s="12">
        <v>46083</v>
      </c>
      <c r="D10" s="50">
        <f>VLOOKUP(A10,'Tech Employees'!A9:AB46,28,0)</f>
        <v>40117.750216450004</v>
      </c>
      <c r="E10" s="51">
        <v>99980130961886</v>
      </c>
      <c r="F10" s="34" t="s">
        <v>228</v>
      </c>
      <c r="G10" s="24" t="s">
        <v>122</v>
      </c>
      <c r="H10" s="22"/>
    </row>
    <row r="11" spans="1:8" hidden="1" x14ac:dyDescent="0.35">
      <c r="A11" s="10" t="s">
        <v>68</v>
      </c>
      <c r="B11" s="11" t="s">
        <v>69</v>
      </c>
      <c r="C11" s="12">
        <v>46083</v>
      </c>
      <c r="D11" s="50">
        <f>VLOOKUP(A11,'Tech Employees'!A8:AB45,28,0)</f>
        <v>40117.750216450004</v>
      </c>
      <c r="E11" s="50">
        <v>62297418711</v>
      </c>
      <c r="F11" s="24" t="s">
        <v>107</v>
      </c>
      <c r="G11" s="24" t="s">
        <v>106</v>
      </c>
      <c r="H11" s="22"/>
    </row>
    <row r="12" spans="1:8" x14ac:dyDescent="0.35">
      <c r="A12" s="10" t="s">
        <v>66</v>
      </c>
      <c r="B12" s="11" t="s">
        <v>67</v>
      </c>
      <c r="C12" s="12">
        <v>46083</v>
      </c>
      <c r="D12" s="50">
        <f>VLOOKUP(A12,'Tech Employees'!A7:AB44,28,0)</f>
        <v>40117.750216450004</v>
      </c>
      <c r="E12" s="51">
        <v>99980130963940</v>
      </c>
      <c r="F12" s="34" t="s">
        <v>228</v>
      </c>
      <c r="G12" s="24" t="s">
        <v>122</v>
      </c>
      <c r="H12" s="22"/>
    </row>
    <row r="13" spans="1:8" hidden="1" x14ac:dyDescent="0.35">
      <c r="A13" s="10" t="s">
        <v>58</v>
      </c>
      <c r="B13" s="11" t="s">
        <v>59</v>
      </c>
      <c r="C13" s="12">
        <v>46083</v>
      </c>
      <c r="D13" s="50">
        <f>VLOOKUP(A13,'Tech Employees'!A3:AB40,28,0)</f>
        <v>40117.750216450004</v>
      </c>
      <c r="E13" s="50">
        <v>50100595290241</v>
      </c>
      <c r="F13" s="50" t="s">
        <v>103</v>
      </c>
      <c r="G13" s="50" t="s">
        <v>51</v>
      </c>
      <c r="H13" s="22"/>
    </row>
    <row r="14" spans="1:8" x14ac:dyDescent="0.35">
      <c r="A14" s="10" t="s">
        <v>62</v>
      </c>
      <c r="B14" s="11" t="s">
        <v>63</v>
      </c>
      <c r="C14" s="12">
        <v>46083</v>
      </c>
      <c r="D14" s="50">
        <f>VLOOKUP(A14,'Tech Employees'!A5:AB42,28,0)</f>
        <v>19486.85066263</v>
      </c>
      <c r="E14" s="51">
        <v>99980130961951</v>
      </c>
      <c r="F14" s="34" t="s">
        <v>228</v>
      </c>
      <c r="G14" s="24" t="s">
        <v>122</v>
      </c>
      <c r="H14" s="22"/>
    </row>
    <row r="15" spans="1:8" hidden="1" x14ac:dyDescent="0.35">
      <c r="A15" s="21" t="s">
        <v>46</v>
      </c>
      <c r="B15" s="21" t="s">
        <v>47</v>
      </c>
      <c r="C15" s="62">
        <v>46066</v>
      </c>
      <c r="D15" s="50">
        <f>VLOOKUP(A15,Consultant!A4:H8,8,0)</f>
        <v>55800</v>
      </c>
      <c r="E15" s="52" t="s">
        <v>48</v>
      </c>
      <c r="F15" s="55" t="s">
        <v>49</v>
      </c>
      <c r="G15" s="55" t="s">
        <v>45</v>
      </c>
      <c r="H15" s="22"/>
    </row>
    <row r="16" spans="1:8" x14ac:dyDescent="0.35">
      <c r="A16" s="10" t="s">
        <v>74</v>
      </c>
      <c r="B16" s="11" t="s">
        <v>75</v>
      </c>
      <c r="C16" s="12">
        <v>46083</v>
      </c>
      <c r="D16" s="50">
        <f>VLOOKUP(A16,'Tech Employees'!A11:AB48,28,0)</f>
        <v>44997.500240499998</v>
      </c>
      <c r="E16" s="51">
        <v>99980130961894</v>
      </c>
      <c r="F16" s="34" t="s">
        <v>228</v>
      </c>
      <c r="G16" s="24" t="s">
        <v>122</v>
      </c>
      <c r="H16" s="22"/>
    </row>
    <row r="17" spans="1:8" x14ac:dyDescent="0.35">
      <c r="A17" s="10" t="s">
        <v>78</v>
      </c>
      <c r="B17" s="11" t="s">
        <v>79</v>
      </c>
      <c r="C17" s="12">
        <v>46083</v>
      </c>
      <c r="D17" s="50">
        <f>VLOOKUP(A17,'Tech Employees'!A13:AB50,28,0)</f>
        <v>50973.200269360001</v>
      </c>
      <c r="E17" s="51">
        <v>99980130961878</v>
      </c>
      <c r="F17" s="34" t="s">
        <v>228</v>
      </c>
      <c r="G17" s="24" t="s">
        <v>122</v>
      </c>
      <c r="H17" s="22"/>
    </row>
    <row r="18" spans="1:8" x14ac:dyDescent="0.35">
      <c r="A18" s="21" t="s">
        <v>37</v>
      </c>
      <c r="B18" s="21" t="s">
        <v>39</v>
      </c>
      <c r="C18" s="62">
        <v>46072</v>
      </c>
      <c r="D18" s="50">
        <f>VLOOKUP(A18,Consultant!A5:H9,8,0)</f>
        <v>74466.666666666657</v>
      </c>
      <c r="E18" s="50">
        <v>99980130963916</v>
      </c>
      <c r="F18" s="34" t="s">
        <v>228</v>
      </c>
      <c r="G18" s="24" t="s">
        <v>122</v>
      </c>
      <c r="H18" s="22"/>
    </row>
    <row r="19" spans="1:8" hidden="1" x14ac:dyDescent="0.35">
      <c r="A19" s="17" t="s">
        <v>173</v>
      </c>
      <c r="B19" s="18" t="s">
        <v>174</v>
      </c>
      <c r="C19" s="12">
        <v>46113</v>
      </c>
      <c r="D19" s="50">
        <f>VLOOKUP(A19,'Tech Employees'!A37:AB74,28,0)</f>
        <v>18036.85066263</v>
      </c>
      <c r="E19" s="53">
        <v>44610100006654</v>
      </c>
      <c r="F19" s="56" t="s">
        <v>196</v>
      </c>
      <c r="G19" s="57" t="s">
        <v>195</v>
      </c>
      <c r="H19" s="22"/>
    </row>
    <row r="20" spans="1:8" hidden="1" x14ac:dyDescent="0.35">
      <c r="A20" s="10" t="s">
        <v>80</v>
      </c>
      <c r="B20" s="11" t="s">
        <v>81</v>
      </c>
      <c r="C20" s="12">
        <v>46083</v>
      </c>
      <c r="D20" s="50">
        <f>VLOOKUP(A20,'Tech Employees'!A14:AB51,28,0)</f>
        <v>54757.0002886</v>
      </c>
      <c r="E20" s="50">
        <v>615728726</v>
      </c>
      <c r="F20" s="50" t="s">
        <v>113</v>
      </c>
      <c r="G20" s="50" t="s">
        <v>114</v>
      </c>
      <c r="H20" s="22"/>
    </row>
    <row r="21" spans="1:8" x14ac:dyDescent="0.35">
      <c r="A21" s="10" t="s">
        <v>82</v>
      </c>
      <c r="B21" s="11" t="s">
        <v>83</v>
      </c>
      <c r="C21" s="12">
        <v>46083</v>
      </c>
      <c r="D21" s="50">
        <f>VLOOKUP(A21,'Tech Employees'!A15:AB52,28,0)</f>
        <v>12639.25043215</v>
      </c>
      <c r="E21" s="51">
        <v>99980130963882</v>
      </c>
      <c r="F21" s="34" t="s">
        <v>228</v>
      </c>
      <c r="G21" s="24" t="s">
        <v>122</v>
      </c>
      <c r="H21" s="22"/>
    </row>
    <row r="22" spans="1:8" x14ac:dyDescent="0.35">
      <c r="A22" s="10" t="s">
        <v>84</v>
      </c>
      <c r="B22" s="11" t="s">
        <v>85</v>
      </c>
      <c r="C22" s="12">
        <v>46083</v>
      </c>
      <c r="D22" s="50">
        <f>VLOOKUP(A22,'Tech Employees'!A16:AB53,28,0)</f>
        <v>30358.250168350001</v>
      </c>
      <c r="E22" s="51">
        <v>99980130961902</v>
      </c>
      <c r="F22" s="34" t="s">
        <v>228</v>
      </c>
      <c r="G22" s="24" t="s">
        <v>122</v>
      </c>
      <c r="H22" s="22"/>
    </row>
    <row r="23" spans="1:8" x14ac:dyDescent="0.35">
      <c r="A23" s="10" t="s">
        <v>86</v>
      </c>
      <c r="B23" s="11" t="s">
        <v>87</v>
      </c>
      <c r="C23" s="12">
        <v>46083</v>
      </c>
      <c r="D23" s="50">
        <f>VLOOKUP(A23,'Tech Employees'!A17:AB54,28,0)</f>
        <v>30358.250168350001</v>
      </c>
      <c r="E23" s="48">
        <v>99980130961761</v>
      </c>
      <c r="F23" s="34" t="s">
        <v>228</v>
      </c>
      <c r="G23" s="24" t="s">
        <v>122</v>
      </c>
      <c r="H23" s="22"/>
    </row>
    <row r="24" spans="1:8" x14ac:dyDescent="0.35">
      <c r="A24" s="17" t="s">
        <v>163</v>
      </c>
      <c r="B24" s="18" t="s">
        <v>164</v>
      </c>
      <c r="C24" s="12">
        <v>46113</v>
      </c>
      <c r="D24" s="50">
        <f>VLOOKUP(A24,'Tech Employees'!A32:AB69,28,0)</f>
        <v>40117.750216450004</v>
      </c>
      <c r="E24" s="48">
        <v>99980130961787</v>
      </c>
      <c r="F24" s="34" t="s">
        <v>228</v>
      </c>
      <c r="G24" s="24" t="s">
        <v>122</v>
      </c>
      <c r="H24" s="22"/>
    </row>
    <row r="25" spans="1:8" hidden="1" x14ac:dyDescent="0.35">
      <c r="A25" s="10" t="s">
        <v>88</v>
      </c>
      <c r="B25" s="10" t="s">
        <v>89</v>
      </c>
      <c r="C25" s="12">
        <v>46083</v>
      </c>
      <c r="D25" s="50">
        <f>VLOOKUP(A25,'Tech Employees'!A18:AB55,28,0)</f>
        <v>19486.85066263</v>
      </c>
      <c r="E25" s="50">
        <v>37182972098</v>
      </c>
      <c r="F25" s="50" t="s">
        <v>137</v>
      </c>
      <c r="G25" s="50" t="s">
        <v>106</v>
      </c>
      <c r="H25" s="22"/>
    </row>
    <row r="26" spans="1:8" hidden="1" x14ac:dyDescent="0.35">
      <c r="A26" s="10" t="s">
        <v>90</v>
      </c>
      <c r="B26" s="10" t="s">
        <v>91</v>
      </c>
      <c r="C26" s="12">
        <v>46083</v>
      </c>
      <c r="D26" s="50">
        <f>VLOOKUP(A26,'Tech Employees'!A19:AB56,28,0)</f>
        <v>30358.250168350001</v>
      </c>
      <c r="E26" s="50">
        <v>39971511897</v>
      </c>
      <c r="F26" s="50" t="s">
        <v>119</v>
      </c>
      <c r="G26" s="50" t="s">
        <v>106</v>
      </c>
      <c r="H26" s="22"/>
    </row>
    <row r="27" spans="1:8" hidden="1" x14ac:dyDescent="0.35">
      <c r="A27" s="10" t="s">
        <v>92</v>
      </c>
      <c r="B27" s="10" t="s">
        <v>93</v>
      </c>
      <c r="C27" s="12">
        <v>46083</v>
      </c>
      <c r="D27" s="50">
        <f>VLOOKUP(A27,'Tech Employees'!A20:AB57,28,0)</f>
        <v>54757.0002886</v>
      </c>
      <c r="E27" s="50">
        <v>41536691505</v>
      </c>
      <c r="F27" s="50" t="s">
        <v>120</v>
      </c>
      <c r="G27" s="50" t="s">
        <v>106</v>
      </c>
      <c r="H27" s="22"/>
    </row>
    <row r="28" spans="1:8" hidden="1" x14ac:dyDescent="0.35">
      <c r="A28" s="10" t="s">
        <v>94</v>
      </c>
      <c r="B28" s="10" t="s">
        <v>95</v>
      </c>
      <c r="C28" s="12">
        <v>46083</v>
      </c>
      <c r="D28" s="50">
        <f>VLOOKUP(A28,'Tech Employees'!A21:AB58,28,0)</f>
        <v>52865.100278979997</v>
      </c>
      <c r="E28" s="50">
        <v>50100141200194</v>
      </c>
      <c r="F28" s="50" t="s">
        <v>121</v>
      </c>
      <c r="G28" s="50" t="s">
        <v>51</v>
      </c>
      <c r="H28" s="22"/>
    </row>
    <row r="29" spans="1:8" x14ac:dyDescent="0.35">
      <c r="A29" s="25" t="s">
        <v>96</v>
      </c>
      <c r="B29" s="25" t="s">
        <v>97</v>
      </c>
      <c r="C29" s="23">
        <v>46086</v>
      </c>
      <c r="D29" s="50">
        <f>VLOOKUP(A29,Employees!3:4,29,0)</f>
        <v>90521.666666666672</v>
      </c>
      <c r="E29" s="48">
        <v>99980130961795</v>
      </c>
      <c r="F29" s="34" t="s">
        <v>228</v>
      </c>
      <c r="G29" s="24" t="s">
        <v>122</v>
      </c>
      <c r="H29" s="22"/>
    </row>
    <row r="30" spans="1:8" x14ac:dyDescent="0.35">
      <c r="A30" s="17" t="s">
        <v>98</v>
      </c>
      <c r="B30" s="18" t="s">
        <v>99</v>
      </c>
      <c r="C30" s="23">
        <v>46092</v>
      </c>
      <c r="D30" s="50">
        <f>VLOOKUP(A30,Consultant!A6:H10,8,0)</f>
        <v>17800</v>
      </c>
      <c r="E30" s="48">
        <v>99980130950434</v>
      </c>
      <c r="F30" s="34" t="s">
        <v>228</v>
      </c>
      <c r="G30" s="24" t="s">
        <v>122</v>
      </c>
      <c r="H30" s="22"/>
    </row>
    <row r="31" spans="1:8" x14ac:dyDescent="0.35">
      <c r="A31" s="17" t="s">
        <v>143</v>
      </c>
      <c r="B31" s="18" t="s">
        <v>144</v>
      </c>
      <c r="C31" s="12">
        <v>46113</v>
      </c>
      <c r="D31" s="50">
        <f>VLOOKUP(A31,'Tech Employees'!A22:AB59,28,0)</f>
        <v>30358.250168350001</v>
      </c>
      <c r="E31" s="48">
        <v>15550100112314</v>
      </c>
      <c r="F31" s="34" t="s">
        <v>228</v>
      </c>
      <c r="G31" s="24" t="s">
        <v>122</v>
      </c>
      <c r="H31" s="22"/>
    </row>
    <row r="32" spans="1:8" hidden="1" x14ac:dyDescent="0.35">
      <c r="A32" s="17" t="s">
        <v>145</v>
      </c>
      <c r="B32" s="18" t="s">
        <v>146</v>
      </c>
      <c r="C32" s="12">
        <v>46113</v>
      </c>
      <c r="D32" s="50">
        <f>VLOOKUP(A32,'Tech Employees'!A23:AB60,28,0)</f>
        <v>25478.5008643</v>
      </c>
      <c r="E32" s="54">
        <v>40590710609</v>
      </c>
      <c r="F32" s="56" t="s">
        <v>180</v>
      </c>
      <c r="G32" s="57" t="s">
        <v>106</v>
      </c>
      <c r="H32" s="22"/>
    </row>
    <row r="33" spans="1:8" x14ac:dyDescent="0.35">
      <c r="A33" s="21" t="s">
        <v>178</v>
      </c>
      <c r="B33" s="14" t="s">
        <v>177</v>
      </c>
      <c r="C33" s="12">
        <v>46113</v>
      </c>
      <c r="D33" s="50">
        <f>VLOOKUP(A33,'Tech Employees'!A39:AB76,28,0)</f>
        <v>30358.250168350001</v>
      </c>
      <c r="E33" s="48">
        <v>15550100112330</v>
      </c>
      <c r="F33" s="34" t="s">
        <v>228</v>
      </c>
      <c r="G33" s="24" t="s">
        <v>122</v>
      </c>
      <c r="H33" s="22"/>
    </row>
    <row r="34" spans="1:8" hidden="1" x14ac:dyDescent="0.35">
      <c r="A34" s="17" t="s">
        <v>147</v>
      </c>
      <c r="B34" s="18" t="s">
        <v>148</v>
      </c>
      <c r="C34" s="12">
        <v>46113</v>
      </c>
      <c r="D34" s="50">
        <f>VLOOKUP(A34,'Tech Employees'!A24:AB61,28,0)</f>
        <v>43147.500240499998</v>
      </c>
      <c r="E34" s="53">
        <v>801663119</v>
      </c>
      <c r="F34" s="56" t="s">
        <v>181</v>
      </c>
      <c r="G34" s="57" t="s">
        <v>45</v>
      </c>
      <c r="H34" s="22"/>
    </row>
    <row r="35" spans="1:8" x14ac:dyDescent="0.35">
      <c r="A35" s="17" t="s">
        <v>149</v>
      </c>
      <c r="B35" s="18" t="s">
        <v>150</v>
      </c>
      <c r="C35" s="12">
        <v>46113</v>
      </c>
      <c r="D35" s="50">
        <f>VLOOKUP(A35,'Tech Employees'!A25:AB62,28,0)</f>
        <v>18853.939037250369</v>
      </c>
      <c r="E35" s="53">
        <v>55560103431927</v>
      </c>
      <c r="F35" s="56" t="s">
        <v>183</v>
      </c>
      <c r="G35" s="56" t="s">
        <v>182</v>
      </c>
      <c r="H35" s="22"/>
    </row>
    <row r="36" spans="1:8" x14ac:dyDescent="0.35">
      <c r="A36" s="17" t="s">
        <v>151</v>
      </c>
      <c r="B36" s="18" t="s">
        <v>152</v>
      </c>
      <c r="C36" s="12">
        <v>46113</v>
      </c>
      <c r="D36" s="50">
        <f>VLOOKUP(A36,'Tech Employees'!A26:AB63,28,0)</f>
        <v>12689.25043215</v>
      </c>
      <c r="E36" s="48">
        <v>15550100112355</v>
      </c>
      <c r="F36" s="34" t="s">
        <v>228</v>
      </c>
      <c r="G36" s="24" t="s">
        <v>122</v>
      </c>
      <c r="H36" s="22"/>
    </row>
    <row r="37" spans="1:8" x14ac:dyDescent="0.35">
      <c r="A37" s="17" t="s">
        <v>153</v>
      </c>
      <c r="B37" s="18" t="s">
        <v>154</v>
      </c>
      <c r="C37" s="12">
        <v>46113</v>
      </c>
      <c r="D37" s="50">
        <f>VLOOKUP(A37,'Tech Employees'!A27:AB64,28,0)</f>
        <v>12689.25043215</v>
      </c>
      <c r="E37" s="48">
        <v>15550100112280</v>
      </c>
      <c r="F37" s="34" t="s">
        <v>228</v>
      </c>
      <c r="G37" s="24" t="s">
        <v>122</v>
      </c>
      <c r="H37" s="22"/>
    </row>
    <row r="38" spans="1:8" hidden="1" x14ac:dyDescent="0.35">
      <c r="A38" s="17" t="s">
        <v>155</v>
      </c>
      <c r="B38" s="18" t="s">
        <v>156</v>
      </c>
      <c r="C38" s="12">
        <v>46113</v>
      </c>
      <c r="D38" s="50">
        <f>VLOOKUP(A38,'Tech Employees'!A28:AB65,28,0)</f>
        <v>12689.25043215</v>
      </c>
      <c r="E38" s="54">
        <v>386701504229</v>
      </c>
      <c r="F38" s="56" t="s">
        <v>185</v>
      </c>
      <c r="G38" s="57" t="s">
        <v>45</v>
      </c>
      <c r="H38" s="22"/>
    </row>
    <row r="39" spans="1:8" x14ac:dyDescent="0.35">
      <c r="A39" s="17" t="s">
        <v>159</v>
      </c>
      <c r="B39" s="31" t="s">
        <v>160</v>
      </c>
      <c r="C39" s="12">
        <v>46113</v>
      </c>
      <c r="D39" s="50">
        <f>VLOOKUP(A39,'Tech Employees'!A30:AB67,28,0)</f>
        <v>12689.25043215</v>
      </c>
      <c r="E39" s="48">
        <v>15550100112306</v>
      </c>
      <c r="F39" s="34" t="s">
        <v>228</v>
      </c>
      <c r="G39" s="24" t="s">
        <v>122</v>
      </c>
      <c r="H39" s="22"/>
    </row>
    <row r="40" spans="1:8" x14ac:dyDescent="0.35">
      <c r="A40" s="17" t="s">
        <v>161</v>
      </c>
      <c r="B40" s="31" t="s">
        <v>162</v>
      </c>
      <c r="C40" s="12">
        <v>46113</v>
      </c>
      <c r="D40" s="50">
        <f>VLOOKUP(A40,'Tech Employees'!A31:AB68,28,0)</f>
        <v>12689.25043215</v>
      </c>
      <c r="E40" s="48">
        <v>15550100112298</v>
      </c>
      <c r="F40" s="34" t="s">
        <v>228</v>
      </c>
      <c r="G40" s="24" t="s">
        <v>122</v>
      </c>
      <c r="H40" s="22"/>
    </row>
    <row r="41" spans="1:8" hidden="1" x14ac:dyDescent="0.35">
      <c r="A41" s="17" t="s">
        <v>157</v>
      </c>
      <c r="B41" s="18" t="s">
        <v>158</v>
      </c>
      <c r="C41" s="12">
        <v>46113</v>
      </c>
      <c r="D41" s="50">
        <f>VLOOKUP(A41,'Tech Employees'!A29:AB66,28,0)</f>
        <v>11889.300392140001</v>
      </c>
      <c r="E41" s="54">
        <v>44652833670</v>
      </c>
      <c r="F41" s="57" t="s">
        <v>186</v>
      </c>
      <c r="G41" s="57" t="s">
        <v>106</v>
      </c>
      <c r="H41" s="22"/>
    </row>
    <row r="42" spans="1:8" hidden="1" x14ac:dyDescent="0.35">
      <c r="A42" s="17" t="s">
        <v>165</v>
      </c>
      <c r="B42" s="18" t="s">
        <v>166</v>
      </c>
      <c r="C42" s="12">
        <v>46113</v>
      </c>
      <c r="D42" s="50">
        <f>VLOOKUP(A42,'Tech Employees'!A33:AB70,28,0)</f>
        <v>40117.750216450004</v>
      </c>
      <c r="E42" s="58">
        <v>37097117593</v>
      </c>
      <c r="F42" s="59" t="s">
        <v>191</v>
      </c>
      <c r="G42" s="57" t="s">
        <v>106</v>
      </c>
      <c r="H42" s="22"/>
    </row>
    <row r="43" spans="1:8" x14ac:dyDescent="0.35">
      <c r="A43" s="17" t="s">
        <v>167</v>
      </c>
      <c r="B43" s="18" t="s">
        <v>168</v>
      </c>
      <c r="C43" s="12">
        <v>46113</v>
      </c>
      <c r="D43" s="50">
        <f>VLOOKUP(A43,'Tech Employees'!A34:AB71,28,0)</f>
        <v>25478.5008643</v>
      </c>
      <c r="E43" s="48">
        <v>99980130961779</v>
      </c>
      <c r="F43" s="34" t="s">
        <v>228</v>
      </c>
      <c r="G43" s="17" t="s">
        <v>122</v>
      </c>
      <c r="H43" s="22"/>
    </row>
    <row r="44" spans="1:8" hidden="1" x14ac:dyDescent="0.35">
      <c r="A44" s="17" t="s">
        <v>169</v>
      </c>
      <c r="B44" s="18" t="s">
        <v>170</v>
      </c>
      <c r="C44" s="12">
        <v>46113</v>
      </c>
      <c r="D44" s="50">
        <f>VLOOKUP(A44,'Tech Employees'!A35:AB72,28,0)</f>
        <v>11039.25043215</v>
      </c>
      <c r="E44" s="53">
        <v>50100405907963</v>
      </c>
      <c r="F44" s="56" t="s">
        <v>194</v>
      </c>
      <c r="G44" s="59" t="s">
        <v>193</v>
      </c>
      <c r="H44" s="22"/>
    </row>
    <row r="45" spans="1:8" x14ac:dyDescent="0.35">
      <c r="A45" s="17" t="s">
        <v>171</v>
      </c>
      <c r="B45" s="18" t="s">
        <v>172</v>
      </c>
      <c r="C45" s="12">
        <v>46113</v>
      </c>
      <c r="D45" s="50">
        <f>VLOOKUP(A45,'Tech Employees'!A36:AB73,28,0)</f>
        <v>12689.25043215</v>
      </c>
      <c r="E45" s="48">
        <v>15550100112322</v>
      </c>
      <c r="F45" s="34" t="s">
        <v>228</v>
      </c>
      <c r="G45" s="17" t="s">
        <v>122</v>
      </c>
      <c r="H45" s="22"/>
    </row>
    <row r="46" spans="1:8" x14ac:dyDescent="0.35">
      <c r="A46" s="17" t="s">
        <v>175</v>
      </c>
      <c r="B46" s="18" t="s">
        <v>176</v>
      </c>
      <c r="C46" s="12">
        <v>46113</v>
      </c>
      <c r="D46" s="50">
        <f>VLOOKUP(A46,'Tech Employees'!A38:AB75,28,0)</f>
        <v>20342.800691439999</v>
      </c>
      <c r="E46" s="48">
        <v>15550100112363</v>
      </c>
      <c r="F46" s="34" t="s">
        <v>228</v>
      </c>
      <c r="G46" s="17" t="s">
        <v>122</v>
      </c>
      <c r="H46" s="22"/>
    </row>
    <row r="47" spans="1:8" hidden="1" x14ac:dyDescent="0.35">
      <c r="A47" s="17" t="s">
        <v>211</v>
      </c>
      <c r="B47" s="18" t="s">
        <v>206</v>
      </c>
      <c r="C47" s="12">
        <v>46113</v>
      </c>
      <c r="D47" s="50">
        <f>VLOOKUP(A47,'Tech Employees'!A39:AB76,28,0)</f>
        <v>93795.000480999995</v>
      </c>
      <c r="E47" s="53">
        <v>38613963272</v>
      </c>
      <c r="F47" s="34" t="s">
        <v>207</v>
      </c>
      <c r="G47" s="34" t="s">
        <v>106</v>
      </c>
      <c r="H47" s="22"/>
    </row>
    <row r="48" spans="1:8" ht="29" hidden="1" x14ac:dyDescent="0.35">
      <c r="A48" s="17" t="s">
        <v>212</v>
      </c>
      <c r="B48" s="18" t="s">
        <v>208</v>
      </c>
      <c r="C48" s="12">
        <v>46113</v>
      </c>
      <c r="D48" s="50">
        <f>VLOOKUP(A48,'Tech Employees'!A40:AB77,28,0)</f>
        <v>28731.341510331727</v>
      </c>
      <c r="E48" s="53">
        <v>180701000002091</v>
      </c>
      <c r="F48" s="34" t="s">
        <v>209</v>
      </c>
      <c r="G48" s="34" t="s">
        <v>210</v>
      </c>
      <c r="H48" s="22"/>
    </row>
    <row r="49" spans="1:5" x14ac:dyDescent="0.35">
      <c r="A49" s="6"/>
      <c r="B49" s="6"/>
      <c r="C49" s="2"/>
      <c r="D49" s="4"/>
      <c r="E49" s="4"/>
    </row>
    <row r="50" spans="1:5" x14ac:dyDescent="0.35">
      <c r="B50" s="1" t="s">
        <v>34</v>
      </c>
      <c r="C50" s="1"/>
      <c r="D50" s="72">
        <f>SUM(D3:D49)</f>
        <v>1709004.8936685557</v>
      </c>
    </row>
  </sheetData>
  <autoFilter ref="A1:H48" xr:uid="{A391748B-F213-475C-ADDF-18924556A258}">
    <filterColumn colId="6">
      <filters>
        <filter val="Federal Bank"/>
      </filters>
    </filterColumn>
    <sortState xmlns:xlrd2="http://schemas.microsoft.com/office/spreadsheetml/2017/richdata2" ref="A2:H46">
      <sortCondition ref="A1"/>
    </sortState>
  </autoFilter>
  <phoneticPr fontId="8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37DD9-6648-498D-B8D2-9BA2CD242747}">
  <dimension ref="A1:I15"/>
  <sheetViews>
    <sheetView workbookViewId="0">
      <selection activeCell="G10" sqref="G10"/>
    </sheetView>
  </sheetViews>
  <sheetFormatPr defaultRowHeight="14.5" x14ac:dyDescent="0.35"/>
  <cols>
    <col min="1" max="1" width="4.81640625" customWidth="1"/>
    <col min="2" max="2" width="18.453125" customWidth="1"/>
    <col min="3" max="3" width="8.7265625" customWidth="1"/>
    <col min="4" max="4" width="17" customWidth="1"/>
    <col min="5" max="5" width="10.54296875" customWidth="1"/>
    <col min="6" max="6" width="18.90625" customWidth="1"/>
    <col min="7" max="7" width="13" customWidth="1"/>
    <col min="8" max="8" width="25" customWidth="1"/>
    <col min="9" max="9" width="12.08984375" customWidth="1"/>
  </cols>
  <sheetData>
    <row r="1" spans="1:9" x14ac:dyDescent="0.35">
      <c r="A1" s="41" t="s">
        <v>128</v>
      </c>
      <c r="B1" s="41" t="s">
        <v>129</v>
      </c>
      <c r="C1" s="41" t="s">
        <v>130</v>
      </c>
      <c r="D1" s="41" t="s">
        <v>131</v>
      </c>
      <c r="E1" s="41" t="s">
        <v>132</v>
      </c>
      <c r="F1" s="19" t="s">
        <v>29</v>
      </c>
      <c r="G1" s="19" t="s">
        <v>30</v>
      </c>
      <c r="H1" s="19" t="s">
        <v>213</v>
      </c>
      <c r="I1" s="19" t="s">
        <v>32</v>
      </c>
    </row>
    <row r="2" spans="1:9" x14ac:dyDescent="0.35">
      <c r="A2" s="22">
        <v>1</v>
      </c>
      <c r="B2" s="22" t="s">
        <v>125</v>
      </c>
      <c r="C2" s="40"/>
      <c r="D2" s="22"/>
      <c r="E2" s="55">
        <v>230000</v>
      </c>
      <c r="F2" s="50">
        <v>32862142889</v>
      </c>
      <c r="G2" s="22" t="s">
        <v>225</v>
      </c>
      <c r="H2" s="22" t="s">
        <v>224</v>
      </c>
      <c r="I2" s="22" t="s">
        <v>179</v>
      </c>
    </row>
    <row r="3" spans="1:9" x14ac:dyDescent="0.35">
      <c r="A3" s="22">
        <v>2</v>
      </c>
      <c r="B3" s="22" t="s">
        <v>133</v>
      </c>
      <c r="C3" s="40">
        <v>22</v>
      </c>
      <c r="D3" s="22">
        <v>1200</v>
      </c>
      <c r="E3" s="55">
        <f>C3*D3</f>
        <v>26400</v>
      </c>
      <c r="F3" s="61" t="s">
        <v>221</v>
      </c>
      <c r="G3" s="22" t="s">
        <v>214</v>
      </c>
      <c r="H3" s="22" t="s">
        <v>215</v>
      </c>
      <c r="I3" s="22" t="s">
        <v>45</v>
      </c>
    </row>
    <row r="4" spans="1:9" x14ac:dyDescent="0.35">
      <c r="A4" s="22">
        <v>3</v>
      </c>
      <c r="B4" s="22" t="s">
        <v>134</v>
      </c>
      <c r="C4" s="40">
        <v>22</v>
      </c>
      <c r="D4" s="22">
        <v>1200</v>
      </c>
      <c r="E4" s="55">
        <f t="shared" ref="E4:E8" si="0">C4*D4</f>
        <v>26400</v>
      </c>
      <c r="F4" s="50">
        <v>653101004326</v>
      </c>
      <c r="G4" s="22" t="s">
        <v>216</v>
      </c>
      <c r="H4" s="22" t="s">
        <v>217</v>
      </c>
      <c r="I4" s="22" t="s">
        <v>45</v>
      </c>
    </row>
    <row r="5" spans="1:9" x14ac:dyDescent="0.35">
      <c r="A5" s="22">
        <v>4</v>
      </c>
      <c r="B5" s="22" t="s">
        <v>135</v>
      </c>
      <c r="C5" s="40">
        <v>30</v>
      </c>
      <c r="D5" s="22">
        <v>1000</v>
      </c>
      <c r="E5" s="55">
        <f t="shared" si="0"/>
        <v>30000</v>
      </c>
      <c r="F5" s="50">
        <v>922020060410761</v>
      </c>
      <c r="G5" s="22" t="s">
        <v>222</v>
      </c>
      <c r="H5" s="22" t="s">
        <v>223</v>
      </c>
      <c r="I5" s="22" t="s">
        <v>203</v>
      </c>
    </row>
    <row r="6" spans="1:9" x14ac:dyDescent="0.35">
      <c r="A6" s="22">
        <v>5</v>
      </c>
      <c r="B6" s="22" t="s">
        <v>136</v>
      </c>
      <c r="C6" s="40">
        <v>30</v>
      </c>
      <c r="D6" s="22">
        <v>1000</v>
      </c>
      <c r="E6" s="55">
        <f t="shared" si="0"/>
        <v>30000</v>
      </c>
      <c r="F6" s="55">
        <v>814649188</v>
      </c>
      <c r="G6" s="22" t="s">
        <v>218</v>
      </c>
      <c r="H6" s="22" t="s">
        <v>219</v>
      </c>
      <c r="I6" s="22" t="s">
        <v>220</v>
      </c>
    </row>
    <row r="7" spans="1:9" x14ac:dyDescent="0.35">
      <c r="A7" s="22">
        <v>6</v>
      </c>
      <c r="B7" s="22" t="s">
        <v>199</v>
      </c>
      <c r="C7" s="40">
        <v>13.5</v>
      </c>
      <c r="D7" s="22">
        <v>1000</v>
      </c>
      <c r="E7" s="55">
        <f t="shared" si="0"/>
        <v>13500</v>
      </c>
      <c r="F7" s="50">
        <v>50100115451901</v>
      </c>
      <c r="G7" s="22" t="s">
        <v>229</v>
      </c>
      <c r="H7" s="22" t="s">
        <v>229</v>
      </c>
      <c r="I7" s="22" t="s">
        <v>193</v>
      </c>
    </row>
    <row r="8" spans="1:9" x14ac:dyDescent="0.35">
      <c r="A8" s="22">
        <v>7</v>
      </c>
      <c r="B8" s="22" t="s">
        <v>200</v>
      </c>
      <c r="C8" s="40">
        <v>19</v>
      </c>
      <c r="D8" s="22">
        <v>800</v>
      </c>
      <c r="E8" s="55">
        <f t="shared" si="0"/>
        <v>15200</v>
      </c>
      <c r="F8" s="55">
        <v>45080524946</v>
      </c>
      <c r="G8" s="22" t="s">
        <v>226</v>
      </c>
      <c r="H8" s="22" t="s">
        <v>227</v>
      </c>
      <c r="I8" s="22" t="s">
        <v>179</v>
      </c>
    </row>
    <row r="9" spans="1:9" ht="42.5" customHeight="1" x14ac:dyDescent="0.35">
      <c r="A9" s="22">
        <v>8</v>
      </c>
      <c r="B9" s="22" t="s">
        <v>238</v>
      </c>
      <c r="C9" s="22"/>
      <c r="D9" s="22"/>
      <c r="E9" s="55">
        <v>160000</v>
      </c>
      <c r="F9" s="50">
        <v>50200062999445</v>
      </c>
      <c r="G9" s="55" t="s">
        <v>231</v>
      </c>
      <c r="H9" s="68" t="s">
        <v>237</v>
      </c>
      <c r="I9" s="55" t="s">
        <v>193</v>
      </c>
    </row>
    <row r="10" spans="1:9" ht="29" customHeight="1" x14ac:dyDescent="0.35">
      <c r="A10" s="22">
        <v>9</v>
      </c>
      <c r="B10" s="69" t="s">
        <v>235</v>
      </c>
      <c r="C10" s="22"/>
      <c r="D10" s="22"/>
      <c r="E10" s="55">
        <v>22583.06</v>
      </c>
      <c r="F10" s="50">
        <v>50200026430541</v>
      </c>
      <c r="G10" s="55" t="s">
        <v>236</v>
      </c>
      <c r="H10" s="69" t="s">
        <v>235</v>
      </c>
      <c r="I10" s="55" t="s">
        <v>193</v>
      </c>
    </row>
    <row r="11" spans="1:9" ht="16.5" customHeight="1" x14ac:dyDescent="0.35">
      <c r="B11" s="71"/>
      <c r="E11" s="66"/>
      <c r="F11" s="51"/>
      <c r="G11" s="66"/>
      <c r="I11" s="66"/>
    </row>
    <row r="12" spans="1:9" x14ac:dyDescent="0.35">
      <c r="B12" s="1" t="s">
        <v>28</v>
      </c>
      <c r="E12" s="70">
        <f>SUM(E2:E10)</f>
        <v>554083.06000000006</v>
      </c>
    </row>
    <row r="13" spans="1:9" x14ac:dyDescent="0.35">
      <c r="G13" s="66"/>
    </row>
    <row r="15" spans="1:9" x14ac:dyDescent="0.35">
      <c r="C15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E046-9DD5-4ED3-8594-88956065851D}">
  <dimension ref="A4:E34"/>
  <sheetViews>
    <sheetView tabSelected="1" workbookViewId="0">
      <selection sqref="A1:D36"/>
    </sheetView>
  </sheetViews>
  <sheetFormatPr defaultRowHeight="14.5" x14ac:dyDescent="0.35"/>
  <cols>
    <col min="1" max="1" width="26.6328125" customWidth="1"/>
    <col min="2" max="2" width="19.7265625" bestFit="1" customWidth="1"/>
    <col min="3" max="3" width="16.36328125" bestFit="1" customWidth="1"/>
    <col min="4" max="4" width="15.90625" bestFit="1" customWidth="1"/>
    <col min="5" max="5" width="16.453125" bestFit="1" customWidth="1"/>
    <col min="6" max="6" width="21.54296875" bestFit="1" customWidth="1"/>
    <col min="7" max="7" width="11.90625" bestFit="1" customWidth="1"/>
  </cols>
  <sheetData>
    <row r="4" spans="1:5" x14ac:dyDescent="0.35">
      <c r="A4" s="19" t="s">
        <v>0</v>
      </c>
      <c r="B4" s="20" t="s">
        <v>29</v>
      </c>
      <c r="C4" s="19" t="s">
        <v>17</v>
      </c>
      <c r="D4" s="20" t="s">
        <v>30</v>
      </c>
      <c r="E4" s="20" t="s">
        <v>32</v>
      </c>
    </row>
    <row r="5" spans="1:5" x14ac:dyDescent="0.35">
      <c r="A5" s="22" t="s">
        <v>52</v>
      </c>
      <c r="B5" s="50">
        <v>50100677371816</v>
      </c>
      <c r="C5" s="73">
        <v>79800</v>
      </c>
      <c r="D5" s="22" t="s">
        <v>50</v>
      </c>
      <c r="E5" s="22" t="s">
        <v>51</v>
      </c>
    </row>
    <row r="6" spans="1:5" x14ac:dyDescent="0.35">
      <c r="A6" s="25" t="s">
        <v>26</v>
      </c>
      <c r="B6" s="50">
        <v>41280100007853</v>
      </c>
      <c r="C6" s="73">
        <v>67329.466350000002</v>
      </c>
      <c r="D6" s="22" t="s">
        <v>31</v>
      </c>
      <c r="E6" s="22" t="s">
        <v>33</v>
      </c>
    </row>
    <row r="7" spans="1:5" x14ac:dyDescent="0.35">
      <c r="A7" s="11" t="s">
        <v>57</v>
      </c>
      <c r="B7" s="50">
        <v>3327101004003</v>
      </c>
      <c r="C7" s="73">
        <v>40117.750216450004</v>
      </c>
      <c r="D7" s="24" t="s">
        <v>101</v>
      </c>
      <c r="E7" s="24" t="s">
        <v>102</v>
      </c>
    </row>
    <row r="8" spans="1:5" x14ac:dyDescent="0.35">
      <c r="A8" s="11" t="s">
        <v>73</v>
      </c>
      <c r="B8" s="50">
        <v>159502740717</v>
      </c>
      <c r="C8" s="73">
        <v>40117.750216450004</v>
      </c>
      <c r="D8" s="24" t="s">
        <v>108</v>
      </c>
      <c r="E8" s="24" t="s">
        <v>109</v>
      </c>
    </row>
    <row r="9" spans="1:5" x14ac:dyDescent="0.35">
      <c r="A9" s="11" t="s">
        <v>69</v>
      </c>
      <c r="B9" s="50">
        <v>62297418711</v>
      </c>
      <c r="C9" s="73">
        <v>40117.750216450004</v>
      </c>
      <c r="D9" s="24" t="s">
        <v>107</v>
      </c>
      <c r="E9" s="24" t="s">
        <v>106</v>
      </c>
    </row>
    <row r="10" spans="1:5" x14ac:dyDescent="0.35">
      <c r="A10" s="11" t="s">
        <v>59</v>
      </c>
      <c r="B10" s="50">
        <v>50100595290241</v>
      </c>
      <c r="C10" s="73">
        <v>40117.750216450004</v>
      </c>
      <c r="D10" s="50" t="s">
        <v>103</v>
      </c>
      <c r="E10" s="50" t="s">
        <v>51</v>
      </c>
    </row>
    <row r="11" spans="1:5" x14ac:dyDescent="0.35">
      <c r="A11" s="21" t="s">
        <v>47</v>
      </c>
      <c r="B11" s="52" t="s">
        <v>48</v>
      </c>
      <c r="C11" s="73">
        <v>55800</v>
      </c>
      <c r="D11" s="55" t="s">
        <v>49</v>
      </c>
      <c r="E11" s="55" t="s">
        <v>45</v>
      </c>
    </row>
    <row r="12" spans="1:5" x14ac:dyDescent="0.35">
      <c r="A12" s="18" t="s">
        <v>174</v>
      </c>
      <c r="B12" s="53">
        <v>44610100006654</v>
      </c>
      <c r="C12" s="73">
        <v>18036.85066263</v>
      </c>
      <c r="D12" s="56" t="s">
        <v>196</v>
      </c>
      <c r="E12" s="57" t="s">
        <v>195</v>
      </c>
    </row>
    <row r="13" spans="1:5" x14ac:dyDescent="0.35">
      <c r="A13" s="11" t="s">
        <v>81</v>
      </c>
      <c r="B13" s="50">
        <v>615728726</v>
      </c>
      <c r="C13" s="73">
        <v>54757.0002886</v>
      </c>
      <c r="D13" s="50" t="s">
        <v>113</v>
      </c>
      <c r="E13" s="50" t="s">
        <v>114</v>
      </c>
    </row>
    <row r="14" spans="1:5" x14ac:dyDescent="0.35">
      <c r="A14" s="10" t="s">
        <v>89</v>
      </c>
      <c r="B14" s="50">
        <v>37182972098</v>
      </c>
      <c r="C14" s="73">
        <v>19486.85066263</v>
      </c>
      <c r="D14" s="50" t="s">
        <v>137</v>
      </c>
      <c r="E14" s="50" t="s">
        <v>106</v>
      </c>
    </row>
    <row r="15" spans="1:5" x14ac:dyDescent="0.35">
      <c r="A15" s="10" t="s">
        <v>91</v>
      </c>
      <c r="B15" s="50">
        <v>39971511897</v>
      </c>
      <c r="C15" s="73">
        <v>30358.250168350001</v>
      </c>
      <c r="D15" s="50" t="s">
        <v>119</v>
      </c>
      <c r="E15" s="50" t="s">
        <v>106</v>
      </c>
    </row>
    <row r="16" spans="1:5" x14ac:dyDescent="0.35">
      <c r="A16" s="10" t="s">
        <v>93</v>
      </c>
      <c r="B16" s="50">
        <v>41536691505</v>
      </c>
      <c r="C16" s="73">
        <v>54757.0002886</v>
      </c>
      <c r="D16" s="50" t="s">
        <v>120</v>
      </c>
      <c r="E16" s="50" t="s">
        <v>106</v>
      </c>
    </row>
    <row r="17" spans="1:5" x14ac:dyDescent="0.35">
      <c r="A17" s="10" t="s">
        <v>95</v>
      </c>
      <c r="B17" s="50">
        <v>50100141200194</v>
      </c>
      <c r="C17" s="73">
        <v>52865.100278979997</v>
      </c>
      <c r="D17" s="50" t="s">
        <v>121</v>
      </c>
      <c r="E17" s="50" t="s">
        <v>51</v>
      </c>
    </row>
    <row r="18" spans="1:5" x14ac:dyDescent="0.35">
      <c r="A18" s="18" t="s">
        <v>146</v>
      </c>
      <c r="B18" s="54">
        <v>40590710609</v>
      </c>
      <c r="C18" s="73">
        <v>25478.5008643</v>
      </c>
      <c r="D18" s="56" t="s">
        <v>180</v>
      </c>
      <c r="E18" s="57" t="s">
        <v>106</v>
      </c>
    </row>
    <row r="19" spans="1:5" x14ac:dyDescent="0.35">
      <c r="A19" s="18" t="s">
        <v>148</v>
      </c>
      <c r="B19" s="53">
        <v>801663119</v>
      </c>
      <c r="C19" s="73">
        <v>43147.500240499998</v>
      </c>
      <c r="D19" s="56" t="s">
        <v>181</v>
      </c>
      <c r="E19" s="57" t="s">
        <v>45</v>
      </c>
    </row>
    <row r="20" spans="1:5" x14ac:dyDescent="0.35">
      <c r="A20" s="18" t="s">
        <v>156</v>
      </c>
      <c r="B20" s="54">
        <v>386701504229</v>
      </c>
      <c r="C20" s="73">
        <v>12689.25043215</v>
      </c>
      <c r="D20" s="56" t="s">
        <v>185</v>
      </c>
      <c r="E20" s="57" t="s">
        <v>45</v>
      </c>
    </row>
    <row r="21" spans="1:5" x14ac:dyDescent="0.35">
      <c r="A21" s="18" t="s">
        <v>158</v>
      </c>
      <c r="B21" s="54">
        <v>44652833670</v>
      </c>
      <c r="C21" s="73">
        <v>11889.300392140001</v>
      </c>
      <c r="D21" s="57" t="s">
        <v>186</v>
      </c>
      <c r="E21" s="57" t="s">
        <v>106</v>
      </c>
    </row>
    <row r="22" spans="1:5" x14ac:dyDescent="0.35">
      <c r="A22" s="18" t="s">
        <v>166</v>
      </c>
      <c r="B22" s="58">
        <v>37097117593</v>
      </c>
      <c r="C22" s="73">
        <v>40117.750216450004</v>
      </c>
      <c r="D22" s="59" t="s">
        <v>191</v>
      </c>
      <c r="E22" s="57" t="s">
        <v>106</v>
      </c>
    </row>
    <row r="23" spans="1:5" x14ac:dyDescent="0.35">
      <c r="A23" s="18" t="s">
        <v>170</v>
      </c>
      <c r="B23" s="53">
        <v>50100405907963</v>
      </c>
      <c r="C23" s="73">
        <v>11039.25043215</v>
      </c>
      <c r="D23" s="56" t="s">
        <v>194</v>
      </c>
      <c r="E23" s="59" t="s">
        <v>193</v>
      </c>
    </row>
    <row r="24" spans="1:5" x14ac:dyDescent="0.35">
      <c r="A24" s="18" t="s">
        <v>206</v>
      </c>
      <c r="B24" s="53">
        <v>38613963272</v>
      </c>
      <c r="C24" s="73">
        <v>93795.000480999995</v>
      </c>
      <c r="D24" s="34" t="s">
        <v>207</v>
      </c>
      <c r="E24" s="34" t="s">
        <v>106</v>
      </c>
    </row>
    <row r="25" spans="1:5" ht="29" x14ac:dyDescent="0.35">
      <c r="A25" s="18" t="s">
        <v>208</v>
      </c>
      <c r="B25" s="53">
        <v>180701000002091</v>
      </c>
      <c r="C25" s="73">
        <v>28731.341510331727</v>
      </c>
      <c r="D25" s="34" t="s">
        <v>209</v>
      </c>
      <c r="E25" s="34" t="s">
        <v>210</v>
      </c>
    </row>
    <row r="26" spans="1:5" x14ac:dyDescent="0.35">
      <c r="A26" s="22" t="s">
        <v>224</v>
      </c>
      <c r="B26" s="53">
        <v>32862142889</v>
      </c>
      <c r="C26" s="73">
        <v>230000</v>
      </c>
      <c r="D26" s="50" t="s">
        <v>225</v>
      </c>
      <c r="E26" s="22" t="s">
        <v>179</v>
      </c>
    </row>
    <row r="27" spans="1:5" x14ac:dyDescent="0.35">
      <c r="A27" s="22" t="s">
        <v>215</v>
      </c>
      <c r="B27" s="53" t="s">
        <v>221</v>
      </c>
      <c r="C27" s="73">
        <v>26400</v>
      </c>
      <c r="D27" s="61" t="s">
        <v>214</v>
      </c>
      <c r="E27" s="22" t="s">
        <v>45</v>
      </c>
    </row>
    <row r="28" spans="1:5" x14ac:dyDescent="0.35">
      <c r="A28" s="22" t="s">
        <v>217</v>
      </c>
      <c r="B28" s="53">
        <v>653101004326</v>
      </c>
      <c r="C28" s="73">
        <v>26400</v>
      </c>
      <c r="D28" s="50" t="s">
        <v>216</v>
      </c>
      <c r="E28" s="22" t="s">
        <v>45</v>
      </c>
    </row>
    <row r="29" spans="1:5" x14ac:dyDescent="0.35">
      <c r="A29" s="22" t="s">
        <v>223</v>
      </c>
      <c r="B29" s="53">
        <v>922020060410761</v>
      </c>
      <c r="C29" s="73">
        <v>30000</v>
      </c>
      <c r="D29" s="50" t="s">
        <v>222</v>
      </c>
      <c r="E29" s="22" t="s">
        <v>203</v>
      </c>
    </row>
    <row r="30" spans="1:5" x14ac:dyDescent="0.35">
      <c r="A30" s="22" t="s">
        <v>219</v>
      </c>
      <c r="B30" s="53">
        <v>814649188</v>
      </c>
      <c r="C30" s="73">
        <v>30000</v>
      </c>
      <c r="D30" s="55" t="s">
        <v>218</v>
      </c>
      <c r="E30" s="22" t="s">
        <v>220</v>
      </c>
    </row>
    <row r="31" spans="1:5" x14ac:dyDescent="0.35">
      <c r="A31" s="22" t="s">
        <v>199</v>
      </c>
      <c r="B31" s="53">
        <v>50100115451901</v>
      </c>
      <c r="C31" s="73">
        <v>13500</v>
      </c>
      <c r="D31" s="50" t="s">
        <v>229</v>
      </c>
      <c r="E31" s="22" t="s">
        <v>193</v>
      </c>
    </row>
    <row r="32" spans="1:5" x14ac:dyDescent="0.35">
      <c r="A32" s="22" t="s">
        <v>227</v>
      </c>
      <c r="B32" s="53">
        <v>45080524946</v>
      </c>
      <c r="C32" s="73">
        <v>15200</v>
      </c>
      <c r="D32" s="55" t="s">
        <v>226</v>
      </c>
      <c r="E32" s="22" t="s">
        <v>179</v>
      </c>
    </row>
    <row r="33" spans="1:5" x14ac:dyDescent="0.35">
      <c r="A33" s="75"/>
      <c r="B33" s="76"/>
      <c r="C33" s="77"/>
      <c r="D33" s="78"/>
      <c r="E33" s="75"/>
    </row>
    <row r="34" spans="1:5" x14ac:dyDescent="0.35">
      <c r="B34" s="1" t="s">
        <v>28</v>
      </c>
      <c r="C34" s="74">
        <f>SUM(C5:C32)</f>
        <v>1232049.4141346116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DE78-6212-465A-B687-8D031B3973A7}">
  <dimension ref="A4:E31"/>
  <sheetViews>
    <sheetView topLeftCell="A15" workbookViewId="0">
      <selection sqref="A1:D33"/>
    </sheetView>
  </sheetViews>
  <sheetFormatPr defaultRowHeight="14.5" x14ac:dyDescent="0.35"/>
  <cols>
    <col min="1" max="1" width="24" customWidth="1"/>
    <col min="2" max="2" width="20.6328125" customWidth="1"/>
    <col min="3" max="3" width="17.1796875" customWidth="1"/>
    <col min="4" max="4" width="14.7265625" customWidth="1"/>
    <col min="5" max="5" width="11.54296875" bestFit="1" customWidth="1"/>
  </cols>
  <sheetData>
    <row r="4" spans="1:5" x14ac:dyDescent="0.35">
      <c r="A4" s="19" t="s">
        <v>0</v>
      </c>
      <c r="B4" s="20" t="s">
        <v>29</v>
      </c>
      <c r="C4" s="19" t="s">
        <v>17</v>
      </c>
      <c r="D4" s="20" t="s">
        <v>30</v>
      </c>
      <c r="E4" s="20" t="s">
        <v>32</v>
      </c>
    </row>
    <row r="5" spans="1:5" x14ac:dyDescent="0.35">
      <c r="A5" s="21" t="s">
        <v>38</v>
      </c>
      <c r="B5" s="51">
        <v>99980130961985</v>
      </c>
      <c r="C5" s="73">
        <v>69800</v>
      </c>
      <c r="D5" s="34" t="s">
        <v>228</v>
      </c>
      <c r="E5" s="24" t="s">
        <v>122</v>
      </c>
    </row>
    <row r="6" spans="1:5" x14ac:dyDescent="0.35">
      <c r="A6" s="11" t="s">
        <v>61</v>
      </c>
      <c r="B6" s="51">
        <v>99980130961993</v>
      </c>
      <c r="C6" s="73">
        <v>52865.100278979997</v>
      </c>
      <c r="D6" s="34" t="s">
        <v>228</v>
      </c>
      <c r="E6" s="24" t="s">
        <v>122</v>
      </c>
    </row>
    <row r="7" spans="1:5" x14ac:dyDescent="0.35">
      <c r="A7" s="11" t="s">
        <v>65</v>
      </c>
      <c r="B7" s="50">
        <v>77770116800885</v>
      </c>
      <c r="C7" s="73">
        <v>44997.500240499998</v>
      </c>
      <c r="D7" s="24" t="s">
        <v>104</v>
      </c>
      <c r="E7" s="24" t="s">
        <v>122</v>
      </c>
    </row>
    <row r="8" spans="1:5" x14ac:dyDescent="0.35">
      <c r="A8" s="11" t="s">
        <v>71</v>
      </c>
      <c r="B8" s="51">
        <v>99980130961886</v>
      </c>
      <c r="C8" s="73">
        <v>40117.750216450004</v>
      </c>
      <c r="D8" s="34" t="s">
        <v>228</v>
      </c>
      <c r="E8" s="24" t="s">
        <v>122</v>
      </c>
    </row>
    <row r="9" spans="1:5" x14ac:dyDescent="0.35">
      <c r="A9" s="11" t="s">
        <v>67</v>
      </c>
      <c r="B9" s="51">
        <v>99980130963940</v>
      </c>
      <c r="C9" s="73">
        <v>40117.750216450004</v>
      </c>
      <c r="D9" s="34" t="s">
        <v>228</v>
      </c>
      <c r="E9" s="24" t="s">
        <v>122</v>
      </c>
    </row>
    <row r="10" spans="1:5" x14ac:dyDescent="0.35">
      <c r="A10" s="11" t="s">
        <v>63</v>
      </c>
      <c r="B10" s="51">
        <v>99980130961951</v>
      </c>
      <c r="C10" s="73">
        <v>19486.85066263</v>
      </c>
      <c r="D10" s="34" t="s">
        <v>228</v>
      </c>
      <c r="E10" s="24" t="s">
        <v>122</v>
      </c>
    </row>
    <row r="11" spans="1:5" x14ac:dyDescent="0.35">
      <c r="A11" s="11" t="s">
        <v>75</v>
      </c>
      <c r="B11" s="51">
        <v>99980130961894</v>
      </c>
      <c r="C11" s="73">
        <v>44997.500240499998</v>
      </c>
      <c r="D11" s="34" t="s">
        <v>228</v>
      </c>
      <c r="E11" s="24" t="s">
        <v>122</v>
      </c>
    </row>
    <row r="12" spans="1:5" x14ac:dyDescent="0.35">
      <c r="A12" s="11" t="s">
        <v>79</v>
      </c>
      <c r="B12" s="51">
        <v>99980130961878</v>
      </c>
      <c r="C12" s="73">
        <v>50973.200269360001</v>
      </c>
      <c r="D12" s="34" t="s">
        <v>228</v>
      </c>
      <c r="E12" s="24" t="s">
        <v>122</v>
      </c>
    </row>
    <row r="13" spans="1:5" x14ac:dyDescent="0.35">
      <c r="A13" s="21" t="s">
        <v>39</v>
      </c>
      <c r="B13" s="50">
        <v>99980130963916</v>
      </c>
      <c r="C13" s="73">
        <v>74466.666666666657</v>
      </c>
      <c r="D13" s="34" t="s">
        <v>228</v>
      </c>
      <c r="E13" s="24" t="s">
        <v>122</v>
      </c>
    </row>
    <row r="14" spans="1:5" x14ac:dyDescent="0.35">
      <c r="A14" s="11" t="s">
        <v>83</v>
      </c>
      <c r="B14" s="51">
        <v>99980130963882</v>
      </c>
      <c r="C14" s="73">
        <v>12639.25043215</v>
      </c>
      <c r="D14" s="34" t="s">
        <v>228</v>
      </c>
      <c r="E14" s="24" t="s">
        <v>122</v>
      </c>
    </row>
    <row r="15" spans="1:5" x14ac:dyDescent="0.35">
      <c r="A15" s="11" t="s">
        <v>85</v>
      </c>
      <c r="B15" s="51">
        <v>99980130961902</v>
      </c>
      <c r="C15" s="73">
        <v>30358.250168350001</v>
      </c>
      <c r="D15" s="34" t="s">
        <v>228</v>
      </c>
      <c r="E15" s="24" t="s">
        <v>122</v>
      </c>
    </row>
    <row r="16" spans="1:5" x14ac:dyDescent="0.35">
      <c r="A16" s="11" t="s">
        <v>87</v>
      </c>
      <c r="B16" s="48">
        <v>99980130961761</v>
      </c>
      <c r="C16" s="73">
        <v>30358.250168350001</v>
      </c>
      <c r="D16" s="34" t="s">
        <v>228</v>
      </c>
      <c r="E16" s="24" t="s">
        <v>122</v>
      </c>
    </row>
    <row r="17" spans="1:5" x14ac:dyDescent="0.35">
      <c r="A17" s="18" t="s">
        <v>164</v>
      </c>
      <c r="B17" s="48">
        <v>99980130961787</v>
      </c>
      <c r="C17" s="73">
        <v>40117.750216450004</v>
      </c>
      <c r="D17" s="34" t="s">
        <v>228</v>
      </c>
      <c r="E17" s="24" t="s">
        <v>122</v>
      </c>
    </row>
    <row r="18" spans="1:5" x14ac:dyDescent="0.35">
      <c r="A18" s="25" t="s">
        <v>97</v>
      </c>
      <c r="B18" s="48">
        <v>99980130961795</v>
      </c>
      <c r="C18" s="73">
        <v>90521.666666666672</v>
      </c>
      <c r="D18" s="34" t="s">
        <v>228</v>
      </c>
      <c r="E18" s="24" t="s">
        <v>122</v>
      </c>
    </row>
    <row r="19" spans="1:5" x14ac:dyDescent="0.35">
      <c r="A19" s="18" t="s">
        <v>99</v>
      </c>
      <c r="B19" s="48">
        <v>99980130950434</v>
      </c>
      <c r="C19" s="73">
        <v>17800</v>
      </c>
      <c r="D19" s="34" t="s">
        <v>228</v>
      </c>
      <c r="E19" s="24" t="s">
        <v>122</v>
      </c>
    </row>
    <row r="20" spans="1:5" x14ac:dyDescent="0.35">
      <c r="A20" s="18" t="s">
        <v>144</v>
      </c>
      <c r="B20" s="48">
        <v>15550100112314</v>
      </c>
      <c r="C20" s="73">
        <v>30358.250168350001</v>
      </c>
      <c r="D20" s="34" t="s">
        <v>228</v>
      </c>
      <c r="E20" s="24" t="s">
        <v>122</v>
      </c>
    </row>
    <row r="21" spans="1:5" x14ac:dyDescent="0.35">
      <c r="A21" s="14" t="s">
        <v>177</v>
      </c>
      <c r="B21" s="48">
        <v>15550100112330</v>
      </c>
      <c r="C21" s="73">
        <v>30358.250168350001</v>
      </c>
      <c r="D21" s="34" t="s">
        <v>228</v>
      </c>
      <c r="E21" s="24" t="s">
        <v>122</v>
      </c>
    </row>
    <row r="22" spans="1:5" ht="29" x14ac:dyDescent="0.35">
      <c r="A22" s="18" t="s">
        <v>150</v>
      </c>
      <c r="B22" s="53">
        <v>55560103431927</v>
      </c>
      <c r="C22" s="73">
        <v>18853.939037250369</v>
      </c>
      <c r="D22" s="56" t="s">
        <v>183</v>
      </c>
      <c r="E22" s="56" t="s">
        <v>182</v>
      </c>
    </row>
    <row r="23" spans="1:5" x14ac:dyDescent="0.35">
      <c r="A23" s="18" t="s">
        <v>152</v>
      </c>
      <c r="B23" s="48">
        <v>15550100112355</v>
      </c>
      <c r="C23" s="73">
        <v>12689.25043215</v>
      </c>
      <c r="D23" s="34" t="s">
        <v>228</v>
      </c>
      <c r="E23" s="24" t="s">
        <v>122</v>
      </c>
    </row>
    <row r="24" spans="1:5" x14ac:dyDescent="0.35">
      <c r="A24" s="18" t="s">
        <v>154</v>
      </c>
      <c r="B24" s="48">
        <v>15550100112280</v>
      </c>
      <c r="C24" s="73">
        <v>12689.25043215</v>
      </c>
      <c r="D24" s="34" t="s">
        <v>228</v>
      </c>
      <c r="E24" s="24" t="s">
        <v>122</v>
      </c>
    </row>
    <row r="25" spans="1:5" x14ac:dyDescent="0.35">
      <c r="A25" s="31" t="s">
        <v>160</v>
      </c>
      <c r="B25" s="48">
        <v>15550100112306</v>
      </c>
      <c r="C25" s="73">
        <v>12689.25043215</v>
      </c>
      <c r="D25" s="34" t="s">
        <v>228</v>
      </c>
      <c r="E25" s="24" t="s">
        <v>122</v>
      </c>
    </row>
    <row r="26" spans="1:5" x14ac:dyDescent="0.35">
      <c r="A26" s="31" t="s">
        <v>162</v>
      </c>
      <c r="B26" s="48">
        <v>15550100112298</v>
      </c>
      <c r="C26" s="73">
        <v>12689.25043215</v>
      </c>
      <c r="D26" s="34" t="s">
        <v>228</v>
      </c>
      <c r="E26" s="24" t="s">
        <v>122</v>
      </c>
    </row>
    <row r="27" spans="1:5" x14ac:dyDescent="0.35">
      <c r="A27" s="18" t="s">
        <v>168</v>
      </c>
      <c r="B27" s="48">
        <v>99980130961779</v>
      </c>
      <c r="C27" s="73">
        <v>25478.5008643</v>
      </c>
      <c r="D27" s="34" t="s">
        <v>228</v>
      </c>
      <c r="E27" s="17" t="s">
        <v>122</v>
      </c>
    </row>
    <row r="28" spans="1:5" x14ac:dyDescent="0.35">
      <c r="A28" s="18" t="s">
        <v>172</v>
      </c>
      <c r="B28" s="48">
        <v>15550100112322</v>
      </c>
      <c r="C28" s="73">
        <v>12689.25043215</v>
      </c>
      <c r="D28" s="34" t="s">
        <v>228</v>
      </c>
      <c r="E28" s="17" t="s">
        <v>122</v>
      </c>
    </row>
    <row r="29" spans="1:5" x14ac:dyDescent="0.35">
      <c r="A29" s="18" t="s">
        <v>176</v>
      </c>
      <c r="B29" s="48">
        <v>15550100112363</v>
      </c>
      <c r="C29" s="73">
        <v>20342.800691439999</v>
      </c>
      <c r="D29" s="34" t="s">
        <v>228</v>
      </c>
      <c r="E29" s="17" t="s">
        <v>122</v>
      </c>
    </row>
    <row r="31" spans="1:5" x14ac:dyDescent="0.35">
      <c r="B31" s="1" t="s">
        <v>28</v>
      </c>
      <c r="C31" s="5">
        <f>SUM(C5:C30)</f>
        <v>848455.47953394335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748B-F213-475C-ADDF-18924556A258}">
  <dimension ref="A1:H50"/>
  <sheetViews>
    <sheetView workbookViewId="0">
      <pane ySplit="1" topLeftCell="A23" activePane="bottomLeft" state="frozen"/>
      <selection pane="bottomLeft" activeCell="G30" sqref="G30"/>
    </sheetView>
  </sheetViews>
  <sheetFormatPr defaultRowHeight="14.5" x14ac:dyDescent="0.35"/>
  <cols>
    <col min="1" max="1" width="11.26953125" bestFit="1" customWidth="1"/>
    <col min="2" max="2" width="33" customWidth="1"/>
    <col min="3" max="3" width="9.54296875" hidden="1" customWidth="1"/>
    <col min="4" max="4" width="16.36328125" hidden="1" customWidth="1"/>
    <col min="5" max="5" width="19.7265625" bestFit="1" customWidth="1"/>
    <col min="6" max="6" width="17.54296875" bestFit="1" customWidth="1"/>
    <col min="7" max="7" width="21.6328125" bestFit="1" customWidth="1"/>
    <col min="8" max="8" width="8.08984375" bestFit="1" customWidth="1"/>
  </cols>
  <sheetData>
    <row r="1" spans="1:8" x14ac:dyDescent="0.35">
      <c r="A1" s="19" t="s">
        <v>1</v>
      </c>
      <c r="B1" s="19" t="s">
        <v>0</v>
      </c>
      <c r="C1" s="19" t="s">
        <v>21</v>
      </c>
      <c r="D1" s="19" t="s">
        <v>17</v>
      </c>
      <c r="E1" s="20" t="s">
        <v>29</v>
      </c>
      <c r="F1" s="20" t="s">
        <v>30</v>
      </c>
      <c r="G1" s="20" t="s">
        <v>32</v>
      </c>
      <c r="H1" s="20" t="s">
        <v>55</v>
      </c>
    </row>
    <row r="2" spans="1:8" x14ac:dyDescent="0.35">
      <c r="A2" s="43" t="s">
        <v>76</v>
      </c>
      <c r="B2" s="44" t="s">
        <v>77</v>
      </c>
      <c r="C2" s="45">
        <v>46083</v>
      </c>
      <c r="D2" s="46">
        <f>VLOOKUP(A2,'Tech Employees'!A12:AB49,28,0)</f>
        <v>44997.500240499998</v>
      </c>
      <c r="E2" s="46">
        <v>50100565431077</v>
      </c>
      <c r="F2" s="46" t="s">
        <v>111</v>
      </c>
      <c r="G2" s="46" t="s">
        <v>51</v>
      </c>
      <c r="H2" s="47" t="s">
        <v>205</v>
      </c>
    </row>
    <row r="3" spans="1:8" x14ac:dyDescent="0.35">
      <c r="A3" s="21" t="s">
        <v>36</v>
      </c>
      <c r="B3" s="22" t="s">
        <v>52</v>
      </c>
      <c r="C3" s="23">
        <v>46054</v>
      </c>
      <c r="D3" s="24">
        <f>VLOOKUP(A3,Consultant!A2:H6,8,0)</f>
        <v>79800</v>
      </c>
      <c r="E3" s="24">
        <v>50100677371816</v>
      </c>
      <c r="F3" s="22" t="s">
        <v>50</v>
      </c>
      <c r="G3" s="22" t="s">
        <v>51</v>
      </c>
      <c r="H3" s="22"/>
    </row>
    <row r="4" spans="1:8" x14ac:dyDescent="0.35">
      <c r="A4" s="21" t="s">
        <v>35</v>
      </c>
      <c r="B4" s="21" t="s">
        <v>38</v>
      </c>
      <c r="C4" s="23">
        <v>46054</v>
      </c>
      <c r="D4" s="24">
        <f>VLOOKUP(A4,Consultant!A3:H7,8,0)</f>
        <v>69800</v>
      </c>
      <c r="E4" s="24">
        <v>154710100018477</v>
      </c>
      <c r="F4" s="22" t="s">
        <v>42</v>
      </c>
      <c r="G4" s="22" t="s">
        <v>43</v>
      </c>
      <c r="H4" s="22"/>
    </row>
    <row r="5" spans="1:8" x14ac:dyDescent="0.35">
      <c r="A5" s="25" t="s">
        <v>27</v>
      </c>
      <c r="B5" s="25" t="s">
        <v>26</v>
      </c>
      <c r="C5" s="23">
        <v>46062</v>
      </c>
      <c r="D5" s="24">
        <f>VLOOKUP(A5,Employees!2:3,29,0)</f>
        <v>67329.466350000002</v>
      </c>
      <c r="E5" s="24">
        <v>41280100007853</v>
      </c>
      <c r="F5" s="22" t="s">
        <v>31</v>
      </c>
      <c r="G5" s="22" t="s">
        <v>33</v>
      </c>
      <c r="H5" s="22"/>
    </row>
    <row r="6" spans="1:8" x14ac:dyDescent="0.35">
      <c r="A6" s="10" t="s">
        <v>60</v>
      </c>
      <c r="B6" s="11" t="s">
        <v>61</v>
      </c>
      <c r="C6" s="12">
        <v>46083</v>
      </c>
      <c r="D6" s="24">
        <f>VLOOKUP(A6,'Tech Employees'!A4:AB41,28,0)</f>
        <v>52865.100278979997</v>
      </c>
      <c r="E6" s="24">
        <v>62428832885</v>
      </c>
      <c r="F6" s="24" t="s">
        <v>138</v>
      </c>
      <c r="G6" s="24" t="s">
        <v>106</v>
      </c>
      <c r="H6" s="22"/>
    </row>
    <row r="7" spans="1:8" x14ac:dyDescent="0.35">
      <c r="A7" s="10" t="s">
        <v>56</v>
      </c>
      <c r="B7" s="11" t="s">
        <v>57</v>
      </c>
      <c r="C7" s="12">
        <v>46083</v>
      </c>
      <c r="D7" s="24">
        <f>VLOOKUP(A7,'Tech Employees'!A2:AB39,28,0)</f>
        <v>40117.750216450004</v>
      </c>
      <c r="E7" s="24">
        <v>3327101004003</v>
      </c>
      <c r="F7" s="24" t="s">
        <v>101</v>
      </c>
      <c r="G7" s="24" t="s">
        <v>102</v>
      </c>
      <c r="H7" s="22"/>
    </row>
    <row r="8" spans="1:8" x14ac:dyDescent="0.35">
      <c r="A8" s="10" t="s">
        <v>72</v>
      </c>
      <c r="B8" s="11" t="s">
        <v>73</v>
      </c>
      <c r="C8" s="12">
        <v>46083</v>
      </c>
      <c r="D8" s="24">
        <f>VLOOKUP(A8,'Tech Employees'!A10:AB47,28,0)</f>
        <v>40117.750216450004</v>
      </c>
      <c r="E8" s="24">
        <v>159502740717</v>
      </c>
      <c r="F8" s="24" t="s">
        <v>108</v>
      </c>
      <c r="G8" s="24" t="s">
        <v>109</v>
      </c>
      <c r="H8" s="22"/>
    </row>
    <row r="9" spans="1:8" x14ac:dyDescent="0.35">
      <c r="A9" s="10" t="s">
        <v>64</v>
      </c>
      <c r="B9" s="11" t="s">
        <v>65</v>
      </c>
      <c r="C9" s="12">
        <v>46083</v>
      </c>
      <c r="D9" s="24">
        <f>VLOOKUP(A9,'Tech Employees'!A6:AB43,28,0)</f>
        <v>44997.500240499998</v>
      </c>
      <c r="E9" s="24">
        <v>77770116800885</v>
      </c>
      <c r="F9" s="24" t="s">
        <v>104</v>
      </c>
      <c r="G9" s="24" t="s">
        <v>122</v>
      </c>
      <c r="H9" s="22"/>
    </row>
    <row r="10" spans="1:8" x14ac:dyDescent="0.35">
      <c r="A10" s="10" t="s">
        <v>70</v>
      </c>
      <c r="B10" s="11" t="s">
        <v>71</v>
      </c>
      <c r="C10" s="12">
        <v>46083</v>
      </c>
      <c r="D10" s="24">
        <f>VLOOKUP(A10,'Tech Employees'!A9:AB46,28,0)</f>
        <v>40117.750216450004</v>
      </c>
      <c r="E10" s="24">
        <v>1446178000009710</v>
      </c>
      <c r="F10" s="24" t="s">
        <v>126</v>
      </c>
      <c r="G10" s="24" t="s">
        <v>127</v>
      </c>
      <c r="H10" s="22"/>
    </row>
    <row r="11" spans="1:8" x14ac:dyDescent="0.35">
      <c r="A11" s="10" t="s">
        <v>68</v>
      </c>
      <c r="B11" s="11" t="s">
        <v>69</v>
      </c>
      <c r="C11" s="12">
        <v>46083</v>
      </c>
      <c r="D11" s="24">
        <f>VLOOKUP(A11,'Tech Employees'!A8:AB45,28,0)</f>
        <v>40117.750216450004</v>
      </c>
      <c r="E11" s="24">
        <v>62297418711</v>
      </c>
      <c r="F11" s="24" t="s">
        <v>107</v>
      </c>
      <c r="G11" s="24" t="s">
        <v>106</v>
      </c>
      <c r="H11" s="22"/>
    </row>
    <row r="12" spans="1:8" x14ac:dyDescent="0.35">
      <c r="A12" s="10" t="s">
        <v>66</v>
      </c>
      <c r="B12" s="11" t="s">
        <v>67</v>
      </c>
      <c r="C12" s="12">
        <v>46083</v>
      </c>
      <c r="D12" s="24">
        <f>VLOOKUP(A12,'Tech Employees'!A7:AB44,28,0)</f>
        <v>40117.750216450004</v>
      </c>
      <c r="E12" s="24">
        <v>41085488775</v>
      </c>
      <c r="F12" s="24" t="s">
        <v>105</v>
      </c>
      <c r="G12" s="24" t="s">
        <v>106</v>
      </c>
      <c r="H12" s="22"/>
    </row>
    <row r="13" spans="1:8" x14ac:dyDescent="0.35">
      <c r="A13" s="10" t="s">
        <v>58</v>
      </c>
      <c r="B13" s="11" t="s">
        <v>59</v>
      </c>
      <c r="C13" s="12">
        <v>46083</v>
      </c>
      <c r="D13" s="24">
        <f>VLOOKUP(A13,'Tech Employees'!A3:AB40,28,0)</f>
        <v>40117.750216450004</v>
      </c>
      <c r="E13" s="24">
        <v>50100595290241</v>
      </c>
      <c r="F13" s="24" t="s">
        <v>103</v>
      </c>
      <c r="G13" s="24" t="s">
        <v>51</v>
      </c>
      <c r="H13" s="22"/>
    </row>
    <row r="14" spans="1:8" x14ac:dyDescent="0.35">
      <c r="A14" s="10" t="s">
        <v>62</v>
      </c>
      <c r="B14" s="11" t="s">
        <v>63</v>
      </c>
      <c r="C14" s="12">
        <v>46083</v>
      </c>
      <c r="D14" s="24">
        <f>VLOOKUP(A14,'Tech Employees'!A5:AB42,28,0)</f>
        <v>19486.85066263</v>
      </c>
      <c r="E14" s="24">
        <v>62442668281</v>
      </c>
      <c r="F14" s="24" t="s">
        <v>139</v>
      </c>
      <c r="G14" s="24" t="s">
        <v>106</v>
      </c>
      <c r="H14" s="22"/>
    </row>
    <row r="15" spans="1:8" x14ac:dyDescent="0.35">
      <c r="A15" s="21" t="s">
        <v>46</v>
      </c>
      <c r="B15" s="21" t="s">
        <v>47</v>
      </c>
      <c r="C15" s="23">
        <v>46066</v>
      </c>
      <c r="D15" s="24">
        <f>VLOOKUP(A15,Consultant!A4:H8,8,0)</f>
        <v>55800</v>
      </c>
      <c r="E15" s="26" t="s">
        <v>48</v>
      </c>
      <c r="F15" s="22" t="s">
        <v>49</v>
      </c>
      <c r="G15" s="22" t="s">
        <v>45</v>
      </c>
      <c r="H15" s="22"/>
    </row>
    <row r="16" spans="1:8" x14ac:dyDescent="0.35">
      <c r="A16" s="10" t="s">
        <v>74</v>
      </c>
      <c r="B16" s="11" t="s">
        <v>75</v>
      </c>
      <c r="C16" s="12">
        <v>46083</v>
      </c>
      <c r="D16" s="24">
        <f>VLOOKUP(A16,'Tech Employees'!A11:AB48,28,0)</f>
        <v>44997.500240499998</v>
      </c>
      <c r="E16" s="24">
        <v>39569845546</v>
      </c>
      <c r="F16" s="24" t="s">
        <v>110</v>
      </c>
      <c r="G16" s="24" t="s">
        <v>106</v>
      </c>
      <c r="H16" s="22"/>
    </row>
    <row r="17" spans="1:8" x14ac:dyDescent="0.35">
      <c r="A17" s="10" t="s">
        <v>78</v>
      </c>
      <c r="B17" s="11" t="s">
        <v>79</v>
      </c>
      <c r="C17" s="12">
        <v>46083</v>
      </c>
      <c r="D17" s="24">
        <f>VLOOKUP(A17,'Tech Employees'!A13:AB50,28,0)</f>
        <v>50973.200269360001</v>
      </c>
      <c r="E17" s="24">
        <v>41202390653</v>
      </c>
      <c r="F17" s="24" t="s">
        <v>112</v>
      </c>
      <c r="G17" s="24" t="s">
        <v>106</v>
      </c>
      <c r="H17" s="22"/>
    </row>
    <row r="18" spans="1:8" x14ac:dyDescent="0.35">
      <c r="A18" s="21" t="s">
        <v>37</v>
      </c>
      <c r="B18" s="21" t="s">
        <v>39</v>
      </c>
      <c r="C18" s="23">
        <v>46072</v>
      </c>
      <c r="D18" s="24">
        <f>VLOOKUP(A18,Consultant!A5:H9,8,0)</f>
        <v>74466.666666666657</v>
      </c>
      <c r="E18" s="24">
        <v>770301501355</v>
      </c>
      <c r="F18" s="22" t="s">
        <v>44</v>
      </c>
      <c r="G18" s="22" t="s">
        <v>45</v>
      </c>
      <c r="H18" s="22"/>
    </row>
    <row r="19" spans="1:8" x14ac:dyDescent="0.35">
      <c r="A19" s="17" t="s">
        <v>173</v>
      </c>
      <c r="B19" s="18" t="s">
        <v>174</v>
      </c>
      <c r="C19" s="12">
        <v>46113</v>
      </c>
      <c r="D19" s="24">
        <f>VLOOKUP(A19,'Tech Employees'!A37:AB74,28,0)</f>
        <v>18036.85066263</v>
      </c>
      <c r="E19" s="35">
        <v>44610100006654</v>
      </c>
      <c r="F19" s="34" t="s">
        <v>196</v>
      </c>
      <c r="G19" s="17" t="s">
        <v>195</v>
      </c>
      <c r="H19" s="22"/>
    </row>
    <row r="20" spans="1:8" x14ac:dyDescent="0.35">
      <c r="A20" s="10" t="s">
        <v>80</v>
      </c>
      <c r="B20" s="11" t="s">
        <v>81</v>
      </c>
      <c r="C20" s="12">
        <v>46083</v>
      </c>
      <c r="D20" s="24">
        <f>VLOOKUP(A20,'Tech Employees'!A14:AB51,28,0)</f>
        <v>54757.0002886</v>
      </c>
      <c r="E20" s="24">
        <v>615728726</v>
      </c>
      <c r="F20" s="24" t="s">
        <v>113</v>
      </c>
      <c r="G20" s="24" t="s">
        <v>114</v>
      </c>
      <c r="H20" s="22"/>
    </row>
    <row r="21" spans="1:8" x14ac:dyDescent="0.35">
      <c r="A21" s="10" t="s">
        <v>82</v>
      </c>
      <c r="B21" s="11" t="s">
        <v>83</v>
      </c>
      <c r="C21" s="12">
        <v>46083</v>
      </c>
      <c r="D21" s="24">
        <f>VLOOKUP(A21,'Tech Employees'!A15:AB52,28,0)</f>
        <v>12639.25043215</v>
      </c>
      <c r="E21" s="24">
        <v>9147600708</v>
      </c>
      <c r="F21" s="24" t="s">
        <v>115</v>
      </c>
      <c r="G21" s="24" t="s">
        <v>116</v>
      </c>
      <c r="H21" s="22"/>
    </row>
    <row r="22" spans="1:8" x14ac:dyDescent="0.35">
      <c r="A22" s="10" t="s">
        <v>84</v>
      </c>
      <c r="B22" s="11" t="s">
        <v>85</v>
      </c>
      <c r="C22" s="12">
        <v>46083</v>
      </c>
      <c r="D22" s="24">
        <f>VLOOKUP(A22,'Tech Employees'!A16:AB53,28,0)</f>
        <v>30358.250168350001</v>
      </c>
      <c r="E22" s="24">
        <v>7445588605</v>
      </c>
      <c r="F22" s="24" t="s">
        <v>117</v>
      </c>
      <c r="G22" s="24" t="s">
        <v>116</v>
      </c>
      <c r="H22" s="22"/>
    </row>
    <row r="23" spans="1:8" x14ac:dyDescent="0.35">
      <c r="A23" s="10" t="s">
        <v>86</v>
      </c>
      <c r="B23" s="11" t="s">
        <v>87</v>
      </c>
      <c r="C23" s="12">
        <v>46083</v>
      </c>
      <c r="D23" s="24">
        <f>VLOOKUP(A23,'Tech Employees'!A17:AB54,28,0)</f>
        <v>30358.250168350001</v>
      </c>
      <c r="E23" s="24">
        <v>4495101004331</v>
      </c>
      <c r="F23" s="24" t="s">
        <v>118</v>
      </c>
      <c r="G23" s="24" t="s">
        <v>102</v>
      </c>
      <c r="H23" s="22"/>
    </row>
    <row r="24" spans="1:8" x14ac:dyDescent="0.35">
      <c r="A24" s="17" t="s">
        <v>163</v>
      </c>
      <c r="B24" s="18" t="s">
        <v>164</v>
      </c>
      <c r="C24" s="12">
        <v>46113</v>
      </c>
      <c r="D24" s="24">
        <f>VLOOKUP(A24,'Tech Employees'!A32:AB69,28,0)</f>
        <v>40117.750216450004</v>
      </c>
      <c r="E24" s="36">
        <v>20086309269</v>
      </c>
      <c r="F24" s="34" t="s">
        <v>190</v>
      </c>
      <c r="G24" s="17" t="s">
        <v>106</v>
      </c>
      <c r="H24" s="22"/>
    </row>
    <row r="25" spans="1:8" x14ac:dyDescent="0.35">
      <c r="A25" s="10" t="s">
        <v>88</v>
      </c>
      <c r="B25" s="10" t="s">
        <v>89</v>
      </c>
      <c r="C25" s="12">
        <v>46083</v>
      </c>
      <c r="D25" s="24">
        <f>VLOOKUP(A25,'Tech Employees'!A18:AB55,28,0)</f>
        <v>19486.85066263</v>
      </c>
      <c r="E25" s="24">
        <v>37182972098</v>
      </c>
      <c r="F25" s="24" t="s">
        <v>137</v>
      </c>
      <c r="G25" s="24" t="s">
        <v>106</v>
      </c>
      <c r="H25" s="22"/>
    </row>
    <row r="26" spans="1:8" x14ac:dyDescent="0.35">
      <c r="A26" s="10" t="s">
        <v>90</v>
      </c>
      <c r="B26" s="10" t="s">
        <v>91</v>
      </c>
      <c r="C26" s="12">
        <v>46083</v>
      </c>
      <c r="D26" s="24">
        <f>VLOOKUP(A26,'Tech Employees'!A19:AB56,28,0)</f>
        <v>30358.250168350001</v>
      </c>
      <c r="E26" s="24">
        <v>39971511897</v>
      </c>
      <c r="F26" s="24" t="s">
        <v>119</v>
      </c>
      <c r="G26" s="24" t="s">
        <v>106</v>
      </c>
      <c r="H26" s="22"/>
    </row>
    <row r="27" spans="1:8" x14ac:dyDescent="0.35">
      <c r="A27" s="10" t="s">
        <v>92</v>
      </c>
      <c r="B27" s="10" t="s">
        <v>93</v>
      </c>
      <c r="C27" s="12">
        <v>46083</v>
      </c>
      <c r="D27" s="24">
        <f>VLOOKUP(A27,'Tech Employees'!A20:AB57,28,0)</f>
        <v>54757.0002886</v>
      </c>
      <c r="E27" s="24">
        <v>41536691505</v>
      </c>
      <c r="F27" s="24" t="s">
        <v>120</v>
      </c>
      <c r="G27" s="24" t="s">
        <v>106</v>
      </c>
      <c r="H27" s="22"/>
    </row>
    <row r="28" spans="1:8" x14ac:dyDescent="0.35">
      <c r="A28" s="10" t="s">
        <v>94</v>
      </c>
      <c r="B28" s="10" t="s">
        <v>95</v>
      </c>
      <c r="C28" s="12">
        <v>46083</v>
      </c>
      <c r="D28" s="24">
        <f>VLOOKUP(A28,'Tech Employees'!A21:AB58,28,0)</f>
        <v>52865.100278979997</v>
      </c>
      <c r="E28" s="24">
        <v>50100141200194</v>
      </c>
      <c r="F28" s="24" t="s">
        <v>121</v>
      </c>
      <c r="G28" s="24" t="s">
        <v>51</v>
      </c>
      <c r="H28" s="22"/>
    </row>
    <row r="29" spans="1:8" x14ac:dyDescent="0.35">
      <c r="A29" s="25" t="s">
        <v>96</v>
      </c>
      <c r="B29" s="25" t="s">
        <v>97</v>
      </c>
      <c r="C29" s="23">
        <v>46086</v>
      </c>
      <c r="D29" s="24">
        <f>VLOOKUP(A29,Employees!3:4,29,0)</f>
        <v>90521.666666666672</v>
      </c>
      <c r="E29" s="38" t="s">
        <v>201</v>
      </c>
      <c r="F29" s="39" t="s">
        <v>198</v>
      </c>
      <c r="G29" s="21" t="s">
        <v>51</v>
      </c>
      <c r="H29" s="22"/>
    </row>
    <row r="30" spans="1:8" x14ac:dyDescent="0.35">
      <c r="A30" s="17" t="s">
        <v>98</v>
      </c>
      <c r="B30" s="18" t="s">
        <v>99</v>
      </c>
      <c r="C30" s="23">
        <v>46092</v>
      </c>
      <c r="D30" s="24">
        <f>VLOOKUP(A30,Consultant!A6:H10,8,0)</f>
        <v>17800</v>
      </c>
      <c r="E30" s="24">
        <v>50100743220366</v>
      </c>
      <c r="F30" s="24" t="s">
        <v>124</v>
      </c>
      <c r="G30" s="24" t="s">
        <v>51</v>
      </c>
      <c r="H30" s="22"/>
    </row>
    <row r="31" spans="1:8" x14ac:dyDescent="0.35">
      <c r="A31" s="17" t="s">
        <v>143</v>
      </c>
      <c r="B31" s="18" t="s">
        <v>144</v>
      </c>
      <c r="C31" s="12">
        <v>46113</v>
      </c>
      <c r="D31" s="24">
        <f>VLOOKUP(A31,'Tech Employees'!A22:AB59,28,0)</f>
        <v>30358.250168350001</v>
      </c>
      <c r="E31" s="24">
        <v>920010070801185</v>
      </c>
      <c r="F31" s="22" t="s">
        <v>202</v>
      </c>
      <c r="G31" s="17" t="s">
        <v>203</v>
      </c>
      <c r="H31" s="22"/>
    </row>
    <row r="32" spans="1:8" x14ac:dyDescent="0.35">
      <c r="A32" s="17" t="s">
        <v>145</v>
      </c>
      <c r="B32" s="18" t="s">
        <v>146</v>
      </c>
      <c r="C32" s="12">
        <v>46113</v>
      </c>
      <c r="D32" s="24">
        <f>VLOOKUP(A32,'Tech Employees'!A23:AB60,28,0)</f>
        <v>25478.5008643</v>
      </c>
      <c r="E32" s="33">
        <v>40590710609</v>
      </c>
      <c r="F32" s="34" t="s">
        <v>180</v>
      </c>
      <c r="G32" s="34" t="s">
        <v>179</v>
      </c>
      <c r="H32" s="22"/>
    </row>
    <row r="33" spans="1:8" x14ac:dyDescent="0.35">
      <c r="A33" s="21" t="s">
        <v>178</v>
      </c>
      <c r="B33" s="14" t="s">
        <v>177</v>
      </c>
      <c r="C33" s="12">
        <v>46113</v>
      </c>
      <c r="D33" s="24">
        <f>VLOOKUP(A33,'Tech Employees'!A39:AB76,28,0)</f>
        <v>30358.250168350001</v>
      </c>
      <c r="E33" s="35">
        <v>111101513423</v>
      </c>
      <c r="F33" s="17" t="s">
        <v>204</v>
      </c>
      <c r="G33" s="24" t="s">
        <v>45</v>
      </c>
      <c r="H33" s="22"/>
    </row>
    <row r="34" spans="1:8" x14ac:dyDescent="0.35">
      <c r="A34" s="17" t="s">
        <v>147</v>
      </c>
      <c r="B34" s="18" t="s">
        <v>148</v>
      </c>
      <c r="C34" s="12">
        <v>46113</v>
      </c>
      <c r="D34" s="24">
        <f>VLOOKUP(A34,'Tech Employees'!A24:AB61,28,0)</f>
        <v>43147.500240499998</v>
      </c>
      <c r="E34" s="35">
        <v>801663119</v>
      </c>
      <c r="F34" s="34" t="s">
        <v>181</v>
      </c>
      <c r="G34" s="17" t="s">
        <v>45</v>
      </c>
      <c r="H34" s="22"/>
    </row>
    <row r="35" spans="1:8" x14ac:dyDescent="0.35">
      <c r="A35" s="17" t="s">
        <v>149</v>
      </c>
      <c r="B35" s="18" t="s">
        <v>150</v>
      </c>
      <c r="C35" s="12">
        <v>46113</v>
      </c>
      <c r="D35" s="24">
        <f>VLOOKUP(A35,'Tech Employees'!A25:AB62,28,0)</f>
        <v>18853.939037250369</v>
      </c>
      <c r="E35" s="35">
        <v>55560103431927</v>
      </c>
      <c r="F35" s="34" t="s">
        <v>183</v>
      </c>
      <c r="G35" s="34" t="s">
        <v>182</v>
      </c>
      <c r="H35" s="22"/>
    </row>
    <row r="36" spans="1:8" x14ac:dyDescent="0.35">
      <c r="A36" s="17" t="s">
        <v>151</v>
      </c>
      <c r="B36" s="18" t="s">
        <v>152</v>
      </c>
      <c r="C36" s="12">
        <v>46113</v>
      </c>
      <c r="D36" s="24">
        <f>VLOOKUP(A36,'Tech Employees'!A26:AB63,28,0)</f>
        <v>12689.25043215</v>
      </c>
      <c r="E36" s="33">
        <v>55560103536675</v>
      </c>
      <c r="F36" s="17" t="s">
        <v>197</v>
      </c>
      <c r="G36" s="34" t="s">
        <v>182</v>
      </c>
      <c r="H36" s="22"/>
    </row>
    <row r="37" spans="1:8" x14ac:dyDescent="0.35">
      <c r="A37" s="17" t="s">
        <v>153</v>
      </c>
      <c r="B37" s="18" t="s">
        <v>154</v>
      </c>
      <c r="C37" s="12">
        <v>46113</v>
      </c>
      <c r="D37" s="24">
        <f>VLOOKUP(A37,'Tech Employees'!A27:AB64,28,0)</f>
        <v>12689.25043215</v>
      </c>
      <c r="E37" s="33">
        <v>110240929810</v>
      </c>
      <c r="F37" s="34" t="s">
        <v>184</v>
      </c>
      <c r="G37" s="17" t="s">
        <v>102</v>
      </c>
      <c r="H37" s="22"/>
    </row>
    <row r="38" spans="1:8" x14ac:dyDescent="0.35">
      <c r="A38" s="17" t="s">
        <v>155</v>
      </c>
      <c r="B38" s="18" t="s">
        <v>156</v>
      </c>
      <c r="C38" s="12">
        <v>46113</v>
      </c>
      <c r="D38" s="24">
        <f>VLOOKUP(A38,'Tech Employees'!A28:AB65,28,0)</f>
        <v>12689.25043215</v>
      </c>
      <c r="E38" s="33">
        <v>386701504229</v>
      </c>
      <c r="F38" s="34" t="s">
        <v>185</v>
      </c>
      <c r="G38" s="17" t="s">
        <v>45</v>
      </c>
      <c r="H38" s="22"/>
    </row>
    <row r="39" spans="1:8" x14ac:dyDescent="0.35">
      <c r="A39" s="17" t="s">
        <v>159</v>
      </c>
      <c r="B39" s="31" t="s">
        <v>160</v>
      </c>
      <c r="C39" s="12">
        <v>46113</v>
      </c>
      <c r="D39" s="24">
        <f>VLOOKUP(A39,'Tech Employees'!A30:AB67,28,0)</f>
        <v>12689.25043215</v>
      </c>
      <c r="E39" s="35">
        <v>520101254028703</v>
      </c>
      <c r="F39" s="34" t="s">
        <v>188</v>
      </c>
      <c r="G39" s="17" t="s">
        <v>187</v>
      </c>
      <c r="H39" s="22"/>
    </row>
    <row r="40" spans="1:8" x14ac:dyDescent="0.35">
      <c r="A40" s="17" t="s">
        <v>161</v>
      </c>
      <c r="B40" s="31" t="s">
        <v>162</v>
      </c>
      <c r="C40" s="12">
        <v>46113</v>
      </c>
      <c r="D40" s="24">
        <f>VLOOKUP(A40,'Tech Employees'!A31:AB68,28,0)</f>
        <v>12689.25043215</v>
      </c>
      <c r="E40" s="35">
        <v>263812010000686</v>
      </c>
      <c r="F40" s="34" t="s">
        <v>188</v>
      </c>
      <c r="G40" s="34" t="s">
        <v>189</v>
      </c>
      <c r="H40" s="22"/>
    </row>
    <row r="41" spans="1:8" x14ac:dyDescent="0.35">
      <c r="A41" s="17" t="s">
        <v>157</v>
      </c>
      <c r="B41" s="18" t="s">
        <v>158</v>
      </c>
      <c r="C41" s="12">
        <v>46113</v>
      </c>
      <c r="D41" s="24">
        <f>VLOOKUP(A41,'Tech Employees'!A29:AB66,28,0)</f>
        <v>11889.300392140001</v>
      </c>
      <c r="E41" s="33">
        <v>44652833670</v>
      </c>
      <c r="F41" s="17" t="s">
        <v>186</v>
      </c>
      <c r="G41" s="17" t="s">
        <v>106</v>
      </c>
      <c r="H41" s="22"/>
    </row>
    <row r="42" spans="1:8" x14ac:dyDescent="0.35">
      <c r="A42" s="17" t="s">
        <v>165</v>
      </c>
      <c r="B42" s="18" t="s">
        <v>166</v>
      </c>
      <c r="C42" s="12">
        <v>46113</v>
      </c>
      <c r="D42" s="24">
        <f>VLOOKUP(A42,'Tech Employees'!A33:AB70,28,0)</f>
        <v>40117.750216450004</v>
      </c>
      <c r="E42" s="36">
        <v>37097117593</v>
      </c>
      <c r="F42" s="18" t="s">
        <v>191</v>
      </c>
      <c r="G42" s="17" t="s">
        <v>106</v>
      </c>
      <c r="H42" s="22"/>
    </row>
    <row r="43" spans="1:8" x14ac:dyDescent="0.35">
      <c r="A43" s="17" t="s">
        <v>167</v>
      </c>
      <c r="B43" s="18" t="s">
        <v>168</v>
      </c>
      <c r="C43" s="12">
        <v>46113</v>
      </c>
      <c r="D43" s="24">
        <f>VLOOKUP(A43,'Tech Employees'!A34:AB71,28,0)</f>
        <v>25478.5008643</v>
      </c>
      <c r="E43" s="36">
        <v>62478238609</v>
      </c>
      <c r="F43" s="18" t="s">
        <v>192</v>
      </c>
      <c r="G43" s="17" t="s">
        <v>106</v>
      </c>
      <c r="H43" s="22"/>
    </row>
    <row r="44" spans="1:8" x14ac:dyDescent="0.35">
      <c r="A44" s="17" t="s">
        <v>169</v>
      </c>
      <c r="B44" s="18" t="s">
        <v>170</v>
      </c>
      <c r="C44" s="12">
        <v>46113</v>
      </c>
      <c r="D44" s="24">
        <f>VLOOKUP(A44,'Tech Employees'!A35:AB72,28,0)</f>
        <v>11039.25043215</v>
      </c>
      <c r="E44" s="35">
        <v>50100405907963</v>
      </c>
      <c r="F44" s="34" t="s">
        <v>194</v>
      </c>
      <c r="G44" s="18" t="s">
        <v>193</v>
      </c>
      <c r="H44" s="22"/>
    </row>
    <row r="45" spans="1:8" x14ac:dyDescent="0.35">
      <c r="A45" s="17" t="s">
        <v>171</v>
      </c>
      <c r="B45" s="18" t="s">
        <v>172</v>
      </c>
      <c r="C45" s="12">
        <v>46113</v>
      </c>
      <c r="D45" s="24">
        <f>VLOOKUP(A45,'Tech Employees'!A36:AB73,28,0)</f>
        <v>12689.25043215</v>
      </c>
      <c r="E45" s="35">
        <v>55560103507254</v>
      </c>
      <c r="F45" s="34" t="s">
        <v>183</v>
      </c>
      <c r="G45" s="34" t="s">
        <v>182</v>
      </c>
      <c r="H45" s="22"/>
    </row>
    <row r="46" spans="1:8" x14ac:dyDescent="0.35">
      <c r="A46" s="17" t="s">
        <v>175</v>
      </c>
      <c r="B46" s="18" t="s">
        <v>176</v>
      </c>
      <c r="C46" s="12">
        <v>46113</v>
      </c>
      <c r="D46" s="24">
        <f>VLOOKUP(A46,'Tech Employees'!A38:AB75,28,0)</f>
        <v>20342.800691439999</v>
      </c>
      <c r="E46" s="35">
        <v>55560103427925</v>
      </c>
      <c r="F46" s="34" t="s">
        <v>183</v>
      </c>
      <c r="G46" s="34" t="s">
        <v>122</v>
      </c>
      <c r="H46" s="22"/>
    </row>
    <row r="47" spans="1:8" x14ac:dyDescent="0.35">
      <c r="A47" s="17" t="s">
        <v>211</v>
      </c>
      <c r="B47" s="18" t="s">
        <v>206</v>
      </c>
      <c r="C47" s="12">
        <v>46113</v>
      </c>
      <c r="D47" s="24">
        <f>VLOOKUP(A47,'Tech Employees'!A39:AB76,28,0)</f>
        <v>93795.000480999995</v>
      </c>
      <c r="E47" s="35">
        <v>38613963272</v>
      </c>
      <c r="F47" s="34" t="s">
        <v>207</v>
      </c>
      <c r="G47" s="34" t="s">
        <v>106</v>
      </c>
      <c r="H47" s="22"/>
    </row>
    <row r="48" spans="1:8" x14ac:dyDescent="0.35">
      <c r="A48" s="17" t="s">
        <v>212</v>
      </c>
      <c r="B48" s="18" t="s">
        <v>208</v>
      </c>
      <c r="C48" s="12">
        <v>46113</v>
      </c>
      <c r="D48" s="24">
        <f>VLOOKUP(A48,'Tech Employees'!A40:AB77,28,0)</f>
        <v>28731.341510331727</v>
      </c>
      <c r="E48" s="35">
        <v>180701000002091</v>
      </c>
      <c r="F48" s="34" t="s">
        <v>209</v>
      </c>
      <c r="G48" s="34" t="s">
        <v>210</v>
      </c>
      <c r="H48" s="22"/>
    </row>
    <row r="49" spans="1:5" x14ac:dyDescent="0.35">
      <c r="A49" s="6"/>
      <c r="B49" s="6"/>
      <c r="C49" s="2"/>
      <c r="D49" s="4"/>
      <c r="E49" s="4"/>
    </row>
    <row r="50" spans="1:5" x14ac:dyDescent="0.35">
      <c r="B50" s="1" t="s">
        <v>34</v>
      </c>
      <c r="C50" s="1"/>
      <c r="D50" s="5">
        <f>SUM(D3:D49)</f>
        <v>1709004.8936685557</v>
      </c>
    </row>
  </sheetData>
  <autoFilter ref="A1:H1" xr:uid="{A391748B-F213-475C-ADDF-18924556A258}">
    <sortState xmlns:xlrd2="http://schemas.microsoft.com/office/spreadsheetml/2017/richdata2" ref="A2:H46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Employees</vt:lpstr>
      <vt:lpstr>Consultant</vt:lpstr>
      <vt:lpstr>Tech Employees</vt:lpstr>
      <vt:lpstr>Trainers</vt:lpstr>
      <vt:lpstr>Rental Payment</vt:lpstr>
      <vt:lpstr>Salaries_30042026</vt:lpstr>
      <vt:lpstr>Payments_30042026</vt:lpstr>
      <vt:lpstr>Non Federal</vt:lpstr>
      <vt:lpstr>Federal</vt:lpstr>
      <vt:lpstr>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Axiora</cp:lastModifiedBy>
  <cp:lastPrinted>2026-05-02T06:24:51Z</cp:lastPrinted>
  <dcterms:created xsi:type="dcterms:W3CDTF">2026-02-24T06:22:30Z</dcterms:created>
  <dcterms:modified xsi:type="dcterms:W3CDTF">2026-05-02T06:30:24Z</dcterms:modified>
</cp:coreProperties>
</file>