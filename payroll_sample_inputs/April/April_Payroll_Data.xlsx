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0AA74841-A945-4E6D-A679-6B14F6C2FC6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Employees" sheetId="1" r:id="rId1"/>
    <sheet name="Consultant" sheetId="3" r:id="rId2"/>
    <sheet name="Tech Employees" sheetId="5" r:id="rId3"/>
    <sheet name="Payment" sheetId="2" r:id="rId4"/>
    <sheet name="Trainers" sheetId="6" r:id="rId5"/>
    <sheet name="Rental Amount" sheetId="7" r:id="rId6"/>
  </sheets>
  <definedNames>
    <definedName name="_xlnm._FilterDatabase" localSheetId="2" hidden="1">'Tech Employees'!$A$1:$AF$41</definedName>
  </definedNames>
  <calcPr calcId="191029"/>
</workbook>
</file>

<file path=xl/calcChain.xml><?xml version="1.0" encoding="utf-8"?>
<calcChain xmlns="http://schemas.openxmlformats.org/spreadsheetml/2006/main">
  <c r="D41" i="5" l="1"/>
  <c r="I41" i="5"/>
  <c r="K41" i="5"/>
  <c r="I2" i="7"/>
  <c r="H2" i="7"/>
  <c r="E8" i="6"/>
  <c r="E7" i="6"/>
  <c r="M41" i="5"/>
  <c r="I3" i="5"/>
  <c r="K3" i="5" s="1"/>
  <c r="I4" i="5"/>
  <c r="K4" i="5" s="1"/>
  <c r="I5" i="5"/>
  <c r="K5" i="5" s="1"/>
  <c r="I6" i="5"/>
  <c r="K6" i="5" s="1"/>
  <c r="I7" i="5"/>
  <c r="K7" i="5" s="1"/>
  <c r="I8" i="5"/>
  <c r="K8" i="5" s="1"/>
  <c r="I9" i="5"/>
  <c r="K9" i="5" s="1"/>
  <c r="I10" i="5"/>
  <c r="K10" i="5" s="1"/>
  <c r="I11" i="5"/>
  <c r="K11" i="5" s="1"/>
  <c r="I12" i="5"/>
  <c r="K12" i="5" s="1"/>
  <c r="I13" i="5"/>
  <c r="K13" i="5" s="1"/>
  <c r="I14" i="5"/>
  <c r="K14" i="5" s="1"/>
  <c r="I15" i="5"/>
  <c r="K15" i="5" s="1"/>
  <c r="I16" i="5"/>
  <c r="K16" i="5" s="1"/>
  <c r="I17" i="5"/>
  <c r="K17" i="5" s="1"/>
  <c r="I18" i="5"/>
  <c r="K18" i="5" s="1"/>
  <c r="I19" i="5"/>
  <c r="K19" i="5" s="1"/>
  <c r="I20" i="5"/>
  <c r="K20" i="5" s="1"/>
  <c r="I21" i="5"/>
  <c r="K21" i="5" s="1"/>
  <c r="I2" i="5"/>
  <c r="K2" i="5" s="1"/>
  <c r="E6" i="3" l="1"/>
  <c r="H6" i="3"/>
  <c r="D8" i="2" s="1"/>
  <c r="U41" i="5"/>
  <c r="V41" i="5"/>
  <c r="W41" i="5"/>
  <c r="E2" i="3"/>
  <c r="E4" i="3"/>
  <c r="H4" i="3" s="1"/>
  <c r="D6" i="2" s="1"/>
  <c r="E3" i="3"/>
  <c r="H3" i="3" s="1"/>
  <c r="D5" i="2" s="1"/>
  <c r="H5" i="3"/>
  <c r="D7" i="2" s="1"/>
  <c r="E3" i="6"/>
  <c r="E4" i="6"/>
  <c r="E5" i="6"/>
  <c r="E6" i="6"/>
  <c r="D4" i="2"/>
  <c r="AB2" i="5"/>
  <c r="N2" i="1"/>
  <c r="I2" i="1"/>
  <c r="T41" i="5"/>
  <c r="H2" i="3"/>
  <c r="Z3" i="1"/>
  <c r="K3" i="1"/>
  <c r="I3" i="1"/>
  <c r="N3" i="1" s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J2" i="5"/>
  <c r="AD2" i="5" s="1"/>
  <c r="J3" i="5"/>
  <c r="AD3" i="5" s="1"/>
  <c r="J4" i="5"/>
  <c r="AD4" i="5" s="1"/>
  <c r="J5" i="5"/>
  <c r="AD5" i="5" s="1"/>
  <c r="J6" i="5"/>
  <c r="L6" i="5" s="1"/>
  <c r="J7" i="5"/>
  <c r="AD7" i="5" s="1"/>
  <c r="J8" i="5"/>
  <c r="AD8" i="5" s="1"/>
  <c r="J9" i="5"/>
  <c r="AD9" i="5" s="1"/>
  <c r="J10" i="5"/>
  <c r="AD10" i="5" s="1"/>
  <c r="J11" i="5"/>
  <c r="AD11" i="5" s="1"/>
  <c r="J12" i="5"/>
  <c r="AB12" i="5" s="1"/>
  <c r="J13" i="5"/>
  <c r="AB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AD20" i="5" s="1"/>
  <c r="J21" i="5"/>
  <c r="AD21" i="5" s="1"/>
  <c r="V7" i="1"/>
  <c r="W7" i="1"/>
  <c r="Q7" i="1"/>
  <c r="R7" i="1"/>
  <c r="S7" i="1"/>
  <c r="U7" i="1"/>
  <c r="P7" i="1"/>
  <c r="D7" i="1"/>
  <c r="K2" i="1"/>
  <c r="E10" i="6" l="1"/>
  <c r="Q2" i="5"/>
  <c r="S2" i="5" s="1"/>
  <c r="O2" i="5"/>
  <c r="AB4" i="5"/>
  <c r="O4" i="5" s="1"/>
  <c r="AB3" i="5"/>
  <c r="O3" i="5" s="1"/>
  <c r="R2" i="5"/>
  <c r="R3" i="5"/>
  <c r="R5" i="5"/>
  <c r="R4" i="5"/>
  <c r="L20" i="5"/>
  <c r="AD19" i="5"/>
  <c r="R13" i="5"/>
  <c r="L21" i="5"/>
  <c r="R21" i="5"/>
  <c r="R18" i="5"/>
  <c r="AB18" i="5"/>
  <c r="R14" i="5"/>
  <c r="AB10" i="5"/>
  <c r="R10" i="5"/>
  <c r="AD6" i="5"/>
  <c r="AB6" i="5"/>
  <c r="O6" i="5" s="1"/>
  <c r="R6" i="5"/>
  <c r="R15" i="5"/>
  <c r="R7" i="5"/>
  <c r="AB19" i="5"/>
  <c r="AB11" i="5"/>
  <c r="AB9" i="5"/>
  <c r="L13" i="5"/>
  <c r="AD18" i="5"/>
  <c r="R20" i="5"/>
  <c r="R12" i="5"/>
  <c r="AB16" i="5"/>
  <c r="AB8" i="5"/>
  <c r="L12" i="5"/>
  <c r="AD14" i="5"/>
  <c r="R19" i="5"/>
  <c r="R11" i="5"/>
  <c r="AB15" i="5"/>
  <c r="O15" i="5" s="1"/>
  <c r="AB7" i="5"/>
  <c r="O7" i="5" s="1"/>
  <c r="AB17" i="5"/>
  <c r="L5" i="5"/>
  <c r="AD13" i="5"/>
  <c r="Q13" i="5" s="1"/>
  <c r="AB14" i="5"/>
  <c r="AD12" i="5"/>
  <c r="Q12" i="5" s="1"/>
  <c r="S12" i="5" s="1"/>
  <c r="R17" i="5"/>
  <c r="R9" i="5"/>
  <c r="AB21" i="5"/>
  <c r="AB5" i="5"/>
  <c r="R16" i="5"/>
  <c r="R8" i="5"/>
  <c r="AB20" i="5"/>
  <c r="L4" i="5"/>
  <c r="J41" i="5"/>
  <c r="N41" i="5"/>
  <c r="J3" i="1"/>
  <c r="X3" i="1"/>
  <c r="H7" i="3"/>
  <c r="M3" i="1"/>
  <c r="T3" i="1"/>
  <c r="L11" i="5"/>
  <c r="L3" i="5"/>
  <c r="L10" i="5"/>
  <c r="L2" i="5"/>
  <c r="AD17" i="5"/>
  <c r="L9" i="5"/>
  <c r="AD16" i="5"/>
  <c r="L8" i="5"/>
  <c r="AD15" i="5"/>
  <c r="L7" i="5"/>
  <c r="Q4" i="5"/>
  <c r="Q3" i="5"/>
  <c r="Z2" i="1"/>
  <c r="J2" i="1"/>
  <c r="X2" i="1"/>
  <c r="M2" i="1" s="1"/>
  <c r="K7" i="1"/>
  <c r="Q21" i="5" l="1"/>
  <c r="P21" i="5" s="1"/>
  <c r="O21" i="5"/>
  <c r="Q9" i="5"/>
  <c r="S9" i="5" s="1"/>
  <c r="O9" i="5"/>
  <c r="O12" i="5"/>
  <c r="Q11" i="5"/>
  <c r="P11" i="5" s="1"/>
  <c r="O11" i="5"/>
  <c r="Q10" i="5"/>
  <c r="P10" i="5" s="1"/>
  <c r="O10" i="5"/>
  <c r="O13" i="5"/>
  <c r="Q20" i="5"/>
  <c r="S20" i="5" s="1"/>
  <c r="AE20" i="5" s="1"/>
  <c r="O20" i="5"/>
  <c r="Q8" i="5"/>
  <c r="S8" i="5" s="1"/>
  <c r="AE8" i="5" s="1"/>
  <c r="AF8" i="5" s="1"/>
  <c r="D15" i="2" s="1"/>
  <c r="O8" i="5"/>
  <c r="O19" i="5"/>
  <c r="Q14" i="5"/>
  <c r="S14" i="5" s="1"/>
  <c r="AE14" i="5" s="1"/>
  <c r="AF14" i="5" s="1"/>
  <c r="D21" i="2" s="1"/>
  <c r="O14" i="5"/>
  <c r="AE2" i="5"/>
  <c r="Q5" i="5"/>
  <c r="X5" i="5" s="1"/>
  <c r="O5" i="5"/>
  <c r="O17" i="5"/>
  <c r="O16" i="5"/>
  <c r="Q18" i="5"/>
  <c r="S18" i="5" s="1"/>
  <c r="AE18" i="5" s="1"/>
  <c r="O18" i="5"/>
  <c r="Q6" i="5"/>
  <c r="P6" i="5" s="1"/>
  <c r="Q19" i="5"/>
  <c r="P19" i="5" s="1"/>
  <c r="AE12" i="5"/>
  <c r="AF12" i="5" s="1"/>
  <c r="D19" i="2" s="1"/>
  <c r="AB41" i="5"/>
  <c r="AE9" i="5"/>
  <c r="AF9" i="5" s="1"/>
  <c r="D16" i="2" s="1"/>
  <c r="S13" i="5"/>
  <c r="AE13" i="5" s="1"/>
  <c r="AF13" i="5" s="1"/>
  <c r="D20" i="2" s="1"/>
  <c r="P13" i="5"/>
  <c r="X6" i="5"/>
  <c r="S6" i="5"/>
  <c r="AE6" i="5" s="1"/>
  <c r="AF6" i="5" s="1"/>
  <c r="D13" i="2" s="1"/>
  <c r="Q7" i="5"/>
  <c r="R41" i="5"/>
  <c r="AD41" i="5"/>
  <c r="Q15" i="5"/>
  <c r="S15" i="5" s="1"/>
  <c r="AE15" i="5" s="1"/>
  <c r="AF15" i="5" s="1"/>
  <c r="D22" i="2" s="1"/>
  <c r="S5" i="5"/>
  <c r="AE5" i="5" s="1"/>
  <c r="AF5" i="5" s="1"/>
  <c r="D12" i="2" s="1"/>
  <c r="L41" i="5"/>
  <c r="S4" i="5"/>
  <c r="AE4" i="5" s="1"/>
  <c r="AF4" i="5" s="1"/>
  <c r="D11" i="2" s="1"/>
  <c r="S3" i="5"/>
  <c r="O3" i="1"/>
  <c r="AF2" i="5"/>
  <c r="D9" i="2" s="1"/>
  <c r="Y3" i="1"/>
  <c r="AA3" i="1" s="1"/>
  <c r="AC3" i="1" s="1"/>
  <c r="D3" i="2" s="1"/>
  <c r="L3" i="1"/>
  <c r="T2" i="1"/>
  <c r="Q16" i="5"/>
  <c r="P9" i="5"/>
  <c r="X9" i="5"/>
  <c r="P5" i="5"/>
  <c r="Q17" i="5"/>
  <c r="S17" i="5" s="1"/>
  <c r="AE17" i="5" s="1"/>
  <c r="X21" i="5"/>
  <c r="X8" i="5"/>
  <c r="X13" i="5"/>
  <c r="X12" i="5"/>
  <c r="P12" i="5"/>
  <c r="X20" i="5"/>
  <c r="P20" i="5"/>
  <c r="P2" i="5"/>
  <c r="X2" i="5"/>
  <c r="X4" i="5"/>
  <c r="P4" i="5"/>
  <c r="P3" i="5"/>
  <c r="X3" i="5"/>
  <c r="J7" i="1"/>
  <c r="I7" i="1"/>
  <c r="X7" i="1"/>
  <c r="N7" i="1"/>
  <c r="S11" i="5" l="1"/>
  <c r="AE11" i="5" s="1"/>
  <c r="AF11" i="5" s="1"/>
  <c r="D18" i="2" s="1"/>
  <c r="O41" i="5"/>
  <c r="S21" i="5"/>
  <c r="AE21" i="5" s="1"/>
  <c r="AF21" i="5" s="1"/>
  <c r="D28" i="2" s="1"/>
  <c r="X11" i="5"/>
  <c r="P14" i="5"/>
  <c r="X14" i="5"/>
  <c r="AF20" i="5"/>
  <c r="D27" i="2" s="1"/>
  <c r="X10" i="5"/>
  <c r="AF18" i="5"/>
  <c r="D25" i="2" s="1"/>
  <c r="S10" i="5"/>
  <c r="AE10" i="5" s="1"/>
  <c r="AF10" i="5" s="1"/>
  <c r="D17" i="2" s="1"/>
  <c r="X18" i="5"/>
  <c r="P18" i="5"/>
  <c r="P8" i="5"/>
  <c r="P15" i="5"/>
  <c r="S19" i="5"/>
  <c r="AE19" i="5" s="1"/>
  <c r="AF19" i="5" s="1"/>
  <c r="D26" i="2" s="1"/>
  <c r="X19" i="5"/>
  <c r="X15" i="5"/>
  <c r="S7" i="5"/>
  <c r="AE7" i="5" s="1"/>
  <c r="AF7" i="5" s="1"/>
  <c r="D14" i="2" s="1"/>
  <c r="P7" i="5"/>
  <c r="X7" i="5"/>
  <c r="Q41" i="5"/>
  <c r="S16" i="5"/>
  <c r="AE16" i="5" s="1"/>
  <c r="AF16" i="5" s="1"/>
  <c r="D23" i="2" s="1"/>
  <c r="AE3" i="5"/>
  <c r="AF3" i="5" s="1"/>
  <c r="D10" i="2" s="1"/>
  <c r="AF17" i="5"/>
  <c r="D24" i="2" s="1"/>
  <c r="O2" i="1"/>
  <c r="L2" i="1"/>
  <c r="Y2" i="1"/>
  <c r="P16" i="5"/>
  <c r="X16" i="5"/>
  <c r="P17" i="5"/>
  <c r="X17" i="5"/>
  <c r="S41" i="5" l="1"/>
  <c r="X41" i="5"/>
  <c r="P41" i="5"/>
  <c r="AE41" i="5"/>
  <c r="AF41" i="5"/>
  <c r="AA2" i="1"/>
  <c r="AC2" i="1" s="1"/>
  <c r="Z7" i="1"/>
  <c r="L7" i="1"/>
  <c r="Y7" i="1"/>
  <c r="O7" i="1"/>
  <c r="D2" i="2" l="1"/>
  <c r="D30" i="2" s="1"/>
  <c r="T7" i="1"/>
  <c r="M7" i="1"/>
  <c r="AA7" i="1" l="1"/>
  <c r="AC7" i="1" l="1"/>
</calcChain>
</file>

<file path=xl/sharedStrings.xml><?xml version="1.0" encoding="utf-8"?>
<sst xmlns="http://schemas.openxmlformats.org/spreadsheetml/2006/main" count="331" uniqueCount="216">
  <si>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</si>
  <si>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</si>
  <si>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</si>
  <si>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</si>
  <si>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</si>
  <si>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</si>
  <si>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</si>
  <si>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</si>
  <si>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</si>
  <si>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</si>
  <si>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</si>
  <si>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</si>
  <si>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</si>
  <si>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</si>
  <si>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</si>
  <si>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</si>
  <si>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</si>
  <si>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</si>
  <si>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</si>
  <si>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</si>
  <si>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</si>
  <si>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</si>
  <si>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</si>
  <si>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</si>
  <si>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</si>
  <si>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</si>
  <si>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</si>
  <si>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</si>
  <si>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</si>
  <si>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</si>
  <si>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</si>
  <si>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</si>
  <si>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</si>
  <si>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</si>
  <si>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</si>
  <si>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</si>
  <si>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</si>
  <si>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</si>
  <si>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</si>
  <si>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</si>
  <si>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</si>
  <si>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</si>
  <si>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</si>
  <si>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</si>
  <si>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</si>
  <si>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</si>
  <si>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</si>
  <si>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</si>
  <si>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</si>
  <si>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</si>
  <si>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</si>
  <si>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</si>
  <si>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</si>
  <si>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</si>
  <si>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</si>
  <si>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</si>
  <si>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</si>
  <si>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</si>
  <si>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</si>
  <si>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</si>
  <si>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</si>
  <si>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</si>
  <si>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</si>
  <si>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</si>
  <si>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</si>
  <si>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</si>
  <si>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</si>
  <si>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</si>
  <si>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</si>
  <si>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</si>
  <si>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</si>
  <si>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</si>
  <si>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</si>
  <si>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</si>
  <si>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</si>
  <si>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</si>
  <si>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</si>
  <si>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</si>
  <si>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</si>
  <si>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</si>
  <si>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</si>
  <si>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</si>
  <si>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</si>
  <si>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</si>
  <si>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</si>
  <si>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</si>
  <si>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</si>
  <si>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</si>
  <si>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</si>
  <si>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</si>
  <si>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</si>
  <si>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</si>
  <si>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</si>
  <si>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</si>
  <si>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</si>
  <si>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</si>
  <si>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</si>
  <si>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</si>
  <si>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</si>
  <si>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</si>
  <si>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</si>
  <si>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</si>
  <si>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</si>
  <si>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</si>
  <si>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</si>
  <si>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</si>
  <si>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</si>
  <si>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</si>
  <si>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</si>
  <si>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</si>
  <si>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</si>
  <si>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</si>
  <si>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</si>
  <si>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</si>
  <si>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</si>
  <si>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</si>
  <si>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</si>
  <si>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</si>
  <si>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</si>
  <si>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</si>
  <si>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</si>
  <si>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</si>
  <si>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</si>
  <si>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</si>
  <si>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</si>
  <si>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</si>
  <si>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</si>
  <si>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</si>
  <si>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</si>
  <si>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</si>
  <si>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</si>
  <si>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</si>
  <si>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</si>
  <si>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</si>
  <si>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</si>
  <si>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</si>
  <si>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</si>
  <si>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</si>
  <si>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</si>
  <si>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</si>
  <si>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AHRA</t>
  </si>
  <si>
    <t>Abasic</t>
  </si>
  <si>
    <t>ASA</t>
  </si>
  <si>
    <t>Spec Allo</t>
  </si>
  <si>
    <t>AOA</t>
  </si>
  <si>
    <t>1446178000009714</t>
  </si>
  <si>
    <t>IDIB000C026</t>
  </si>
  <si>
    <t>K GOPINADH</t>
  </si>
  <si>
    <t>Banking Name</t>
  </si>
  <si>
    <t>INDIAN BANK</t>
  </si>
  <si>
    <t>Bank</t>
  </si>
  <si>
    <t>SBI</t>
  </si>
  <si>
    <t>004001579702</t>
  </si>
  <si>
    <t>ICIC0001806</t>
  </si>
  <si>
    <t>Sreekanth Koraboina</t>
  </si>
  <si>
    <t>ICIC0000053</t>
  </si>
  <si>
    <t>G Ravi Teja</t>
  </si>
  <si>
    <t>HDFC</t>
  </si>
  <si>
    <t>Skill</t>
  </si>
  <si>
    <t>CTO</t>
  </si>
  <si>
    <t>QA</t>
  </si>
  <si>
    <t>DevOps</t>
  </si>
  <si>
    <t>AI</t>
  </si>
  <si>
    <t>PowerBI</t>
  </si>
  <si>
    <t>SCBL0036090</t>
  </si>
  <si>
    <t>Salla Venkatesh</t>
  </si>
  <si>
    <t>Standard Chartered Bank</t>
  </si>
  <si>
    <t>Month</t>
  </si>
  <si>
    <t>April</t>
  </si>
  <si>
    <t>Receiver</t>
  </si>
  <si>
    <t>ODCET Consultancy Services Pvt Ltd</t>
  </si>
  <si>
    <t>Account Number</t>
  </si>
  <si>
    <t>IFSC Code</t>
  </si>
  <si>
    <t>Amount</t>
  </si>
  <si>
    <t>HDFC0000364</t>
  </si>
  <si>
    <t>SBIN0011121</t>
  </si>
  <si>
    <t>ERGAMREDDY SARADHA</t>
  </si>
  <si>
    <t>Chetna</t>
  </si>
  <si>
    <t>Akshay</t>
  </si>
  <si>
    <t>GST</t>
  </si>
  <si>
    <t>AGS26041</t>
  </si>
  <si>
    <t>Sudhagani Sai Charan</t>
  </si>
  <si>
    <t>AGS26043</t>
  </si>
  <si>
    <t>Chebrolu Yashaswini</t>
  </si>
  <si>
    <t>AGS26044</t>
  </si>
  <si>
    <t>Pulikonda Naveen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</si>
  <si>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</si>
  <si>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</si>
  <si>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</si>
  <si>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</si>
  <si>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</si>
  <si>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</si>
  <si>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</si>
  <si>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</si>
  <si>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</si>
  <si>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</si>
  <si>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</si>
  <si>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</si>
  <si>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</si>
  <si>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</si>
  <si>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</si>
  <si>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</si>
  <si>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</si>
  <si>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</si>
  <si>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</si>
  <si>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</si>
  <si>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</si>
  <si>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</si>
  <si>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</si>
  <si>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</si>
  <si>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</si>
  <si>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</si>
  <si>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</si>
  <si>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</si>
  <si>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Thallada Venkatasagar</t>
  </si>
  <si>
    <t>HDFC0003665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</si>
</sst>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1" xfId="0" quotePrefix="1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0" xfId="0" applyAlignment="1">
      <alignment horizontal="left" vertical="top" wrapText="1"/>
    </xf>
    <xf numFmtId="1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3" sqref="C13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9.5429687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3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5.26953125" customWidth="1"/>
    <col min="29" max="29" width="16.54296875" bestFit="1" customWidth="1"/>
  </cols>
  <sheetData>
    <row r="1" spans="1:29" x14ac:dyDescent="0.35">
      <c r="A1" s="32" t="s">
        <v>1</v>
      </c>
      <c r="B1" s="32" t="s">
        <v>0</v>
      </c>
      <c r="C1" s="32" t="s">
        <v>21</v>
      </c>
      <c r="D1" s="32" t="s">
        <v>25</v>
      </c>
      <c r="E1" s="1" t="s">
        <v>22</v>
      </c>
      <c r="F1" s="32" t="s">
        <v>23</v>
      </c>
      <c r="G1" s="32" t="s">
        <v>24</v>
      </c>
      <c r="H1" s="32"/>
      <c r="I1" s="32" t="s">
        <v>2</v>
      </c>
      <c r="J1" s="32" t="s">
        <v>3</v>
      </c>
      <c r="K1" s="32" t="s">
        <v>4</v>
      </c>
      <c r="L1" s="32" t="s">
        <v>5</v>
      </c>
      <c r="M1" s="32" t="s">
        <v>54</v>
      </c>
      <c r="N1" s="32" t="s">
        <v>10</v>
      </c>
      <c r="O1" s="32" t="s">
        <v>11</v>
      </c>
      <c r="P1" s="32" t="s">
        <v>12</v>
      </c>
      <c r="Q1" s="1" t="s">
        <v>6</v>
      </c>
      <c r="R1" s="1" t="s">
        <v>7</v>
      </c>
      <c r="S1" s="1" t="s">
        <v>8</v>
      </c>
      <c r="T1" s="1" t="s">
        <v>9</v>
      </c>
      <c r="U1" s="32" t="s">
        <v>13</v>
      </c>
      <c r="V1" s="32" t="s">
        <v>14</v>
      </c>
      <c r="W1" s="32" t="s">
        <v>15</v>
      </c>
      <c r="X1" s="32" t="s">
        <v>18</v>
      </c>
      <c r="Y1" s="32" t="s">
        <v>19</v>
      </c>
      <c r="Z1" s="32" t="s">
        <v>20</v>
      </c>
      <c r="AA1" s="32" t="s">
        <v>16</v>
      </c>
      <c r="AB1" s="32" t="s">
        <v>100</v>
      </c>
      <c r="AC1" s="32" t="s">
        <v>17</v>
      </c>
    </row>
    <row r="2" spans="1:29" s="33" customFormat="1" x14ac:dyDescent="0.35">
      <c r="A2" s="33" t="s">
        <v>27</v>
      </c>
      <c r="B2" s="33" t="s">
        <v>26</v>
      </c>
      <c r="C2" s="2">
        <v>46062</v>
      </c>
      <c r="D2" s="3">
        <v>70833</v>
      </c>
      <c r="E2" s="4">
        <v>31</v>
      </c>
      <c r="F2" s="4">
        <v>31</v>
      </c>
      <c r="G2" s="4">
        <v>0</v>
      </c>
      <c r="I2" s="4">
        <f>(+D2*50%)/E2*F2</f>
        <v>35416.5</v>
      </c>
      <c r="J2" s="4">
        <f>(I2*50%)</f>
        <v>17708.25</v>
      </c>
      <c r="K2" s="4">
        <f>(1600/E2)*F2</f>
        <v>1600</v>
      </c>
      <c r="L2" s="4">
        <f>(M2-I2-J2-K2)</f>
        <v>12604.716350000002</v>
      </c>
      <c r="M2" s="4">
        <f>((D2-X2)/E2*F2)-Z2</f>
        <v>67329.466350000002</v>
      </c>
      <c r="N2" s="4">
        <f>IF($I2*0.12&gt;1800,1800,$I2*0.12)</f>
        <v>1800</v>
      </c>
      <c r="O2" s="4">
        <f>IF(M2&lt;=21000,M2*0.75%,0)</f>
        <v>0</v>
      </c>
      <c r="P2" s="4">
        <v>200</v>
      </c>
      <c r="Q2" s="4">
        <v>0</v>
      </c>
      <c r="R2" s="4">
        <v>0</v>
      </c>
      <c r="S2" s="4">
        <v>0</v>
      </c>
      <c r="T2" s="4">
        <f>M2+Q2+R2+S2</f>
        <v>67329.466350000002</v>
      </c>
      <c r="U2" s="4">
        <v>0</v>
      </c>
      <c r="V2" s="4">
        <v>0</v>
      </c>
      <c r="W2" s="4">
        <v>0</v>
      </c>
      <c r="X2" s="4">
        <f>IF($I2*0.12&gt;1800,1800,$I2*0.12)</f>
        <v>1800</v>
      </c>
      <c r="Y2" s="4">
        <f>IF(M2&lt;=21000,M2*3.25%,0)</f>
        <v>0</v>
      </c>
      <c r="Z2" s="4">
        <f>I2*4.81%</f>
        <v>1703.5336499999999</v>
      </c>
      <c r="AA2" s="4">
        <f>N2+O2+P2+V2+W2+U2+X2+Y2+Z2</f>
        <v>5503.5336499999994</v>
      </c>
      <c r="AB2" s="4">
        <v>1</v>
      </c>
      <c r="AC2" s="4">
        <f>M2-AA2+AB2+N2+Z2</f>
        <v>65330.466350000002</v>
      </c>
    </row>
    <row r="3" spans="1:29" x14ac:dyDescent="0.35">
      <c r="A3" s="33" t="s">
        <v>96</v>
      </c>
      <c r="B3" s="33" t="s">
        <v>97</v>
      </c>
      <c r="C3" s="2">
        <v>46086</v>
      </c>
      <c r="D3">
        <v>100000</v>
      </c>
      <c r="E3">
        <v>31</v>
      </c>
      <c r="F3">
        <v>27</v>
      </c>
      <c r="G3">
        <v>0</v>
      </c>
      <c r="I3" s="4">
        <f t="shared" ref="I3" si="0">(+D3*49.99999%)/E3*F3</f>
        <v>43548.378387096767</v>
      </c>
      <c r="J3" s="4">
        <f>(I3*50%)</f>
        <v>21774.189193548384</v>
      </c>
      <c r="K3" s="4">
        <f>(1600/E3)*F3</f>
        <v>1393.5483870967741</v>
      </c>
      <c r="L3" s="4">
        <f>(M3-I3-J3-K3)</f>
        <v>16718.239289903238</v>
      </c>
      <c r="M3" s="4">
        <f>(D3-X3)/E3*F3-Z3</f>
        <v>83434.355257645162</v>
      </c>
      <c r="N3" s="4">
        <f>IF($I3*0.12&gt;1800,1800,$I3*0.12)</f>
        <v>1800</v>
      </c>
      <c r="O3" s="4">
        <f>IF(M3&lt;=21000,M3*0.75%,0)</f>
        <v>0</v>
      </c>
      <c r="P3" s="4">
        <v>200</v>
      </c>
      <c r="Q3" s="4">
        <v>0</v>
      </c>
      <c r="R3" s="4">
        <v>0</v>
      </c>
      <c r="S3" s="4">
        <v>0</v>
      </c>
      <c r="T3" s="4">
        <f>M3+Q3+R3+S3</f>
        <v>83434.355257645162</v>
      </c>
      <c r="U3" s="4">
        <v>0</v>
      </c>
      <c r="V3" s="4">
        <v>0</v>
      </c>
      <c r="W3" s="4">
        <v>0</v>
      </c>
      <c r="X3" s="4">
        <f>IF($I3*0.12&gt;1800,1800,$I3*0.12)</f>
        <v>1800</v>
      </c>
      <c r="Y3" s="4">
        <f>IF(M3&lt;=21000,M3*3.25%,0)</f>
        <v>0</v>
      </c>
      <c r="Z3" s="4">
        <f>I3*4.81%</f>
        <v>2094.6770004193545</v>
      </c>
      <c r="AA3" s="4">
        <f>N3+O3+P3+V3+W3+U3+X3+Y3+Z3</f>
        <v>5894.677000419355</v>
      </c>
      <c r="AB3" s="4"/>
      <c r="AC3" s="4">
        <f>M3-AA3+AB3+N3+Z3</f>
        <v>81434.355257645162</v>
      </c>
    </row>
    <row r="4" spans="1:29" x14ac:dyDescent="0.35">
      <c r="I4" s="4"/>
    </row>
    <row r="7" spans="1:29" x14ac:dyDescent="0.35">
      <c r="C7" t="s">
        <v>28</v>
      </c>
      <c r="D7" s="4">
        <f>SUM(D2:D6)</f>
        <v>170833</v>
      </c>
      <c r="I7" s="4">
        <f t="shared" ref="I7:AC7" si="1">SUM(I2:I6)</f>
        <v>78964.878387096775</v>
      </c>
      <c r="J7" s="4">
        <f t="shared" si="1"/>
        <v>39482.439193548387</v>
      </c>
      <c r="K7" s="4">
        <f t="shared" si="1"/>
        <v>2993.5483870967741</v>
      </c>
      <c r="L7" s="4">
        <f t="shared" si="1"/>
        <v>29322.955639903241</v>
      </c>
      <c r="M7" s="4">
        <f t="shared" si="1"/>
        <v>150763.82160764516</v>
      </c>
      <c r="N7" s="4">
        <f t="shared" si="1"/>
        <v>3600</v>
      </c>
      <c r="O7" s="4">
        <f t="shared" si="1"/>
        <v>0</v>
      </c>
      <c r="P7" s="4">
        <f t="shared" si="1"/>
        <v>400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150763.82160764516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3600</v>
      </c>
      <c r="Y7" s="4">
        <f t="shared" si="1"/>
        <v>0</v>
      </c>
      <c r="Z7" s="4">
        <f t="shared" si="1"/>
        <v>3798.2106504193544</v>
      </c>
      <c r="AA7" s="4">
        <f t="shared" si="1"/>
        <v>11398.210650419354</v>
      </c>
      <c r="AB7" s="4"/>
      <c r="AC7" s="5">
        <f t="shared" si="1"/>
        <v>146764.82160764516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C19" sqref="C19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16" bestFit="1" customWidth="1"/>
  </cols>
  <sheetData>
    <row r="1" spans="1:9" x14ac:dyDescent="0.35">
      <c r="A1" s="24" t="s">
        <v>1</v>
      </c>
      <c r="B1" s="24" t="s">
        <v>0</v>
      </c>
      <c r="C1" s="24" t="s">
        <v>21</v>
      </c>
      <c r="D1" s="25" t="s">
        <v>25</v>
      </c>
      <c r="E1" s="25" t="s">
        <v>53</v>
      </c>
      <c r="F1" s="25" t="s">
        <v>13</v>
      </c>
      <c r="G1" s="25" t="s">
        <v>40</v>
      </c>
      <c r="H1" s="25" t="s">
        <v>41</v>
      </c>
      <c r="I1" s="25" t="s">
        <v>123</v>
      </c>
    </row>
    <row r="2" spans="1:9" x14ac:dyDescent="0.35">
      <c r="A2" s="26" t="s">
        <v>36</v>
      </c>
      <c r="B2" s="27" t="s">
        <v>52</v>
      </c>
      <c r="C2" s="28">
        <v>46055</v>
      </c>
      <c r="D2" s="27">
        <v>80000</v>
      </c>
      <c r="E2" s="29">
        <f>D2/31*31</f>
        <v>80000</v>
      </c>
      <c r="F2" s="27">
        <v>0</v>
      </c>
      <c r="G2" s="27">
        <v>200</v>
      </c>
      <c r="H2" s="29">
        <f>E2-G2</f>
        <v>79800</v>
      </c>
      <c r="I2" s="29"/>
    </row>
    <row r="3" spans="1:9" x14ac:dyDescent="0.35">
      <c r="A3" s="26" t="s">
        <v>35</v>
      </c>
      <c r="B3" s="26" t="s">
        <v>38</v>
      </c>
      <c r="C3" s="28">
        <v>46055</v>
      </c>
      <c r="D3" s="27">
        <v>70000</v>
      </c>
      <c r="E3" s="29">
        <f>D3/31*31</f>
        <v>70000</v>
      </c>
      <c r="F3" s="27">
        <v>0</v>
      </c>
      <c r="G3" s="27">
        <v>200</v>
      </c>
      <c r="H3" s="29">
        <f>E3-G3</f>
        <v>69800</v>
      </c>
      <c r="I3" s="29"/>
    </row>
    <row r="4" spans="1:9" x14ac:dyDescent="0.35">
      <c r="A4" s="26" t="s">
        <v>46</v>
      </c>
      <c r="B4" s="26" t="s">
        <v>47</v>
      </c>
      <c r="C4" s="28">
        <v>46066</v>
      </c>
      <c r="D4" s="27">
        <v>60000</v>
      </c>
      <c r="E4" s="29">
        <f>D4/31*31</f>
        <v>60000</v>
      </c>
      <c r="F4" s="27">
        <v>0</v>
      </c>
      <c r="G4" s="27">
        <v>200</v>
      </c>
      <c r="H4" s="29">
        <f>E4-G4</f>
        <v>59800</v>
      </c>
      <c r="I4" s="29"/>
    </row>
    <row r="5" spans="1:9" x14ac:dyDescent="0.35">
      <c r="A5" s="26" t="s">
        <v>37</v>
      </c>
      <c r="B5" s="26" t="s">
        <v>39</v>
      </c>
      <c r="C5" s="28">
        <v>46072</v>
      </c>
      <c r="D5" s="27">
        <v>80000</v>
      </c>
      <c r="E5" s="29">
        <v>80000</v>
      </c>
      <c r="F5" s="27">
        <v>0</v>
      </c>
      <c r="G5" s="27">
        <v>200</v>
      </c>
      <c r="H5" s="29">
        <f>E5-G5</f>
        <v>79800</v>
      </c>
      <c r="I5" s="29"/>
    </row>
    <row r="6" spans="1:9" x14ac:dyDescent="0.35">
      <c r="A6" s="22" t="s">
        <v>98</v>
      </c>
      <c r="B6" s="23" t="s">
        <v>99</v>
      </c>
      <c r="C6" s="28">
        <v>46092</v>
      </c>
      <c r="D6" s="27">
        <v>20000</v>
      </c>
      <c r="E6" s="29">
        <f>D6/31*21</f>
        <v>13548.387096774193</v>
      </c>
      <c r="F6" s="27">
        <v>0</v>
      </c>
      <c r="G6" s="27">
        <v>200</v>
      </c>
      <c r="H6" s="29">
        <f>E6-G6</f>
        <v>13348.387096774193</v>
      </c>
      <c r="I6" s="29"/>
    </row>
    <row r="7" spans="1:9" x14ac:dyDescent="0.35">
      <c r="G7" s="1" t="s">
        <v>28</v>
      </c>
      <c r="H7" s="5">
        <f>SUM(H2:H6)</f>
        <v>302548.38709677418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F42"/>
  <sheetViews>
    <sheetView workbookViewId="0">
      <pane xSplit="3" ySplit="1" topLeftCell="D16" activePane="bottomRight" state="frozen"/>
      <selection pane="topRight" activeCell="D1" sqref="D1"/>
      <selection pane="bottomLeft" activeCell="A2" sqref="A2"/>
      <selection pane="bottomRight" activeCell="F25" sqref="F25"/>
    </sheetView>
  </sheetViews>
  <sheetFormatPr defaultRowHeight="14.5" x14ac:dyDescent="0.35"/>
  <cols>
    <col min="1" max="1" width="11.26953125" style="9" bestFit="1" customWidth="1"/>
    <col min="2" max="2" width="26.90625" style="9" customWidth="1"/>
    <col min="3" max="3" width="9.54296875" style="9" bestFit="1" customWidth="1"/>
    <col min="4" max="4" width="8.36328125" style="9" bestFit="1" customWidth="1"/>
    <col min="5" max="5" width="12.90625" style="9" bestFit="1" customWidth="1"/>
    <col min="6" max="6" width="9.08984375" style="9" bestFit="1" customWidth="1"/>
    <col min="7" max="7" width="8.81640625" style="9" bestFit="1" customWidth="1"/>
    <col min="8" max="8" width="5.36328125" style="9" customWidth="1"/>
    <col min="9" max="12" width="8.36328125" style="9" bestFit="1" customWidth="1"/>
    <col min="13" max="13" width="5.81640625" style="9" bestFit="1" customWidth="1"/>
    <col min="14" max="14" width="8.26953125" style="9" bestFit="1" customWidth="1"/>
    <col min="15" max="15" width="8.26953125" style="9" customWidth="1"/>
    <col min="16" max="16" width="15" style="9" bestFit="1" customWidth="1"/>
    <col min="17" max="17" width="13.36328125" style="9" bestFit="1" customWidth="1"/>
    <col min="18" max="18" width="16.90625" style="9" bestFit="1" customWidth="1"/>
    <col min="19" max="19" width="19" style="9" bestFit="1" customWidth="1"/>
    <col min="20" max="20" width="14.7265625" style="9" bestFit="1" customWidth="1"/>
    <col min="21" max="21" width="7.1796875" style="9" bestFit="1" customWidth="1"/>
    <col min="22" max="22" width="15.26953125" style="9" bestFit="1" customWidth="1"/>
    <col min="23" max="23" width="14.54296875" style="9" customWidth="1"/>
    <col min="24" max="24" width="12.1796875" style="9" bestFit="1" customWidth="1"/>
    <col min="25" max="25" width="5" style="9" bestFit="1" customWidth="1"/>
    <col min="26" max="26" width="13.453125" style="9" bestFit="1" customWidth="1"/>
    <col min="27" max="27" width="15.90625" style="9" bestFit="1" customWidth="1"/>
    <col min="28" max="28" width="16.6328125" style="9" bestFit="1" customWidth="1"/>
    <col min="29" max="29" width="18.7265625" style="9" bestFit="1" customWidth="1"/>
    <col min="30" max="30" width="14.7265625" style="9" bestFit="1" customWidth="1"/>
    <col min="31" max="31" width="15.26953125" style="9" bestFit="1" customWidth="1"/>
    <col min="32" max="32" width="16.54296875" style="9" bestFit="1" customWidth="1"/>
    <col min="33" max="16384" width="8.7265625" style="9"/>
  </cols>
  <sheetData>
    <row r="1" spans="1:32" x14ac:dyDescent="0.35">
      <c r="A1" s="7" t="s">
        <v>1</v>
      </c>
      <c r="B1" s="7" t="s">
        <v>0</v>
      </c>
      <c r="C1" s="7" t="s">
        <v>21</v>
      </c>
      <c r="D1" s="7" t="s">
        <v>25</v>
      </c>
      <c r="E1" s="8" t="s">
        <v>22</v>
      </c>
      <c r="F1" s="7" t="s">
        <v>23</v>
      </c>
      <c r="G1" s="7" t="s">
        <v>24</v>
      </c>
      <c r="H1" s="7"/>
      <c r="I1" s="7" t="s">
        <v>141</v>
      </c>
      <c r="J1" s="7" t="s">
        <v>2</v>
      </c>
      <c r="K1" s="7" t="s">
        <v>140</v>
      </c>
      <c r="L1" s="7" t="s">
        <v>3</v>
      </c>
      <c r="M1" s="7" t="s">
        <v>142</v>
      </c>
      <c r="N1" s="7" t="s">
        <v>143</v>
      </c>
      <c r="O1" s="7" t="s">
        <v>144</v>
      </c>
      <c r="P1" s="7" t="s">
        <v>5</v>
      </c>
      <c r="Q1" s="7" t="s">
        <v>54</v>
      </c>
      <c r="R1" s="7" t="s">
        <v>10</v>
      </c>
      <c r="S1" s="7" t="s">
        <v>11</v>
      </c>
      <c r="T1" s="7" t="s">
        <v>12</v>
      </c>
      <c r="U1" s="8" t="s">
        <v>6</v>
      </c>
      <c r="V1" s="8" t="s">
        <v>7</v>
      </c>
      <c r="W1" s="8" t="s">
        <v>8</v>
      </c>
      <c r="X1" s="8" t="s">
        <v>9</v>
      </c>
      <c r="Y1" s="7" t="s">
        <v>13</v>
      </c>
      <c r="Z1" s="7" t="s">
        <v>14</v>
      </c>
      <c r="AA1" s="7" t="s">
        <v>15</v>
      </c>
      <c r="AB1" s="7" t="s">
        <v>18</v>
      </c>
      <c r="AC1" s="7" t="s">
        <v>19</v>
      </c>
      <c r="AD1" s="7" t="s">
        <v>20</v>
      </c>
      <c r="AE1" s="7" t="s">
        <v>16</v>
      </c>
      <c r="AF1" s="7" t="s">
        <v>17</v>
      </c>
    </row>
    <row r="2" spans="1:32" x14ac:dyDescent="0.35">
      <c r="A2" s="10" t="s">
        <v>56</v>
      </c>
      <c r="B2" s="11" t="s">
        <v>57</v>
      </c>
      <c r="C2" s="12">
        <v>46083</v>
      </c>
      <c r="D2" s="13">
        <v>45000</v>
      </c>
      <c r="E2" s="14">
        <v>30</v>
      </c>
      <c r="F2" s="14">
        <v>30</v>
      </c>
      <c r="G2" s="14">
        <v>0</v>
      </c>
      <c r="H2" s="14"/>
      <c r="I2" s="15">
        <f>(+D2*49.99999%)/E2*E2</f>
        <v>22499.995499999997</v>
      </c>
      <c r="J2" s="15">
        <f t="shared" ref="J2:J21" si="0">(+D2*49.99999%)/E2*F2</f>
        <v>22499.995499999997</v>
      </c>
      <c r="K2" s="15">
        <f t="shared" ref="K2:L21" si="1">(I2*50%)</f>
        <v>11249.997749999999</v>
      </c>
      <c r="L2" s="15">
        <f t="shared" si="1"/>
        <v>11249.997749999999</v>
      </c>
      <c r="M2" s="15">
        <v>1600</v>
      </c>
      <c r="N2" s="15">
        <f t="shared" ref="N2:N21" si="2">(1600/E2)*F2</f>
        <v>1600</v>
      </c>
      <c r="O2" s="15">
        <f>D2-I2-K2-M2-AB2-AD2</f>
        <v>6767.7569664500043</v>
      </c>
      <c r="P2" s="15">
        <f t="shared" ref="P2:P21" si="3">(Q2-J2-L2-N2)</f>
        <v>6767.7569664500079</v>
      </c>
      <c r="Q2" s="15">
        <f>(D2-AB2)/E2*F2-AD2</f>
        <v>42117.750216450004</v>
      </c>
      <c r="R2" s="15">
        <f>IF($J2*0.12&gt;1800,1800,$J2*0.12)</f>
        <v>1800</v>
      </c>
      <c r="S2" s="15">
        <f>IF(Q2&lt;=21000,Q2*0.75%,0)</f>
        <v>0</v>
      </c>
      <c r="T2" s="15">
        <v>200</v>
      </c>
      <c r="U2" s="15">
        <v>0</v>
      </c>
      <c r="V2" s="15">
        <v>0</v>
      </c>
      <c r="W2" s="15">
        <v>0</v>
      </c>
      <c r="X2" s="15">
        <f t="shared" ref="X2:X21" si="4">Q2+U2+V2+W2</f>
        <v>42117.750216450004</v>
      </c>
      <c r="Y2" s="15">
        <v>0</v>
      </c>
      <c r="Z2" s="15">
        <v>0</v>
      </c>
      <c r="AA2" s="15">
        <v>0</v>
      </c>
      <c r="AB2" s="15">
        <f>IF($J2*0.12&gt;1800,1800,$J2*0.12)</f>
        <v>1800</v>
      </c>
      <c r="AC2" s="15">
        <v>0</v>
      </c>
      <c r="AD2" s="15">
        <f t="shared" ref="AD2:AD21" si="5">J2*4.81%</f>
        <v>1082.2497835499998</v>
      </c>
      <c r="AE2" s="15">
        <f t="shared" ref="AE2:AE21" si="6">R2+S2+T2+Z2+AA2+Y2+AB2+AC2+AD2</f>
        <v>4882.2497835499998</v>
      </c>
      <c r="AF2" s="15">
        <f>Q2-AE2+AD2+AB2</f>
        <v>40117.750216450004</v>
      </c>
    </row>
    <row r="3" spans="1:32" x14ac:dyDescent="0.35">
      <c r="A3" s="10" t="s">
        <v>58</v>
      </c>
      <c r="B3" s="11" t="s">
        <v>59</v>
      </c>
      <c r="C3" s="12">
        <v>46083</v>
      </c>
      <c r="D3" s="13">
        <v>45000</v>
      </c>
      <c r="E3" s="14">
        <v>30</v>
      </c>
      <c r="F3" s="14">
        <v>30</v>
      </c>
      <c r="G3" s="14">
        <v>0</v>
      </c>
      <c r="H3" s="14"/>
      <c r="I3" s="15">
        <f t="shared" ref="I3:I21" si="7">(+D3*49.99999%)/E3*E3</f>
        <v>22499.995499999997</v>
      </c>
      <c r="J3" s="15">
        <f t="shared" si="0"/>
        <v>22499.995499999997</v>
      </c>
      <c r="K3" s="15">
        <f t="shared" si="1"/>
        <v>11249.997749999999</v>
      </c>
      <c r="L3" s="15">
        <f t="shared" si="1"/>
        <v>11249.997749999999</v>
      </c>
      <c r="M3" s="15">
        <v>1600</v>
      </c>
      <c r="N3" s="15">
        <f t="shared" si="2"/>
        <v>1600</v>
      </c>
      <c r="O3" s="15">
        <f t="shared" ref="O3:O21" si="8">D3-I3-K3-M3-AB3-AD3</f>
        <v>6767.7569664500043</v>
      </c>
      <c r="P3" s="15">
        <f t="shared" si="3"/>
        <v>6767.7569664500079</v>
      </c>
      <c r="Q3" s="15">
        <f t="shared" ref="Q3:Q21" si="9">(D3-AB3)/E3*F3-AD3</f>
        <v>42117.750216450004</v>
      </c>
      <c r="R3" s="15">
        <f t="shared" ref="R3:R21" si="10">IF($J3*0.12&gt;1800,1800,$J3*0.12)</f>
        <v>1800</v>
      </c>
      <c r="S3" s="15">
        <f t="shared" ref="S3:S21" si="11">IF(Q3&lt;=21000,Q3*0.75%,0)</f>
        <v>0</v>
      </c>
      <c r="T3" s="15">
        <v>200</v>
      </c>
      <c r="U3" s="15">
        <v>0</v>
      </c>
      <c r="V3" s="15">
        <v>0</v>
      </c>
      <c r="W3" s="15">
        <v>0</v>
      </c>
      <c r="X3" s="15">
        <f t="shared" si="4"/>
        <v>42117.750216450004</v>
      </c>
      <c r="Y3" s="15">
        <v>0</v>
      </c>
      <c r="Z3" s="15">
        <v>0</v>
      </c>
      <c r="AA3" s="15">
        <v>0</v>
      </c>
      <c r="AB3" s="15">
        <f t="shared" ref="AB3:AB21" si="12">IF($J3*0.12&gt;1800,1800,$J3*0.12)</f>
        <v>1800</v>
      </c>
      <c r="AC3" s="15">
        <v>0</v>
      </c>
      <c r="AD3" s="15">
        <f t="shared" si="5"/>
        <v>1082.2497835499998</v>
      </c>
      <c r="AE3" s="15">
        <f t="shared" si="6"/>
        <v>4882.2497835499998</v>
      </c>
      <c r="AF3" s="15">
        <f t="shared" ref="AF3:AF21" si="13">Q3-AE3+AD3+AB3</f>
        <v>40117.750216450004</v>
      </c>
    </row>
    <row r="4" spans="1:32" x14ac:dyDescent="0.35">
      <c r="A4" s="10" t="s">
        <v>60</v>
      </c>
      <c r="B4" s="11" t="s">
        <v>61</v>
      </c>
      <c r="C4" s="12">
        <v>46083</v>
      </c>
      <c r="D4" s="13">
        <v>60000</v>
      </c>
      <c r="E4" s="14">
        <v>30</v>
      </c>
      <c r="F4" s="14">
        <v>30</v>
      </c>
      <c r="G4" s="14">
        <v>0</v>
      </c>
      <c r="H4" s="14"/>
      <c r="I4" s="15">
        <f t="shared" si="7"/>
        <v>29999.993999999995</v>
      </c>
      <c r="J4" s="15">
        <f t="shared" si="0"/>
        <v>29999.993999999995</v>
      </c>
      <c r="K4" s="15">
        <f t="shared" si="1"/>
        <v>14999.996999999998</v>
      </c>
      <c r="L4" s="15">
        <f t="shared" si="1"/>
        <v>14999.996999999998</v>
      </c>
      <c r="M4" s="15">
        <v>1600</v>
      </c>
      <c r="N4" s="15">
        <f t="shared" si="2"/>
        <v>1600</v>
      </c>
      <c r="O4" s="15">
        <f t="shared" si="8"/>
        <v>10157.009288600007</v>
      </c>
      <c r="P4" s="15">
        <f t="shared" si="3"/>
        <v>10157.009288600007</v>
      </c>
      <c r="Q4" s="15">
        <f t="shared" si="9"/>
        <v>56757.0002886</v>
      </c>
      <c r="R4" s="15">
        <f t="shared" si="10"/>
        <v>1800</v>
      </c>
      <c r="S4" s="15">
        <f t="shared" si="11"/>
        <v>0</v>
      </c>
      <c r="T4" s="15">
        <v>200</v>
      </c>
      <c r="U4" s="15">
        <v>0</v>
      </c>
      <c r="V4" s="15">
        <v>0</v>
      </c>
      <c r="W4" s="15">
        <v>0</v>
      </c>
      <c r="X4" s="15">
        <f t="shared" si="4"/>
        <v>56757.0002886</v>
      </c>
      <c r="Y4" s="15">
        <v>0</v>
      </c>
      <c r="Z4" s="15">
        <v>0</v>
      </c>
      <c r="AA4" s="15">
        <v>0</v>
      </c>
      <c r="AB4" s="15">
        <f t="shared" si="12"/>
        <v>1800</v>
      </c>
      <c r="AC4" s="15">
        <v>0</v>
      </c>
      <c r="AD4" s="15">
        <f t="shared" si="5"/>
        <v>1442.9997113999996</v>
      </c>
      <c r="AE4" s="15">
        <f t="shared" si="6"/>
        <v>5242.9997113999998</v>
      </c>
      <c r="AF4" s="15">
        <f t="shared" si="13"/>
        <v>54757.0002886</v>
      </c>
    </row>
    <row r="5" spans="1:32" x14ac:dyDescent="0.35">
      <c r="A5" s="10" t="s">
        <v>62</v>
      </c>
      <c r="B5" s="11" t="s">
        <v>63</v>
      </c>
      <c r="C5" s="12">
        <v>46083</v>
      </c>
      <c r="D5" s="13">
        <v>23000</v>
      </c>
      <c r="E5" s="14">
        <v>30</v>
      </c>
      <c r="F5" s="14">
        <v>30</v>
      </c>
      <c r="G5" s="14">
        <v>0</v>
      </c>
      <c r="H5" s="14"/>
      <c r="I5" s="15">
        <f t="shared" si="7"/>
        <v>11499.997699999998</v>
      </c>
      <c r="J5" s="15">
        <f t="shared" si="0"/>
        <v>11499.997699999998</v>
      </c>
      <c r="K5" s="15">
        <f t="shared" si="1"/>
        <v>5749.998849999999</v>
      </c>
      <c r="L5" s="15">
        <f t="shared" si="1"/>
        <v>5749.998849999999</v>
      </c>
      <c r="M5" s="15">
        <v>1600</v>
      </c>
      <c r="N5" s="15">
        <f t="shared" si="2"/>
        <v>1600</v>
      </c>
      <c r="O5" s="15">
        <f t="shared" si="8"/>
        <v>2216.8538366300031</v>
      </c>
      <c r="P5" s="15">
        <f t="shared" si="3"/>
        <v>2216.8538366300008</v>
      </c>
      <c r="Q5" s="15">
        <f t="shared" si="9"/>
        <v>21066.850386629998</v>
      </c>
      <c r="R5" s="15">
        <f t="shared" si="10"/>
        <v>1379.9997239999998</v>
      </c>
      <c r="S5" s="15">
        <f t="shared" si="11"/>
        <v>0</v>
      </c>
      <c r="T5" s="15">
        <v>150</v>
      </c>
      <c r="U5" s="15">
        <v>0</v>
      </c>
      <c r="V5" s="15">
        <v>0</v>
      </c>
      <c r="W5" s="15">
        <v>0</v>
      </c>
      <c r="X5" s="15">
        <f t="shared" si="4"/>
        <v>21066.850386629998</v>
      </c>
      <c r="Y5" s="15">
        <v>0</v>
      </c>
      <c r="Z5" s="15">
        <v>0</v>
      </c>
      <c r="AA5" s="15">
        <v>0</v>
      </c>
      <c r="AB5" s="15">
        <f t="shared" si="12"/>
        <v>1379.9997239999998</v>
      </c>
      <c r="AC5" s="15">
        <v>0</v>
      </c>
      <c r="AD5" s="15">
        <f t="shared" si="5"/>
        <v>553.14988936999987</v>
      </c>
      <c r="AE5" s="15">
        <f t="shared" si="6"/>
        <v>3463.1493373699996</v>
      </c>
      <c r="AF5" s="15">
        <f t="shared" si="13"/>
        <v>19536.85066263</v>
      </c>
    </row>
    <row r="6" spans="1:32" x14ac:dyDescent="0.35">
      <c r="A6" s="10" t="s">
        <v>64</v>
      </c>
      <c r="B6" s="11" t="s">
        <v>65</v>
      </c>
      <c r="C6" s="12">
        <v>46083</v>
      </c>
      <c r="D6" s="15">
        <v>50000</v>
      </c>
      <c r="E6" s="14">
        <v>30</v>
      </c>
      <c r="F6" s="14">
        <v>30</v>
      </c>
      <c r="G6" s="14">
        <v>0</v>
      </c>
      <c r="H6" s="14"/>
      <c r="I6" s="15">
        <f t="shared" si="7"/>
        <v>24999.994999999995</v>
      </c>
      <c r="J6" s="15">
        <f t="shared" si="0"/>
        <v>24999.994999999995</v>
      </c>
      <c r="K6" s="15">
        <f t="shared" si="1"/>
        <v>12499.997499999998</v>
      </c>
      <c r="L6" s="15">
        <f t="shared" si="1"/>
        <v>12499.997499999998</v>
      </c>
      <c r="M6" s="15">
        <v>1600</v>
      </c>
      <c r="N6" s="15">
        <f t="shared" si="2"/>
        <v>1600</v>
      </c>
      <c r="O6" s="15">
        <f t="shared" si="8"/>
        <v>7897.5077405000075</v>
      </c>
      <c r="P6" s="15">
        <f t="shared" si="3"/>
        <v>7897.5077405000047</v>
      </c>
      <c r="Q6" s="15">
        <f t="shared" si="9"/>
        <v>46997.500240499998</v>
      </c>
      <c r="R6" s="15">
        <f t="shared" si="10"/>
        <v>1800</v>
      </c>
      <c r="S6" s="15">
        <f t="shared" si="11"/>
        <v>0</v>
      </c>
      <c r="T6" s="15">
        <v>200</v>
      </c>
      <c r="U6" s="15">
        <v>0</v>
      </c>
      <c r="V6" s="15">
        <v>0</v>
      </c>
      <c r="W6" s="15">
        <v>0</v>
      </c>
      <c r="X6" s="15">
        <f t="shared" si="4"/>
        <v>46997.500240499998</v>
      </c>
      <c r="Y6" s="15">
        <v>0</v>
      </c>
      <c r="Z6" s="15">
        <v>0</v>
      </c>
      <c r="AA6" s="15">
        <v>0</v>
      </c>
      <c r="AB6" s="15">
        <f t="shared" si="12"/>
        <v>1800</v>
      </c>
      <c r="AC6" s="15">
        <v>0</v>
      </c>
      <c r="AD6" s="15">
        <f t="shared" si="5"/>
        <v>1202.4997594999998</v>
      </c>
      <c r="AE6" s="15">
        <f t="shared" si="6"/>
        <v>5002.4997594999995</v>
      </c>
      <c r="AF6" s="15">
        <f t="shared" si="13"/>
        <v>44997.500240499998</v>
      </c>
    </row>
    <row r="7" spans="1:32" x14ac:dyDescent="0.35">
      <c r="A7" s="10" t="s">
        <v>66</v>
      </c>
      <c r="B7" s="11" t="s">
        <v>67</v>
      </c>
      <c r="C7" s="12">
        <v>46083</v>
      </c>
      <c r="D7" s="13">
        <v>45000</v>
      </c>
      <c r="E7" s="14">
        <v>30</v>
      </c>
      <c r="F7" s="14">
        <v>30</v>
      </c>
      <c r="G7" s="14">
        <v>0</v>
      </c>
      <c r="H7" s="14"/>
      <c r="I7" s="15">
        <f t="shared" si="7"/>
        <v>22499.995499999997</v>
      </c>
      <c r="J7" s="15">
        <f t="shared" si="0"/>
        <v>22499.995499999997</v>
      </c>
      <c r="K7" s="15">
        <f t="shared" si="1"/>
        <v>11249.997749999999</v>
      </c>
      <c r="L7" s="15">
        <f t="shared" si="1"/>
        <v>11249.997749999999</v>
      </c>
      <c r="M7" s="15">
        <v>1600</v>
      </c>
      <c r="N7" s="15">
        <f t="shared" si="2"/>
        <v>1600</v>
      </c>
      <c r="O7" s="15">
        <f t="shared" si="8"/>
        <v>6767.7569664500043</v>
      </c>
      <c r="P7" s="15">
        <f t="shared" si="3"/>
        <v>6767.7569664500079</v>
      </c>
      <c r="Q7" s="15">
        <f t="shared" si="9"/>
        <v>42117.750216450004</v>
      </c>
      <c r="R7" s="15">
        <f t="shared" si="10"/>
        <v>1800</v>
      </c>
      <c r="S7" s="15">
        <f t="shared" si="11"/>
        <v>0</v>
      </c>
      <c r="T7" s="15">
        <v>200</v>
      </c>
      <c r="U7" s="15">
        <v>0</v>
      </c>
      <c r="V7" s="15">
        <v>0</v>
      </c>
      <c r="W7" s="15">
        <v>0</v>
      </c>
      <c r="X7" s="15">
        <f t="shared" si="4"/>
        <v>42117.750216450004</v>
      </c>
      <c r="Y7" s="15">
        <v>0</v>
      </c>
      <c r="Z7" s="15">
        <v>0</v>
      </c>
      <c r="AA7" s="15">
        <v>0</v>
      </c>
      <c r="AB7" s="15">
        <f t="shared" si="12"/>
        <v>1800</v>
      </c>
      <c r="AC7" s="15">
        <v>0</v>
      </c>
      <c r="AD7" s="15">
        <f t="shared" si="5"/>
        <v>1082.2497835499998</v>
      </c>
      <c r="AE7" s="15">
        <f t="shared" si="6"/>
        <v>4882.2497835499998</v>
      </c>
      <c r="AF7" s="15">
        <f t="shared" si="13"/>
        <v>40117.750216450004</v>
      </c>
    </row>
    <row r="8" spans="1:32" x14ac:dyDescent="0.35">
      <c r="A8" s="10" t="s">
        <v>68</v>
      </c>
      <c r="B8" s="11" t="s">
        <v>69</v>
      </c>
      <c r="C8" s="12">
        <v>46083</v>
      </c>
      <c r="D8" s="13">
        <v>45000</v>
      </c>
      <c r="E8" s="14">
        <v>30</v>
      </c>
      <c r="F8" s="14">
        <v>30</v>
      </c>
      <c r="G8" s="14">
        <v>0</v>
      </c>
      <c r="H8" s="14"/>
      <c r="I8" s="15">
        <f t="shared" si="7"/>
        <v>22499.995499999997</v>
      </c>
      <c r="J8" s="15">
        <f t="shared" si="0"/>
        <v>22499.995499999997</v>
      </c>
      <c r="K8" s="15">
        <f t="shared" si="1"/>
        <v>11249.997749999999</v>
      </c>
      <c r="L8" s="15">
        <f t="shared" si="1"/>
        <v>11249.997749999999</v>
      </c>
      <c r="M8" s="15">
        <v>1600</v>
      </c>
      <c r="N8" s="15">
        <f t="shared" si="2"/>
        <v>1600</v>
      </c>
      <c r="O8" s="15">
        <f t="shared" si="8"/>
        <v>6767.7569664500043</v>
      </c>
      <c r="P8" s="15">
        <f t="shared" si="3"/>
        <v>6767.7569664500079</v>
      </c>
      <c r="Q8" s="15">
        <f t="shared" si="9"/>
        <v>42117.750216450004</v>
      </c>
      <c r="R8" s="15">
        <f t="shared" si="10"/>
        <v>1800</v>
      </c>
      <c r="S8" s="15">
        <f t="shared" si="11"/>
        <v>0</v>
      </c>
      <c r="T8" s="15">
        <v>200</v>
      </c>
      <c r="U8" s="15">
        <v>0</v>
      </c>
      <c r="V8" s="15">
        <v>0</v>
      </c>
      <c r="W8" s="15">
        <v>0</v>
      </c>
      <c r="X8" s="15">
        <f t="shared" si="4"/>
        <v>42117.750216450004</v>
      </c>
      <c r="Y8" s="15">
        <v>0</v>
      </c>
      <c r="Z8" s="15">
        <v>0</v>
      </c>
      <c r="AA8" s="15">
        <v>0</v>
      </c>
      <c r="AB8" s="15">
        <f t="shared" si="12"/>
        <v>1800</v>
      </c>
      <c r="AC8" s="15">
        <v>0</v>
      </c>
      <c r="AD8" s="15">
        <f t="shared" si="5"/>
        <v>1082.2497835499998</v>
      </c>
      <c r="AE8" s="15">
        <f t="shared" si="6"/>
        <v>4882.2497835499998</v>
      </c>
      <c r="AF8" s="15">
        <f t="shared" si="13"/>
        <v>40117.750216450004</v>
      </c>
    </row>
    <row r="9" spans="1:32" x14ac:dyDescent="0.35">
      <c r="A9" s="10" t="s">
        <v>70</v>
      </c>
      <c r="B9" s="11" t="s">
        <v>71</v>
      </c>
      <c r="C9" s="12">
        <v>46083</v>
      </c>
      <c r="D9" s="13">
        <v>45000</v>
      </c>
      <c r="E9" s="14">
        <v>30</v>
      </c>
      <c r="F9" s="14">
        <v>30</v>
      </c>
      <c r="G9" s="14">
        <v>0</v>
      </c>
      <c r="H9" s="14"/>
      <c r="I9" s="15">
        <f t="shared" si="7"/>
        <v>22499.995499999997</v>
      </c>
      <c r="J9" s="15">
        <f t="shared" si="0"/>
        <v>22499.995499999997</v>
      </c>
      <c r="K9" s="15">
        <f t="shared" si="1"/>
        <v>11249.997749999999</v>
      </c>
      <c r="L9" s="15">
        <f t="shared" si="1"/>
        <v>11249.997749999999</v>
      </c>
      <c r="M9" s="15">
        <v>1600</v>
      </c>
      <c r="N9" s="15">
        <f t="shared" si="2"/>
        <v>1600</v>
      </c>
      <c r="O9" s="15">
        <f t="shared" si="8"/>
        <v>6767.7569664500043</v>
      </c>
      <c r="P9" s="15">
        <f t="shared" si="3"/>
        <v>6767.7569664500079</v>
      </c>
      <c r="Q9" s="15">
        <f t="shared" si="9"/>
        <v>42117.750216450004</v>
      </c>
      <c r="R9" s="15">
        <f t="shared" si="10"/>
        <v>1800</v>
      </c>
      <c r="S9" s="15">
        <f t="shared" si="11"/>
        <v>0</v>
      </c>
      <c r="T9" s="15">
        <v>200</v>
      </c>
      <c r="U9" s="15">
        <v>0</v>
      </c>
      <c r="V9" s="15">
        <v>0</v>
      </c>
      <c r="W9" s="15">
        <v>0</v>
      </c>
      <c r="X9" s="15">
        <f t="shared" si="4"/>
        <v>42117.750216450004</v>
      </c>
      <c r="Y9" s="15">
        <v>0</v>
      </c>
      <c r="Z9" s="15">
        <v>0</v>
      </c>
      <c r="AA9" s="15">
        <v>0</v>
      </c>
      <c r="AB9" s="15">
        <f t="shared" si="12"/>
        <v>1800</v>
      </c>
      <c r="AC9" s="15">
        <v>0</v>
      </c>
      <c r="AD9" s="15">
        <f t="shared" si="5"/>
        <v>1082.2497835499998</v>
      </c>
      <c r="AE9" s="15">
        <f t="shared" si="6"/>
        <v>4882.2497835499998</v>
      </c>
      <c r="AF9" s="15">
        <f t="shared" si="13"/>
        <v>40117.750216450004</v>
      </c>
    </row>
    <row r="10" spans="1:32" x14ac:dyDescent="0.35">
      <c r="A10" s="10" t="s">
        <v>72</v>
      </c>
      <c r="B10" s="11" t="s">
        <v>73</v>
      </c>
      <c r="C10" s="12">
        <v>46083</v>
      </c>
      <c r="D10" s="13">
        <v>45000</v>
      </c>
      <c r="E10" s="14">
        <v>30</v>
      </c>
      <c r="F10" s="14">
        <v>30</v>
      </c>
      <c r="G10" s="14">
        <v>0</v>
      </c>
      <c r="H10" s="14"/>
      <c r="I10" s="15">
        <f t="shared" si="7"/>
        <v>22499.995499999997</v>
      </c>
      <c r="J10" s="15">
        <f t="shared" si="0"/>
        <v>22499.995499999997</v>
      </c>
      <c r="K10" s="15">
        <f t="shared" si="1"/>
        <v>11249.997749999999</v>
      </c>
      <c r="L10" s="15">
        <f t="shared" si="1"/>
        <v>11249.997749999999</v>
      </c>
      <c r="M10" s="15">
        <v>1600</v>
      </c>
      <c r="N10" s="15">
        <f t="shared" si="2"/>
        <v>1600</v>
      </c>
      <c r="O10" s="15">
        <f t="shared" si="8"/>
        <v>6767.7569664500043</v>
      </c>
      <c r="P10" s="15">
        <f t="shared" si="3"/>
        <v>6767.7569664500079</v>
      </c>
      <c r="Q10" s="15">
        <f t="shared" si="9"/>
        <v>42117.750216450004</v>
      </c>
      <c r="R10" s="15">
        <f t="shared" si="10"/>
        <v>1800</v>
      </c>
      <c r="S10" s="15">
        <f t="shared" si="11"/>
        <v>0</v>
      </c>
      <c r="T10" s="15">
        <v>200</v>
      </c>
      <c r="U10" s="15">
        <v>0</v>
      </c>
      <c r="V10" s="15">
        <v>0</v>
      </c>
      <c r="W10" s="15">
        <v>0</v>
      </c>
      <c r="X10" s="15">
        <f t="shared" si="4"/>
        <v>42117.750216450004</v>
      </c>
      <c r="Y10" s="15">
        <v>0</v>
      </c>
      <c r="Z10" s="15">
        <v>0</v>
      </c>
      <c r="AA10" s="15">
        <v>0</v>
      </c>
      <c r="AB10" s="15">
        <f t="shared" si="12"/>
        <v>1800</v>
      </c>
      <c r="AC10" s="15">
        <v>0</v>
      </c>
      <c r="AD10" s="15">
        <f t="shared" si="5"/>
        <v>1082.2497835499998</v>
      </c>
      <c r="AE10" s="15">
        <f t="shared" si="6"/>
        <v>4882.2497835499998</v>
      </c>
      <c r="AF10" s="15">
        <f t="shared" si="13"/>
        <v>40117.750216450004</v>
      </c>
    </row>
    <row r="11" spans="1:32" x14ac:dyDescent="0.35">
      <c r="A11" s="10" t="s">
        <v>74</v>
      </c>
      <c r="B11" s="11" t="s">
        <v>75</v>
      </c>
      <c r="C11" s="12">
        <v>46083</v>
      </c>
      <c r="D11" s="13">
        <v>50000</v>
      </c>
      <c r="E11" s="14">
        <v>30</v>
      </c>
      <c r="F11" s="14">
        <v>30</v>
      </c>
      <c r="G11" s="14">
        <v>0</v>
      </c>
      <c r="H11" s="14"/>
      <c r="I11" s="15">
        <f t="shared" si="7"/>
        <v>24999.994999999995</v>
      </c>
      <c r="J11" s="15">
        <f t="shared" si="0"/>
        <v>24999.994999999995</v>
      </c>
      <c r="K11" s="15">
        <f t="shared" si="1"/>
        <v>12499.997499999998</v>
      </c>
      <c r="L11" s="15">
        <f t="shared" si="1"/>
        <v>12499.997499999998</v>
      </c>
      <c r="M11" s="15">
        <v>1600</v>
      </c>
      <c r="N11" s="15">
        <f t="shared" si="2"/>
        <v>1600</v>
      </c>
      <c r="O11" s="15">
        <f t="shared" si="8"/>
        <v>7897.5077405000075</v>
      </c>
      <c r="P11" s="15">
        <f t="shared" si="3"/>
        <v>7897.5077405000047</v>
      </c>
      <c r="Q11" s="15">
        <f t="shared" si="9"/>
        <v>46997.500240499998</v>
      </c>
      <c r="R11" s="15">
        <f t="shared" si="10"/>
        <v>1800</v>
      </c>
      <c r="S11" s="15">
        <f t="shared" si="11"/>
        <v>0</v>
      </c>
      <c r="T11" s="15">
        <v>200</v>
      </c>
      <c r="U11" s="15">
        <v>0</v>
      </c>
      <c r="V11" s="15">
        <v>0</v>
      </c>
      <c r="W11" s="15">
        <v>0</v>
      </c>
      <c r="X11" s="15">
        <f t="shared" si="4"/>
        <v>46997.500240499998</v>
      </c>
      <c r="Y11" s="15">
        <v>0</v>
      </c>
      <c r="Z11" s="15">
        <v>0</v>
      </c>
      <c r="AA11" s="15">
        <v>0</v>
      </c>
      <c r="AB11" s="15">
        <f t="shared" si="12"/>
        <v>1800</v>
      </c>
      <c r="AC11" s="15">
        <v>0</v>
      </c>
      <c r="AD11" s="15">
        <f t="shared" si="5"/>
        <v>1202.4997594999998</v>
      </c>
      <c r="AE11" s="15">
        <f t="shared" si="6"/>
        <v>5002.4997594999995</v>
      </c>
      <c r="AF11" s="15">
        <f t="shared" si="13"/>
        <v>44997.500240499998</v>
      </c>
    </row>
    <row r="12" spans="1:32" x14ac:dyDescent="0.35">
      <c r="A12" s="10" t="s">
        <v>76</v>
      </c>
      <c r="B12" s="11" t="s">
        <v>77</v>
      </c>
      <c r="C12" s="12">
        <v>46083</v>
      </c>
      <c r="D12" s="13">
        <v>50000</v>
      </c>
      <c r="E12" s="14">
        <v>30</v>
      </c>
      <c r="F12" s="14">
        <v>30</v>
      </c>
      <c r="G12" s="14">
        <v>0</v>
      </c>
      <c r="H12" s="14"/>
      <c r="I12" s="15">
        <f t="shared" si="7"/>
        <v>24999.994999999995</v>
      </c>
      <c r="J12" s="15">
        <f t="shared" si="0"/>
        <v>24999.994999999995</v>
      </c>
      <c r="K12" s="15">
        <f t="shared" si="1"/>
        <v>12499.997499999998</v>
      </c>
      <c r="L12" s="15">
        <f t="shared" si="1"/>
        <v>12499.997499999998</v>
      </c>
      <c r="M12" s="15">
        <v>1600</v>
      </c>
      <c r="N12" s="15">
        <f t="shared" si="2"/>
        <v>1600</v>
      </c>
      <c r="O12" s="15">
        <f t="shared" si="8"/>
        <v>7897.5077405000075</v>
      </c>
      <c r="P12" s="15">
        <f t="shared" si="3"/>
        <v>7897.5077405000047</v>
      </c>
      <c r="Q12" s="15">
        <f t="shared" si="9"/>
        <v>46997.500240499998</v>
      </c>
      <c r="R12" s="15">
        <f t="shared" si="10"/>
        <v>1800</v>
      </c>
      <c r="S12" s="15">
        <f t="shared" si="11"/>
        <v>0</v>
      </c>
      <c r="T12" s="15">
        <v>200</v>
      </c>
      <c r="U12" s="15">
        <v>0</v>
      </c>
      <c r="V12" s="15">
        <v>0</v>
      </c>
      <c r="W12" s="15">
        <v>0</v>
      </c>
      <c r="X12" s="15">
        <f t="shared" si="4"/>
        <v>46997.500240499998</v>
      </c>
      <c r="Y12" s="15">
        <v>0</v>
      </c>
      <c r="Z12" s="15">
        <v>0</v>
      </c>
      <c r="AA12" s="15">
        <v>0</v>
      </c>
      <c r="AB12" s="15">
        <f t="shared" si="12"/>
        <v>1800</v>
      </c>
      <c r="AC12" s="15">
        <v>0</v>
      </c>
      <c r="AD12" s="15">
        <f t="shared" si="5"/>
        <v>1202.4997594999998</v>
      </c>
      <c r="AE12" s="15">
        <f t="shared" si="6"/>
        <v>5002.4997594999995</v>
      </c>
      <c r="AF12" s="15">
        <f t="shared" si="13"/>
        <v>44997.500240499998</v>
      </c>
    </row>
    <row r="13" spans="1:32" x14ac:dyDescent="0.35">
      <c r="A13" s="10" t="s">
        <v>78</v>
      </c>
      <c r="B13" s="11" t="s">
        <v>79</v>
      </c>
      <c r="C13" s="12">
        <v>46083</v>
      </c>
      <c r="D13" s="13">
        <v>60000</v>
      </c>
      <c r="E13" s="14">
        <v>30</v>
      </c>
      <c r="F13" s="14">
        <v>30</v>
      </c>
      <c r="G13" s="14">
        <v>0</v>
      </c>
      <c r="H13" s="14"/>
      <c r="I13" s="15">
        <f t="shared" si="7"/>
        <v>29999.993999999995</v>
      </c>
      <c r="J13" s="15">
        <f t="shared" si="0"/>
        <v>29999.993999999995</v>
      </c>
      <c r="K13" s="15">
        <f t="shared" si="1"/>
        <v>14999.996999999998</v>
      </c>
      <c r="L13" s="15">
        <f t="shared" si="1"/>
        <v>14999.996999999998</v>
      </c>
      <c r="M13" s="15">
        <v>1600</v>
      </c>
      <c r="N13" s="15">
        <f t="shared" si="2"/>
        <v>1600</v>
      </c>
      <c r="O13" s="15">
        <f t="shared" si="8"/>
        <v>10157.009288600007</v>
      </c>
      <c r="P13" s="15">
        <f t="shared" si="3"/>
        <v>10157.009288600007</v>
      </c>
      <c r="Q13" s="15">
        <f t="shared" si="9"/>
        <v>56757.0002886</v>
      </c>
      <c r="R13" s="15">
        <f t="shared" si="10"/>
        <v>1800</v>
      </c>
      <c r="S13" s="15">
        <f t="shared" si="11"/>
        <v>0</v>
      </c>
      <c r="T13" s="15">
        <v>200</v>
      </c>
      <c r="U13" s="15">
        <v>0</v>
      </c>
      <c r="V13" s="15">
        <v>0</v>
      </c>
      <c r="W13" s="15">
        <v>0</v>
      </c>
      <c r="X13" s="15">
        <f t="shared" si="4"/>
        <v>56757.0002886</v>
      </c>
      <c r="Y13" s="15">
        <v>0</v>
      </c>
      <c r="Z13" s="15">
        <v>0</v>
      </c>
      <c r="AA13" s="15">
        <v>0</v>
      </c>
      <c r="AB13" s="15">
        <f t="shared" si="12"/>
        <v>1800</v>
      </c>
      <c r="AC13" s="15">
        <v>0</v>
      </c>
      <c r="AD13" s="15">
        <f t="shared" si="5"/>
        <v>1442.9997113999996</v>
      </c>
      <c r="AE13" s="15">
        <f t="shared" si="6"/>
        <v>5242.9997113999998</v>
      </c>
      <c r="AF13" s="15">
        <f t="shared" si="13"/>
        <v>54757.0002886</v>
      </c>
    </row>
    <row r="14" spans="1:32" x14ac:dyDescent="0.35">
      <c r="A14" s="10" t="s">
        <v>80</v>
      </c>
      <c r="B14" s="11" t="s">
        <v>81</v>
      </c>
      <c r="C14" s="12">
        <v>46083</v>
      </c>
      <c r="D14" s="13">
        <v>60000</v>
      </c>
      <c r="E14" s="14">
        <v>30</v>
      </c>
      <c r="F14" s="14">
        <v>30</v>
      </c>
      <c r="G14" s="14">
        <v>0</v>
      </c>
      <c r="H14" s="14"/>
      <c r="I14" s="15">
        <f t="shared" si="7"/>
        <v>29999.993999999995</v>
      </c>
      <c r="J14" s="15">
        <f t="shared" si="0"/>
        <v>29999.993999999995</v>
      </c>
      <c r="K14" s="15">
        <f t="shared" si="1"/>
        <v>14999.996999999998</v>
      </c>
      <c r="L14" s="15">
        <f t="shared" si="1"/>
        <v>14999.996999999998</v>
      </c>
      <c r="M14" s="15">
        <v>1600</v>
      </c>
      <c r="N14" s="15">
        <f t="shared" si="2"/>
        <v>1600</v>
      </c>
      <c r="O14" s="15">
        <f t="shared" si="8"/>
        <v>10157.009288600007</v>
      </c>
      <c r="P14" s="15">
        <f t="shared" si="3"/>
        <v>10157.009288600007</v>
      </c>
      <c r="Q14" s="15">
        <f t="shared" si="9"/>
        <v>56757.0002886</v>
      </c>
      <c r="R14" s="15">
        <f t="shared" si="10"/>
        <v>1800</v>
      </c>
      <c r="S14" s="15">
        <f t="shared" si="11"/>
        <v>0</v>
      </c>
      <c r="T14" s="15">
        <v>200</v>
      </c>
      <c r="U14" s="15">
        <v>0</v>
      </c>
      <c r="V14" s="15">
        <v>0</v>
      </c>
      <c r="W14" s="15">
        <v>0</v>
      </c>
      <c r="X14" s="15">
        <f t="shared" si="4"/>
        <v>56757.0002886</v>
      </c>
      <c r="Y14" s="15">
        <v>0</v>
      </c>
      <c r="Z14" s="15">
        <v>0</v>
      </c>
      <c r="AA14" s="15">
        <v>0</v>
      </c>
      <c r="AB14" s="15">
        <f t="shared" si="12"/>
        <v>1800</v>
      </c>
      <c r="AC14" s="15">
        <v>0</v>
      </c>
      <c r="AD14" s="15">
        <f t="shared" si="5"/>
        <v>1442.9997113999996</v>
      </c>
      <c r="AE14" s="15">
        <f t="shared" si="6"/>
        <v>5242.9997113999998</v>
      </c>
      <c r="AF14" s="15">
        <f t="shared" si="13"/>
        <v>54757.0002886</v>
      </c>
    </row>
    <row r="15" spans="1:32" x14ac:dyDescent="0.35">
      <c r="A15" s="10" t="s">
        <v>82</v>
      </c>
      <c r="B15" s="11" t="s">
        <v>83</v>
      </c>
      <c r="C15" s="12">
        <v>46083</v>
      </c>
      <c r="D15" s="13">
        <v>15000</v>
      </c>
      <c r="E15" s="14">
        <v>30</v>
      </c>
      <c r="F15" s="14">
        <v>30</v>
      </c>
      <c r="G15" s="14">
        <v>0</v>
      </c>
      <c r="H15" s="14"/>
      <c r="I15" s="15">
        <f t="shared" si="7"/>
        <v>7499.9984999999988</v>
      </c>
      <c r="J15" s="15">
        <f t="shared" si="0"/>
        <v>7499.9984999999988</v>
      </c>
      <c r="K15" s="15">
        <f t="shared" si="1"/>
        <v>3749.9992499999994</v>
      </c>
      <c r="L15" s="15">
        <f t="shared" si="1"/>
        <v>3749.9992499999994</v>
      </c>
      <c r="M15" s="15">
        <v>1600</v>
      </c>
      <c r="N15" s="15">
        <f t="shared" si="2"/>
        <v>1600</v>
      </c>
      <c r="O15" s="15">
        <f t="shared" si="8"/>
        <v>889.2525021500021</v>
      </c>
      <c r="P15" s="15">
        <f t="shared" si="3"/>
        <v>889.25250215000278</v>
      </c>
      <c r="Q15" s="15">
        <f t="shared" si="9"/>
        <v>13739.250252150001</v>
      </c>
      <c r="R15" s="15">
        <f t="shared" si="10"/>
        <v>899.99981999999977</v>
      </c>
      <c r="S15" s="15">
        <f t="shared" si="11"/>
        <v>103.044376891125</v>
      </c>
      <c r="T15" s="15">
        <v>150</v>
      </c>
      <c r="U15" s="15">
        <v>0</v>
      </c>
      <c r="V15" s="15">
        <v>0</v>
      </c>
      <c r="W15" s="15">
        <v>0</v>
      </c>
      <c r="X15" s="15">
        <f t="shared" si="4"/>
        <v>13739.250252150001</v>
      </c>
      <c r="Y15" s="15">
        <v>0</v>
      </c>
      <c r="Z15" s="15">
        <v>0</v>
      </c>
      <c r="AA15" s="15">
        <v>0</v>
      </c>
      <c r="AB15" s="15">
        <f t="shared" si="12"/>
        <v>899.99981999999977</v>
      </c>
      <c r="AC15" s="15">
        <v>0</v>
      </c>
      <c r="AD15" s="15">
        <f t="shared" si="5"/>
        <v>360.74992784999989</v>
      </c>
      <c r="AE15" s="15">
        <f t="shared" si="6"/>
        <v>2413.7939447411245</v>
      </c>
      <c r="AF15" s="15">
        <f t="shared" si="13"/>
        <v>12586.206055258875</v>
      </c>
    </row>
    <row r="16" spans="1:32" x14ac:dyDescent="0.35">
      <c r="A16" s="10" t="s">
        <v>84</v>
      </c>
      <c r="B16" s="11" t="s">
        <v>85</v>
      </c>
      <c r="C16" s="12">
        <v>46083</v>
      </c>
      <c r="D16" s="13">
        <v>35000</v>
      </c>
      <c r="E16" s="14">
        <v>30</v>
      </c>
      <c r="F16" s="14">
        <v>30</v>
      </c>
      <c r="G16" s="14">
        <v>0</v>
      </c>
      <c r="H16" s="14"/>
      <c r="I16" s="15">
        <f t="shared" si="7"/>
        <v>17499.996499999997</v>
      </c>
      <c r="J16" s="15">
        <f t="shared" si="0"/>
        <v>17499.996499999997</v>
      </c>
      <c r="K16" s="15">
        <f t="shared" si="1"/>
        <v>8749.9982499999987</v>
      </c>
      <c r="L16" s="15">
        <f t="shared" si="1"/>
        <v>8749.9982499999987</v>
      </c>
      <c r="M16" s="15">
        <v>1600</v>
      </c>
      <c r="N16" s="15">
        <f t="shared" si="2"/>
        <v>1600</v>
      </c>
      <c r="O16" s="15">
        <f t="shared" si="8"/>
        <v>4508.2554183500042</v>
      </c>
      <c r="P16" s="15">
        <f t="shared" si="3"/>
        <v>4508.2554183500051</v>
      </c>
      <c r="Q16" s="15">
        <f t="shared" si="9"/>
        <v>32358.250168350001</v>
      </c>
      <c r="R16" s="15">
        <f t="shared" si="10"/>
        <v>1800</v>
      </c>
      <c r="S16" s="15">
        <f t="shared" si="11"/>
        <v>0</v>
      </c>
      <c r="T16" s="15">
        <v>200</v>
      </c>
      <c r="U16" s="15">
        <v>0</v>
      </c>
      <c r="V16" s="15">
        <v>0</v>
      </c>
      <c r="W16" s="15">
        <v>0</v>
      </c>
      <c r="X16" s="15">
        <f t="shared" si="4"/>
        <v>32358.250168350001</v>
      </c>
      <c r="Y16" s="15">
        <v>0</v>
      </c>
      <c r="Z16" s="15">
        <v>0</v>
      </c>
      <c r="AA16" s="15">
        <v>0</v>
      </c>
      <c r="AB16" s="15">
        <f t="shared" si="12"/>
        <v>1800</v>
      </c>
      <c r="AC16" s="15">
        <v>0</v>
      </c>
      <c r="AD16" s="15">
        <f t="shared" si="5"/>
        <v>841.74983164999981</v>
      </c>
      <c r="AE16" s="15">
        <f t="shared" si="6"/>
        <v>4641.7498316499996</v>
      </c>
      <c r="AF16" s="15">
        <f t="shared" si="13"/>
        <v>30358.250168350001</v>
      </c>
    </row>
    <row r="17" spans="1:32" x14ac:dyDescent="0.35">
      <c r="A17" s="10" t="s">
        <v>86</v>
      </c>
      <c r="B17" s="11" t="s">
        <v>87</v>
      </c>
      <c r="C17" s="12">
        <v>46083</v>
      </c>
      <c r="D17" s="13">
        <v>35000</v>
      </c>
      <c r="E17" s="14">
        <v>30</v>
      </c>
      <c r="F17" s="14">
        <v>30</v>
      </c>
      <c r="G17" s="14">
        <v>0</v>
      </c>
      <c r="H17" s="14"/>
      <c r="I17" s="15">
        <f t="shared" si="7"/>
        <v>17499.996499999997</v>
      </c>
      <c r="J17" s="15">
        <f t="shared" si="0"/>
        <v>17499.996499999997</v>
      </c>
      <c r="K17" s="15">
        <f t="shared" si="1"/>
        <v>8749.9982499999987</v>
      </c>
      <c r="L17" s="15">
        <f t="shared" si="1"/>
        <v>8749.9982499999987</v>
      </c>
      <c r="M17" s="15">
        <v>1600</v>
      </c>
      <c r="N17" s="15">
        <f t="shared" si="2"/>
        <v>1600</v>
      </c>
      <c r="O17" s="15">
        <f t="shared" si="8"/>
        <v>4508.2554183500042</v>
      </c>
      <c r="P17" s="15">
        <f t="shared" si="3"/>
        <v>4508.2554183500051</v>
      </c>
      <c r="Q17" s="15">
        <f t="shared" si="9"/>
        <v>32358.250168350001</v>
      </c>
      <c r="R17" s="15">
        <f t="shared" si="10"/>
        <v>1800</v>
      </c>
      <c r="S17" s="15">
        <f t="shared" si="11"/>
        <v>0</v>
      </c>
      <c r="T17" s="15">
        <v>200</v>
      </c>
      <c r="U17" s="15">
        <v>0</v>
      </c>
      <c r="V17" s="15">
        <v>0</v>
      </c>
      <c r="W17" s="15">
        <v>0</v>
      </c>
      <c r="X17" s="15">
        <f t="shared" si="4"/>
        <v>32358.250168350001</v>
      </c>
      <c r="Y17" s="15">
        <v>0</v>
      </c>
      <c r="Z17" s="15">
        <v>0</v>
      </c>
      <c r="AA17" s="15">
        <v>0</v>
      </c>
      <c r="AB17" s="15">
        <f t="shared" si="12"/>
        <v>1800</v>
      </c>
      <c r="AC17" s="15">
        <v>0</v>
      </c>
      <c r="AD17" s="15">
        <f t="shared" si="5"/>
        <v>841.74983164999981</v>
      </c>
      <c r="AE17" s="15">
        <f t="shared" si="6"/>
        <v>4641.7498316499996</v>
      </c>
      <c r="AF17" s="15">
        <f t="shared" si="13"/>
        <v>30358.250168350001</v>
      </c>
    </row>
    <row r="18" spans="1:32" x14ac:dyDescent="0.35">
      <c r="A18" s="10" t="s">
        <v>88</v>
      </c>
      <c r="B18" s="10" t="s">
        <v>89</v>
      </c>
      <c r="C18" s="12">
        <v>46083</v>
      </c>
      <c r="D18" s="13">
        <v>23000</v>
      </c>
      <c r="E18" s="14">
        <v>30</v>
      </c>
      <c r="F18" s="14">
        <v>30</v>
      </c>
      <c r="G18" s="14">
        <v>0</v>
      </c>
      <c r="H18" s="14"/>
      <c r="I18" s="15">
        <f t="shared" si="7"/>
        <v>11499.997699999998</v>
      </c>
      <c r="J18" s="15">
        <f t="shared" si="0"/>
        <v>11499.997699999998</v>
      </c>
      <c r="K18" s="15">
        <f t="shared" si="1"/>
        <v>5749.998849999999</v>
      </c>
      <c r="L18" s="15">
        <f t="shared" si="1"/>
        <v>5749.998849999999</v>
      </c>
      <c r="M18" s="15">
        <v>1600</v>
      </c>
      <c r="N18" s="15">
        <f t="shared" si="2"/>
        <v>1600</v>
      </c>
      <c r="O18" s="15">
        <f t="shared" si="8"/>
        <v>2216.8538366300031</v>
      </c>
      <c r="P18" s="15">
        <f t="shared" si="3"/>
        <v>2216.8538366300008</v>
      </c>
      <c r="Q18" s="15">
        <f t="shared" si="9"/>
        <v>21066.850386629998</v>
      </c>
      <c r="R18" s="15">
        <f t="shared" si="10"/>
        <v>1379.9997239999998</v>
      </c>
      <c r="S18" s="15">
        <f t="shared" si="11"/>
        <v>0</v>
      </c>
      <c r="T18" s="15">
        <v>150</v>
      </c>
      <c r="U18" s="15">
        <v>0</v>
      </c>
      <c r="V18" s="15">
        <v>0</v>
      </c>
      <c r="W18" s="15">
        <v>0</v>
      </c>
      <c r="X18" s="15">
        <f t="shared" si="4"/>
        <v>21066.850386629998</v>
      </c>
      <c r="Y18" s="15">
        <v>0</v>
      </c>
      <c r="Z18" s="15">
        <v>0</v>
      </c>
      <c r="AA18" s="15">
        <v>0</v>
      </c>
      <c r="AB18" s="15">
        <f t="shared" si="12"/>
        <v>1379.9997239999998</v>
      </c>
      <c r="AC18" s="15">
        <v>0</v>
      </c>
      <c r="AD18" s="15">
        <f t="shared" si="5"/>
        <v>553.14988936999987</v>
      </c>
      <c r="AE18" s="15">
        <f t="shared" si="6"/>
        <v>3463.1493373699996</v>
      </c>
      <c r="AF18" s="15">
        <f t="shared" si="13"/>
        <v>19536.85066263</v>
      </c>
    </row>
    <row r="19" spans="1:32" x14ac:dyDescent="0.35">
      <c r="A19" s="10" t="s">
        <v>90</v>
      </c>
      <c r="B19" s="10" t="s">
        <v>91</v>
      </c>
      <c r="C19" s="12">
        <v>46083</v>
      </c>
      <c r="D19" s="13">
        <v>35000</v>
      </c>
      <c r="E19" s="14">
        <v>30</v>
      </c>
      <c r="F19" s="14">
        <v>30</v>
      </c>
      <c r="G19" s="14">
        <v>0</v>
      </c>
      <c r="H19" s="14"/>
      <c r="I19" s="15">
        <f t="shared" si="7"/>
        <v>17499.996499999997</v>
      </c>
      <c r="J19" s="15">
        <f t="shared" si="0"/>
        <v>17499.996499999997</v>
      </c>
      <c r="K19" s="15">
        <f t="shared" si="1"/>
        <v>8749.9982499999987</v>
      </c>
      <c r="L19" s="15">
        <f t="shared" si="1"/>
        <v>8749.9982499999987</v>
      </c>
      <c r="M19" s="15">
        <v>1600</v>
      </c>
      <c r="N19" s="15">
        <f t="shared" si="2"/>
        <v>1600</v>
      </c>
      <c r="O19" s="15">
        <f t="shared" si="8"/>
        <v>4508.2554183500042</v>
      </c>
      <c r="P19" s="15">
        <f t="shared" si="3"/>
        <v>4508.2554183500051</v>
      </c>
      <c r="Q19" s="15">
        <f t="shared" si="9"/>
        <v>32358.250168350001</v>
      </c>
      <c r="R19" s="15">
        <f t="shared" si="10"/>
        <v>1800</v>
      </c>
      <c r="S19" s="15">
        <f t="shared" si="11"/>
        <v>0</v>
      </c>
      <c r="T19" s="15">
        <v>200</v>
      </c>
      <c r="U19" s="15">
        <v>0</v>
      </c>
      <c r="V19" s="15">
        <v>0</v>
      </c>
      <c r="W19" s="15">
        <v>0</v>
      </c>
      <c r="X19" s="15">
        <f t="shared" si="4"/>
        <v>32358.250168350001</v>
      </c>
      <c r="Y19" s="15">
        <v>0</v>
      </c>
      <c r="Z19" s="15">
        <v>0</v>
      </c>
      <c r="AA19" s="15">
        <v>0</v>
      </c>
      <c r="AB19" s="15">
        <f t="shared" si="12"/>
        <v>1800</v>
      </c>
      <c r="AC19" s="15">
        <v>0</v>
      </c>
      <c r="AD19" s="15">
        <f t="shared" si="5"/>
        <v>841.74983164999981</v>
      </c>
      <c r="AE19" s="15">
        <f t="shared" si="6"/>
        <v>4641.7498316499996</v>
      </c>
      <c r="AF19" s="15">
        <f t="shared" si="13"/>
        <v>30358.250168350001</v>
      </c>
    </row>
    <row r="20" spans="1:32" x14ac:dyDescent="0.35">
      <c r="A20" s="10" t="s">
        <v>92</v>
      </c>
      <c r="B20" s="10" t="s">
        <v>93</v>
      </c>
      <c r="C20" s="12">
        <v>46083</v>
      </c>
      <c r="D20" s="13">
        <v>60000</v>
      </c>
      <c r="E20" s="14">
        <v>30</v>
      </c>
      <c r="F20" s="14">
        <v>30</v>
      </c>
      <c r="G20" s="14">
        <v>0</v>
      </c>
      <c r="H20" s="14"/>
      <c r="I20" s="15">
        <f t="shared" si="7"/>
        <v>29999.993999999995</v>
      </c>
      <c r="J20" s="15">
        <f t="shared" si="0"/>
        <v>29999.993999999995</v>
      </c>
      <c r="K20" s="15">
        <f t="shared" si="1"/>
        <v>14999.996999999998</v>
      </c>
      <c r="L20" s="15">
        <f t="shared" si="1"/>
        <v>14999.996999999998</v>
      </c>
      <c r="M20" s="15">
        <v>1600</v>
      </c>
      <c r="N20" s="15">
        <f t="shared" si="2"/>
        <v>1600</v>
      </c>
      <c r="O20" s="15">
        <f t="shared" si="8"/>
        <v>10157.009288600007</v>
      </c>
      <c r="P20" s="15">
        <f t="shared" si="3"/>
        <v>10157.009288600007</v>
      </c>
      <c r="Q20" s="15">
        <f t="shared" si="9"/>
        <v>56757.0002886</v>
      </c>
      <c r="R20" s="15">
        <f t="shared" si="10"/>
        <v>1800</v>
      </c>
      <c r="S20" s="15">
        <f t="shared" si="11"/>
        <v>0</v>
      </c>
      <c r="T20" s="15">
        <v>200</v>
      </c>
      <c r="U20" s="15">
        <v>0</v>
      </c>
      <c r="V20" s="15">
        <v>0</v>
      </c>
      <c r="W20" s="15">
        <v>0</v>
      </c>
      <c r="X20" s="15">
        <f t="shared" si="4"/>
        <v>56757.0002886</v>
      </c>
      <c r="Y20" s="15">
        <v>0</v>
      </c>
      <c r="Z20" s="15">
        <v>0</v>
      </c>
      <c r="AA20" s="15">
        <v>0</v>
      </c>
      <c r="AB20" s="15">
        <f t="shared" si="12"/>
        <v>1800</v>
      </c>
      <c r="AC20" s="15">
        <v>0</v>
      </c>
      <c r="AD20" s="15">
        <f t="shared" si="5"/>
        <v>1442.9997113999996</v>
      </c>
      <c r="AE20" s="15">
        <f t="shared" si="6"/>
        <v>5242.9997113999998</v>
      </c>
      <c r="AF20" s="15">
        <f t="shared" si="13"/>
        <v>54757.0002886</v>
      </c>
    </row>
    <row r="21" spans="1:32" ht="22" customHeight="1" x14ac:dyDescent="0.35">
      <c r="A21" s="10" t="s">
        <v>94</v>
      </c>
      <c r="B21" s="10" t="s">
        <v>95</v>
      </c>
      <c r="C21" s="12">
        <v>46083</v>
      </c>
      <c r="D21" s="16">
        <v>60000</v>
      </c>
      <c r="E21" s="14">
        <v>30</v>
      </c>
      <c r="F21" s="14">
        <v>30</v>
      </c>
      <c r="G21" s="17">
        <v>0</v>
      </c>
      <c r="H21" s="17"/>
      <c r="I21" s="15">
        <f t="shared" si="7"/>
        <v>29999.993999999995</v>
      </c>
      <c r="J21" s="18">
        <f t="shared" si="0"/>
        <v>29999.993999999995</v>
      </c>
      <c r="K21" s="18">
        <f t="shared" si="1"/>
        <v>14999.996999999998</v>
      </c>
      <c r="L21" s="18">
        <f t="shared" si="1"/>
        <v>14999.996999999998</v>
      </c>
      <c r="M21" s="15">
        <v>1600</v>
      </c>
      <c r="N21" s="18">
        <f t="shared" si="2"/>
        <v>1600</v>
      </c>
      <c r="O21" s="15">
        <f t="shared" si="8"/>
        <v>10157.009288600007</v>
      </c>
      <c r="P21" s="18">
        <f t="shared" si="3"/>
        <v>10157.009288600007</v>
      </c>
      <c r="Q21" s="18">
        <f t="shared" si="9"/>
        <v>56757.0002886</v>
      </c>
      <c r="R21" s="15">
        <f t="shared" si="10"/>
        <v>1800</v>
      </c>
      <c r="S21" s="15">
        <f t="shared" si="11"/>
        <v>0</v>
      </c>
      <c r="T21" s="18">
        <v>200</v>
      </c>
      <c r="U21" s="18">
        <v>0</v>
      </c>
      <c r="V21" s="18">
        <v>0</v>
      </c>
      <c r="W21" s="18">
        <v>0</v>
      </c>
      <c r="X21" s="18">
        <f t="shared" si="4"/>
        <v>56757.0002886</v>
      </c>
      <c r="Y21" s="18">
        <v>0</v>
      </c>
      <c r="Z21" s="18">
        <v>0</v>
      </c>
      <c r="AA21" s="18">
        <v>0</v>
      </c>
      <c r="AB21" s="15">
        <f t="shared" si="12"/>
        <v>1800</v>
      </c>
      <c r="AC21" s="18">
        <v>0</v>
      </c>
      <c r="AD21" s="18">
        <f t="shared" si="5"/>
        <v>1442.9997113999996</v>
      </c>
      <c r="AE21" s="18">
        <f t="shared" si="6"/>
        <v>5242.9997113999998</v>
      </c>
      <c r="AF21" s="15">
        <f t="shared" si="13"/>
        <v>54757.0002886</v>
      </c>
    </row>
    <row r="22" spans="1:32" ht="22" customHeight="1" x14ac:dyDescent="0.35">
      <c r="A22" s="10" t="s">
        <v>180</v>
      </c>
      <c r="B22" s="10" t="s">
        <v>181</v>
      </c>
      <c r="C22" s="12">
        <v>46113</v>
      </c>
      <c r="D22" s="16"/>
      <c r="E22" s="14"/>
      <c r="F22" s="14"/>
      <c r="G22" s="17"/>
      <c r="H22" s="17"/>
      <c r="I22" s="15"/>
      <c r="J22" s="18"/>
      <c r="K22" s="18"/>
      <c r="L22" s="18"/>
      <c r="M22" s="15"/>
      <c r="N22" s="18"/>
      <c r="O22" s="15"/>
      <c r="P22" s="18"/>
      <c r="Q22" s="18"/>
      <c r="R22" s="15"/>
      <c r="S22" s="15"/>
      <c r="T22" s="18"/>
      <c r="U22" s="18"/>
      <c r="V22" s="18"/>
      <c r="W22" s="18"/>
      <c r="X22" s="18"/>
      <c r="Y22" s="18"/>
      <c r="Z22" s="18"/>
      <c r="AA22" s="18"/>
      <c r="AB22" s="15"/>
      <c r="AC22" s="18"/>
      <c r="AD22" s="18"/>
      <c r="AE22" s="18"/>
      <c r="AF22" s="15"/>
    </row>
    <row r="23" spans="1:32" ht="22" customHeight="1" x14ac:dyDescent="0.35">
      <c r="A23" s="10" t="s">
        <v>182</v>
      </c>
      <c r="B23" s="10" t="s">
        <v>183</v>
      </c>
      <c r="C23" s="12">
        <v>46113</v>
      </c>
      <c r="D23" s="16"/>
      <c r="E23" s="14"/>
      <c r="F23" s="14"/>
      <c r="G23" s="17"/>
      <c r="H23" s="17"/>
      <c r="I23" s="15"/>
      <c r="J23" s="18"/>
      <c r="K23" s="18"/>
      <c r="L23" s="18"/>
      <c r="M23" s="15"/>
      <c r="N23" s="18"/>
      <c r="O23" s="15"/>
      <c r="P23" s="18"/>
      <c r="Q23" s="18"/>
      <c r="R23" s="15"/>
      <c r="S23" s="15"/>
      <c r="T23" s="18"/>
      <c r="U23" s="18"/>
      <c r="V23" s="18"/>
      <c r="W23" s="18"/>
      <c r="X23" s="18"/>
      <c r="Y23" s="18"/>
      <c r="Z23" s="18"/>
      <c r="AA23" s="18"/>
      <c r="AB23" s="15"/>
      <c r="AC23" s="18"/>
      <c r="AD23" s="18"/>
      <c r="AE23" s="18"/>
      <c r="AF23" s="15"/>
    </row>
    <row r="24" spans="1:32" ht="22" customHeight="1" x14ac:dyDescent="0.35">
      <c r="A24" s="10" t="s">
        <v>184</v>
      </c>
      <c r="B24" s="10" t="s">
        <v>185</v>
      </c>
      <c r="C24" s="12">
        <v>46113</v>
      </c>
      <c r="D24" s="16"/>
      <c r="E24" s="14"/>
      <c r="F24" s="14"/>
      <c r="G24" s="17"/>
      <c r="H24" s="17"/>
      <c r="I24" s="15"/>
      <c r="J24" s="18"/>
      <c r="K24" s="18"/>
      <c r="L24" s="18"/>
      <c r="M24" s="15"/>
      <c r="N24" s="18"/>
      <c r="O24" s="15"/>
      <c r="P24" s="18"/>
      <c r="Q24" s="18"/>
      <c r="R24" s="15"/>
      <c r="S24" s="15"/>
      <c r="T24" s="18"/>
      <c r="U24" s="18"/>
      <c r="V24" s="18"/>
      <c r="W24" s="18"/>
      <c r="X24" s="18"/>
      <c r="Y24" s="18"/>
      <c r="Z24" s="18"/>
      <c r="AA24" s="18"/>
      <c r="AB24" s="15"/>
      <c r="AC24" s="18"/>
      <c r="AD24" s="18"/>
      <c r="AE24" s="18"/>
      <c r="AF24" s="15"/>
    </row>
    <row r="25" spans="1:32" ht="22" customHeight="1" x14ac:dyDescent="0.35">
      <c r="A25" s="10" t="s">
        <v>186</v>
      </c>
      <c r="B25" s="10" t="s">
        <v>187</v>
      </c>
      <c r="C25" s="12">
        <v>46113</v>
      </c>
      <c r="D25" s="16"/>
      <c r="E25" s="14"/>
      <c r="F25" s="14"/>
      <c r="G25" s="17"/>
      <c r="H25" s="17"/>
      <c r="I25" s="15"/>
      <c r="J25" s="18"/>
      <c r="K25" s="18"/>
      <c r="L25" s="18"/>
      <c r="M25" s="15"/>
      <c r="N25" s="18"/>
      <c r="O25" s="15"/>
      <c r="P25" s="18"/>
      <c r="Q25" s="18"/>
      <c r="R25" s="15"/>
      <c r="S25" s="15"/>
      <c r="T25" s="18"/>
      <c r="U25" s="18"/>
      <c r="V25" s="18"/>
      <c r="W25" s="18"/>
      <c r="X25" s="18"/>
      <c r="Y25" s="18"/>
      <c r="Z25" s="18"/>
      <c r="AA25" s="18"/>
      <c r="AB25" s="15"/>
      <c r="AC25" s="18"/>
      <c r="AD25" s="18"/>
      <c r="AE25" s="18"/>
      <c r="AF25" s="15"/>
    </row>
    <row r="26" spans="1:32" ht="22" customHeight="1" x14ac:dyDescent="0.35">
      <c r="A26" s="10" t="s">
        <v>188</v>
      </c>
      <c r="B26" s="10" t="s">
        <v>189</v>
      </c>
      <c r="C26" s="12">
        <v>46113</v>
      </c>
      <c r="D26" s="16"/>
      <c r="E26" s="14"/>
      <c r="F26" s="14"/>
      <c r="G26" s="17"/>
      <c r="H26" s="17"/>
      <c r="I26" s="15"/>
      <c r="J26" s="18"/>
      <c r="K26" s="18"/>
      <c r="L26" s="18"/>
      <c r="M26" s="15"/>
      <c r="N26" s="18"/>
      <c r="O26" s="15"/>
      <c r="P26" s="18"/>
      <c r="Q26" s="18"/>
      <c r="R26" s="15"/>
      <c r="S26" s="15"/>
      <c r="T26" s="18"/>
      <c r="U26" s="18"/>
      <c r="V26" s="18"/>
      <c r="W26" s="18"/>
      <c r="X26" s="18"/>
      <c r="Y26" s="18"/>
      <c r="Z26" s="18"/>
      <c r="AA26" s="18"/>
      <c r="AB26" s="15"/>
      <c r="AC26" s="18"/>
      <c r="AD26" s="18"/>
      <c r="AE26" s="18"/>
      <c r="AF26" s="15"/>
    </row>
    <row r="27" spans="1:32" ht="22" customHeight="1" x14ac:dyDescent="0.35">
      <c r="A27" s="10" t="s">
        <v>190</v>
      </c>
      <c r="B27" s="10" t="s">
        <v>191</v>
      </c>
      <c r="C27" s="12">
        <v>46113</v>
      </c>
      <c r="D27" s="16"/>
      <c r="E27" s="14"/>
      <c r="F27" s="14"/>
      <c r="G27" s="17"/>
      <c r="H27" s="17"/>
      <c r="I27" s="15"/>
      <c r="J27" s="18"/>
      <c r="K27" s="18"/>
      <c r="L27" s="18"/>
      <c r="M27" s="15"/>
      <c r="N27" s="18"/>
      <c r="O27" s="15"/>
      <c r="P27" s="18"/>
      <c r="Q27" s="18"/>
      <c r="R27" s="15"/>
      <c r="S27" s="15"/>
      <c r="T27" s="18"/>
      <c r="U27" s="18"/>
      <c r="V27" s="18"/>
      <c r="W27" s="18"/>
      <c r="X27" s="18"/>
      <c r="Y27" s="18"/>
      <c r="Z27" s="18"/>
      <c r="AA27" s="18"/>
      <c r="AB27" s="15"/>
      <c r="AC27" s="18"/>
      <c r="AD27" s="18"/>
      <c r="AE27" s="18"/>
      <c r="AF27" s="15"/>
    </row>
    <row r="28" spans="1:32" ht="22" customHeight="1" x14ac:dyDescent="0.35">
      <c r="A28" s="10" t="s">
        <v>192</v>
      </c>
      <c r="B28" s="10" t="s">
        <v>193</v>
      </c>
      <c r="C28" s="12">
        <v>46113</v>
      </c>
      <c r="D28" s="16"/>
      <c r="E28" s="14"/>
      <c r="F28" s="14"/>
      <c r="G28" s="17"/>
      <c r="H28" s="17"/>
      <c r="I28" s="15"/>
      <c r="J28" s="18"/>
      <c r="K28" s="18"/>
      <c r="L28" s="18"/>
      <c r="M28" s="15"/>
      <c r="N28" s="18"/>
      <c r="O28" s="15"/>
      <c r="P28" s="18"/>
      <c r="Q28" s="18"/>
      <c r="R28" s="15"/>
      <c r="S28" s="15"/>
      <c r="T28" s="18"/>
      <c r="U28" s="18"/>
      <c r="V28" s="18"/>
      <c r="W28" s="18"/>
      <c r="X28" s="18"/>
      <c r="Y28" s="18"/>
      <c r="Z28" s="18"/>
      <c r="AA28" s="18"/>
      <c r="AB28" s="15"/>
      <c r="AC28" s="18"/>
      <c r="AD28" s="18"/>
      <c r="AE28" s="18"/>
      <c r="AF28" s="15"/>
    </row>
    <row r="29" spans="1:32" ht="22" customHeight="1" x14ac:dyDescent="0.35">
      <c r="A29" s="10" t="s">
        <v>194</v>
      </c>
      <c r="B29" s="10" t="s">
        <v>195</v>
      </c>
      <c r="C29" s="12">
        <v>46113</v>
      </c>
      <c r="D29" s="16"/>
      <c r="E29" s="14"/>
      <c r="F29" s="14"/>
      <c r="G29" s="17"/>
      <c r="H29" s="17"/>
      <c r="I29" s="15"/>
      <c r="J29" s="18"/>
      <c r="K29" s="18"/>
      <c r="L29" s="18"/>
      <c r="M29" s="15"/>
      <c r="N29" s="18"/>
      <c r="O29" s="15"/>
      <c r="P29" s="18"/>
      <c r="Q29" s="18"/>
      <c r="R29" s="15"/>
      <c r="S29" s="15"/>
      <c r="T29" s="18"/>
      <c r="U29" s="18"/>
      <c r="V29" s="18"/>
      <c r="W29" s="18"/>
      <c r="X29" s="18"/>
      <c r="Y29" s="18"/>
      <c r="Z29" s="18"/>
      <c r="AA29" s="18"/>
      <c r="AB29" s="15"/>
      <c r="AC29" s="18"/>
      <c r="AD29" s="18"/>
      <c r="AE29" s="18"/>
      <c r="AF29" s="15"/>
    </row>
    <row r="30" spans="1:32" ht="22" customHeight="1" x14ac:dyDescent="0.35">
      <c r="A30" s="10" t="s">
        <v>196</v>
      </c>
      <c r="B30" s="10" t="s">
        <v>197</v>
      </c>
      <c r="C30" s="12">
        <v>46113</v>
      </c>
      <c r="D30" s="16"/>
      <c r="E30" s="14"/>
      <c r="F30" s="14"/>
      <c r="G30" s="17"/>
      <c r="H30" s="17"/>
      <c r="I30" s="15"/>
      <c r="J30" s="18"/>
      <c r="K30" s="18"/>
      <c r="L30" s="18"/>
      <c r="M30" s="15"/>
      <c r="N30" s="18"/>
      <c r="O30" s="15"/>
      <c r="P30" s="18"/>
      <c r="Q30" s="18"/>
      <c r="R30" s="15"/>
      <c r="S30" s="15"/>
      <c r="T30" s="18"/>
      <c r="U30" s="18"/>
      <c r="V30" s="18"/>
      <c r="W30" s="18"/>
      <c r="X30" s="18"/>
      <c r="Y30" s="18"/>
      <c r="Z30" s="18"/>
      <c r="AA30" s="18"/>
      <c r="AB30" s="15"/>
      <c r="AC30" s="18"/>
      <c r="AD30" s="18"/>
      <c r="AE30" s="18"/>
      <c r="AF30" s="15"/>
    </row>
    <row r="31" spans="1:32" ht="22" customHeight="1" x14ac:dyDescent="0.35">
      <c r="A31" s="10" t="s">
        <v>198</v>
      </c>
      <c r="B31" s="10" t="s">
        <v>199</v>
      </c>
      <c r="C31" s="12">
        <v>46113</v>
      </c>
      <c r="D31" s="16"/>
      <c r="E31" s="14"/>
      <c r="F31" s="14"/>
      <c r="G31" s="17"/>
      <c r="H31" s="17"/>
      <c r="I31" s="15"/>
      <c r="J31" s="18"/>
      <c r="K31" s="18"/>
      <c r="L31" s="18"/>
      <c r="M31" s="15"/>
      <c r="N31" s="18"/>
      <c r="O31" s="15"/>
      <c r="P31" s="18"/>
      <c r="Q31" s="18"/>
      <c r="R31" s="15"/>
      <c r="S31" s="15"/>
      <c r="T31" s="18"/>
      <c r="U31" s="18"/>
      <c r="V31" s="18"/>
      <c r="W31" s="18"/>
      <c r="X31" s="18"/>
      <c r="Y31" s="18"/>
      <c r="Z31" s="18"/>
      <c r="AA31" s="18"/>
      <c r="AB31" s="15"/>
      <c r="AC31" s="18"/>
      <c r="AD31" s="18"/>
      <c r="AE31" s="18"/>
      <c r="AF31" s="15"/>
    </row>
    <row r="32" spans="1:32" ht="22" customHeight="1" x14ac:dyDescent="0.35">
      <c r="A32" s="10" t="s">
        <v>200</v>
      </c>
      <c r="B32" s="10" t="s">
        <v>201</v>
      </c>
      <c r="C32" s="12">
        <v>46113</v>
      </c>
      <c r="D32" s="16"/>
      <c r="E32" s="14"/>
      <c r="F32" s="14"/>
      <c r="G32" s="17"/>
      <c r="H32" s="17"/>
      <c r="I32" s="15"/>
      <c r="J32" s="18"/>
      <c r="K32" s="18"/>
      <c r="L32" s="18"/>
      <c r="M32" s="15"/>
      <c r="N32" s="18"/>
      <c r="O32" s="15"/>
      <c r="P32" s="18"/>
      <c r="Q32" s="18"/>
      <c r="R32" s="15"/>
      <c r="S32" s="15"/>
      <c r="T32" s="18"/>
      <c r="U32" s="18"/>
      <c r="V32" s="18"/>
      <c r="W32" s="18"/>
      <c r="X32" s="18"/>
      <c r="Y32" s="18"/>
      <c r="Z32" s="18"/>
      <c r="AA32" s="18"/>
      <c r="AB32" s="15"/>
      <c r="AC32" s="18"/>
      <c r="AD32" s="18"/>
      <c r="AE32" s="18"/>
      <c r="AF32" s="15"/>
    </row>
    <row r="33" spans="1:32" ht="22" customHeight="1" x14ac:dyDescent="0.35">
      <c r="A33" s="10" t="s">
        <v>202</v>
      </c>
      <c r="B33" s="10" t="s">
        <v>203</v>
      </c>
      <c r="C33" s="12">
        <v>46113</v>
      </c>
      <c r="D33" s="16"/>
      <c r="E33" s="14"/>
      <c r="F33" s="14"/>
      <c r="G33" s="17"/>
      <c r="H33" s="17"/>
      <c r="I33" s="15"/>
      <c r="J33" s="18"/>
      <c r="K33" s="18"/>
      <c r="L33" s="18"/>
      <c r="M33" s="15"/>
      <c r="N33" s="18"/>
      <c r="O33" s="15"/>
      <c r="P33" s="18"/>
      <c r="Q33" s="18"/>
      <c r="R33" s="15"/>
      <c r="S33" s="15"/>
      <c r="T33" s="18"/>
      <c r="U33" s="18"/>
      <c r="V33" s="18"/>
      <c r="W33" s="18"/>
      <c r="X33" s="18"/>
      <c r="Y33" s="18"/>
      <c r="Z33" s="18"/>
      <c r="AA33" s="18"/>
      <c r="AB33" s="15"/>
      <c r="AC33" s="18"/>
      <c r="AD33" s="18"/>
      <c r="AE33" s="18"/>
      <c r="AF33" s="15"/>
    </row>
    <row r="34" spans="1:32" ht="22" customHeight="1" x14ac:dyDescent="0.35">
      <c r="A34" s="10" t="s">
        <v>204</v>
      </c>
      <c r="B34" s="10" t="s">
        <v>205</v>
      </c>
      <c r="C34" s="12">
        <v>46113</v>
      </c>
      <c r="D34" s="16"/>
      <c r="E34" s="14"/>
      <c r="F34" s="14"/>
      <c r="G34" s="17"/>
      <c r="H34" s="17"/>
      <c r="I34" s="15"/>
      <c r="J34" s="18"/>
      <c r="K34" s="18"/>
      <c r="L34" s="18"/>
      <c r="M34" s="15"/>
      <c r="N34" s="18"/>
      <c r="O34" s="15"/>
      <c r="P34" s="18"/>
      <c r="Q34" s="18"/>
      <c r="R34" s="15"/>
      <c r="S34" s="15"/>
      <c r="T34" s="18"/>
      <c r="U34" s="18"/>
      <c r="V34" s="18"/>
      <c r="W34" s="18"/>
      <c r="X34" s="18"/>
      <c r="Y34" s="18"/>
      <c r="Z34" s="18"/>
      <c r="AA34" s="18"/>
      <c r="AB34" s="15"/>
      <c r="AC34" s="18"/>
      <c r="AD34" s="18"/>
      <c r="AE34" s="18"/>
      <c r="AF34" s="15"/>
    </row>
    <row r="35" spans="1:32" ht="22" customHeight="1" x14ac:dyDescent="0.35">
      <c r="A35" s="10" t="s">
        <v>206</v>
      </c>
      <c r="B35" s="10" t="s">
        <v>207</v>
      </c>
      <c r="C35" s="12">
        <v>46113</v>
      </c>
      <c r="D35" s="16"/>
      <c r="E35" s="14"/>
      <c r="F35" s="14"/>
      <c r="G35" s="17"/>
      <c r="H35" s="17"/>
      <c r="I35" s="15"/>
      <c r="J35" s="18"/>
      <c r="K35" s="18"/>
      <c r="L35" s="18"/>
      <c r="M35" s="15"/>
      <c r="N35" s="18"/>
      <c r="O35" s="15"/>
      <c r="P35" s="18"/>
      <c r="Q35" s="18"/>
      <c r="R35" s="15"/>
      <c r="S35" s="15"/>
      <c r="T35" s="18"/>
      <c r="U35" s="18"/>
      <c r="V35" s="18"/>
      <c r="W35" s="18"/>
      <c r="X35" s="18"/>
      <c r="Y35" s="18"/>
      <c r="Z35" s="18"/>
      <c r="AA35" s="18"/>
      <c r="AB35" s="15"/>
      <c r="AC35" s="18"/>
      <c r="AD35" s="18"/>
      <c r="AE35" s="18"/>
      <c r="AF35" s="15"/>
    </row>
    <row r="36" spans="1:32" ht="22" customHeight="1" x14ac:dyDescent="0.35">
      <c r="A36" s="10" t="s">
        <v>208</v>
      </c>
      <c r="B36" s="10" t="s">
        <v>209</v>
      </c>
      <c r="C36" s="12">
        <v>46113</v>
      </c>
      <c r="D36" s="16"/>
      <c r="E36" s="14"/>
      <c r="F36" s="14"/>
      <c r="G36" s="17"/>
      <c r="H36" s="17"/>
      <c r="I36" s="15"/>
      <c r="J36" s="18"/>
      <c r="K36" s="18"/>
      <c r="L36" s="18"/>
      <c r="M36" s="15"/>
      <c r="N36" s="18"/>
      <c r="O36" s="15"/>
      <c r="P36" s="18"/>
      <c r="Q36" s="18"/>
      <c r="R36" s="15"/>
      <c r="S36" s="15"/>
      <c r="T36" s="18"/>
      <c r="U36" s="18"/>
      <c r="V36" s="18"/>
      <c r="W36" s="18"/>
      <c r="X36" s="18"/>
      <c r="Y36" s="18"/>
      <c r="Z36" s="18"/>
      <c r="AA36" s="18"/>
      <c r="AB36" s="15"/>
      <c r="AC36" s="18"/>
      <c r="AD36" s="18"/>
      <c r="AE36" s="18"/>
      <c r="AF36" s="15"/>
    </row>
    <row r="37" spans="1:32" ht="22" customHeight="1" x14ac:dyDescent="0.35">
      <c r="A37" s="10" t="s">
        <v>210</v>
      </c>
      <c r="B37" s="10" t="s">
        <v>211</v>
      </c>
      <c r="C37" s="12">
        <v>46113</v>
      </c>
      <c r="D37" s="16"/>
      <c r="E37" s="14"/>
      <c r="F37" s="14"/>
      <c r="G37" s="17"/>
      <c r="H37" s="17"/>
      <c r="I37" s="15"/>
      <c r="J37" s="18"/>
      <c r="K37" s="18"/>
      <c r="L37" s="18"/>
      <c r="M37" s="15"/>
      <c r="N37" s="18"/>
      <c r="O37" s="15"/>
      <c r="P37" s="18"/>
      <c r="Q37" s="18"/>
      <c r="R37" s="15"/>
      <c r="S37" s="15"/>
      <c r="T37" s="18"/>
      <c r="U37" s="18"/>
      <c r="V37" s="18"/>
      <c r="W37" s="18"/>
      <c r="X37" s="18"/>
      <c r="Y37" s="18"/>
      <c r="Z37" s="18"/>
      <c r="AA37" s="18"/>
      <c r="AB37" s="15"/>
      <c r="AC37" s="18"/>
      <c r="AD37" s="18"/>
      <c r="AE37" s="18"/>
      <c r="AF37" s="15"/>
    </row>
    <row r="38" spans="1:32" ht="22" customHeight="1" x14ac:dyDescent="0.35">
      <c r="A38" s="10" t="s">
        <v>212</v>
      </c>
      <c r="B38" s="10" t="s">
        <v>213</v>
      </c>
      <c r="C38" s="12">
        <v>46113</v>
      </c>
      <c r="D38" s="16"/>
      <c r="E38" s="14"/>
      <c r="F38" s="14"/>
      <c r="G38" s="17"/>
      <c r="H38" s="17"/>
      <c r="I38" s="15"/>
      <c r="J38" s="18"/>
      <c r="K38" s="18"/>
      <c r="L38" s="18"/>
      <c r="M38" s="15"/>
      <c r="N38" s="18"/>
      <c r="O38" s="15"/>
      <c r="P38" s="18"/>
      <c r="Q38" s="18"/>
      <c r="R38" s="15"/>
      <c r="S38" s="15"/>
      <c r="T38" s="18"/>
      <c r="U38" s="18"/>
      <c r="V38" s="18"/>
      <c r="W38" s="18"/>
      <c r="X38" s="18"/>
      <c r="Y38" s="18"/>
      <c r="Z38" s="18"/>
      <c r="AA38" s="18"/>
      <c r="AB38" s="15"/>
      <c r="AC38" s="18"/>
      <c r="AD38" s="18"/>
      <c r="AE38" s="18"/>
      <c r="AF38" s="15"/>
    </row>
    <row r="39" spans="1:32" ht="22" customHeight="1" x14ac:dyDescent="0.35">
      <c r="A39" s="10" t="s">
        <v>210</v>
      </c>
      <c r="B39" s="10" t="s">
        <v>214</v>
      </c>
      <c r="C39" s="12">
        <v>46113</v>
      </c>
      <c r="D39" s="16"/>
      <c r="E39" s="14"/>
      <c r="F39" s="14"/>
      <c r="G39" s="17"/>
      <c r="H39" s="17"/>
      <c r="I39" s="15"/>
      <c r="J39" s="18"/>
      <c r="K39" s="18"/>
      <c r="L39" s="18"/>
      <c r="M39" s="15"/>
      <c r="N39" s="18"/>
      <c r="O39" s="15"/>
      <c r="P39" s="18"/>
      <c r="Q39" s="18"/>
      <c r="R39" s="15"/>
      <c r="S39" s="15"/>
      <c r="T39" s="18"/>
      <c r="U39" s="18"/>
      <c r="V39" s="18"/>
      <c r="W39" s="18"/>
      <c r="X39" s="18"/>
      <c r="Y39" s="18"/>
      <c r="Z39" s="18"/>
      <c r="AA39" s="18"/>
      <c r="AB39" s="15"/>
      <c r="AC39" s="18"/>
      <c r="AD39" s="18"/>
      <c r="AE39" s="18"/>
      <c r="AF39" s="15"/>
    </row>
    <row r="40" spans="1:32" ht="22" customHeight="1" x14ac:dyDescent="0.35">
      <c r="A40" s="39"/>
      <c r="B40" s="39"/>
      <c r="C40" s="40"/>
      <c r="D40" s="16"/>
      <c r="E40" s="14"/>
      <c r="F40" s="14"/>
      <c r="G40" s="17"/>
      <c r="H40" s="17"/>
      <c r="I40" s="15"/>
      <c r="J40" s="18"/>
      <c r="K40" s="18"/>
      <c r="L40" s="18"/>
      <c r="M40" s="15"/>
      <c r="N40" s="18"/>
      <c r="O40" s="15"/>
      <c r="P40" s="18"/>
      <c r="Q40" s="18"/>
      <c r="R40" s="15"/>
      <c r="S40" s="15"/>
      <c r="T40" s="18"/>
      <c r="U40" s="18"/>
      <c r="V40" s="18"/>
      <c r="W40" s="18"/>
      <c r="X40" s="18"/>
      <c r="Y40" s="18"/>
      <c r="Z40" s="18"/>
      <c r="AA40" s="18"/>
      <c r="AB40" s="15"/>
      <c r="AC40" s="18"/>
      <c r="AD40" s="18"/>
      <c r="AE40" s="18"/>
      <c r="AF40" s="15"/>
    </row>
    <row r="41" spans="1:32" x14ac:dyDescent="0.35">
      <c r="C41" s="9" t="s">
        <v>28</v>
      </c>
      <c r="D41" s="19">
        <f>SUM(D2:D21)</f>
        <v>886000</v>
      </c>
      <c r="E41" s="20"/>
      <c r="F41" s="20"/>
      <c r="G41" s="20"/>
      <c r="H41" s="20"/>
      <c r="I41" s="19">
        <f t="shared" ref="I41" si="14">SUM(I2:I21)</f>
        <v>442999.91139999998</v>
      </c>
      <c r="J41" s="19">
        <f t="shared" ref="J41:W41" si="15">SUM(J2:J21)</f>
        <v>442999.91139999998</v>
      </c>
      <c r="K41" s="19">
        <f t="shared" ref="K41" si="16">SUM(K2:K21)</f>
        <v>221499.95569999999</v>
      </c>
      <c r="L41" s="19">
        <f t="shared" si="15"/>
        <v>221499.95569999999</v>
      </c>
      <c r="M41" s="19">
        <f t="shared" ref="M41" si="17">SUM(M2:M21)</f>
        <v>32000</v>
      </c>
      <c r="N41" s="19">
        <f t="shared" si="15"/>
        <v>32000</v>
      </c>
      <c r="O41" s="19">
        <f>SUM(O2:O21)</f>
        <v>133931.83789366009</v>
      </c>
      <c r="P41" s="19">
        <f t="shared" si="15"/>
        <v>133931.83789366009</v>
      </c>
      <c r="Q41" s="19">
        <f t="shared" si="15"/>
        <v>830431.7049936601</v>
      </c>
      <c r="R41" s="19">
        <f t="shared" si="15"/>
        <v>34259.999268</v>
      </c>
      <c r="S41" s="19">
        <f t="shared" si="15"/>
        <v>103.044376891125</v>
      </c>
      <c r="T41" s="19">
        <f t="shared" si="15"/>
        <v>3850</v>
      </c>
      <c r="U41" s="19">
        <f t="shared" si="15"/>
        <v>0</v>
      </c>
      <c r="V41" s="19">
        <f t="shared" si="15"/>
        <v>0</v>
      </c>
      <c r="W41" s="19">
        <f t="shared" si="15"/>
        <v>0</v>
      </c>
      <c r="X41" s="19">
        <f>SUM(X2:X21)</f>
        <v>830431.7049936601</v>
      </c>
      <c r="Y41" s="20"/>
      <c r="Z41" s="20"/>
      <c r="AA41" s="20"/>
      <c r="AB41" s="19">
        <f>SUM(AB2:AB21)</f>
        <v>34259.999268</v>
      </c>
      <c r="AC41" s="20"/>
      <c r="AD41" s="19">
        <f>SUM(AD2:AD21)</f>
        <v>21308.295738339999</v>
      </c>
      <c r="AE41" s="19">
        <f>SUM(AE2:AE21)</f>
        <v>93781.338651231112</v>
      </c>
      <c r="AF41" s="19">
        <f>SUM(AF2:AF21)</f>
        <v>792218.66134876898</v>
      </c>
    </row>
    <row r="42" spans="1:32" x14ac:dyDescent="0.35">
      <c r="K42" s="21"/>
      <c r="L42" s="21"/>
    </row>
  </sheetData>
  <autoFilter ref="A1:AF41" xr:uid="{B5DCE387-27D4-44EE-A3D1-5D19139B38CB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30"/>
  <sheetViews>
    <sheetView tabSelected="1" workbookViewId="0">
      <selection activeCell="H3" sqref="H3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54296875" customWidth="1"/>
    <col min="4" max="4" width="16.36328125" customWidth="1"/>
    <col min="5" max="5" width="19.7265625" bestFit="1" customWidth="1"/>
    <col min="6" max="6" width="13.08984375" bestFit="1" customWidth="1"/>
    <col min="7" max="7" width="21.6328125" bestFit="1" customWidth="1"/>
    <col min="8" max="8" width="8.08984375" bestFit="1" customWidth="1"/>
  </cols>
  <sheetData>
    <row r="1" spans="1:8" x14ac:dyDescent="0.35">
      <c r="A1" s="24" t="s">
        <v>1</v>
      </c>
      <c r="B1" s="24" t="s">
        <v>0</v>
      </c>
      <c r="C1" s="24" t="s">
        <v>21</v>
      </c>
      <c r="D1" s="24" t="s">
        <v>17</v>
      </c>
      <c r="E1" s="25" t="s">
        <v>29</v>
      </c>
      <c r="F1" s="25" t="s">
        <v>30</v>
      </c>
      <c r="G1" s="25" t="s">
        <v>32</v>
      </c>
      <c r="H1" s="25" t="s">
        <v>55</v>
      </c>
    </row>
    <row r="2" spans="1:8" x14ac:dyDescent="0.35">
      <c r="A2" s="30" t="s">
        <v>27</v>
      </c>
      <c r="B2" s="30" t="s">
        <v>26</v>
      </c>
      <c r="C2" s="28">
        <v>46062</v>
      </c>
      <c r="D2" s="29">
        <f>Employees!AC2</f>
        <v>65330.466350000002</v>
      </c>
      <c r="E2" s="29">
        <v>41280100007853</v>
      </c>
      <c r="F2" s="27" t="s">
        <v>31</v>
      </c>
      <c r="G2" s="27" t="s">
        <v>33</v>
      </c>
      <c r="H2" s="27"/>
    </row>
    <row r="3" spans="1:8" x14ac:dyDescent="0.35">
      <c r="A3" s="30" t="s">
        <v>96</v>
      </c>
      <c r="B3" s="30" t="s">
        <v>97</v>
      </c>
      <c r="C3" s="28">
        <v>46086</v>
      </c>
      <c r="D3" s="29">
        <f>Employees!AC3</f>
        <v>81434.355257645162</v>
      </c>
      <c r="E3" s="29">
        <v>50100868298601</v>
      </c>
      <c r="F3" s="27" t="s">
        <v>215</v>
      </c>
      <c r="G3" s="27" t="s">
        <v>51</v>
      </c>
      <c r="H3" s="27"/>
    </row>
    <row r="4" spans="1:8" x14ac:dyDescent="0.35">
      <c r="A4" s="26" t="s">
        <v>36</v>
      </c>
      <c r="B4" s="27" t="s">
        <v>52</v>
      </c>
      <c r="C4" s="28">
        <v>46054</v>
      </c>
      <c r="D4" s="29">
        <f>VLOOKUP(A4,Consultant!A2:H6,8,0)</f>
        <v>79800</v>
      </c>
      <c r="E4" s="29">
        <v>50100677371816</v>
      </c>
      <c r="F4" s="27" t="s">
        <v>50</v>
      </c>
      <c r="G4" s="27" t="s">
        <v>51</v>
      </c>
      <c r="H4" s="27"/>
    </row>
    <row r="5" spans="1:8" x14ac:dyDescent="0.35">
      <c r="A5" s="26" t="s">
        <v>35</v>
      </c>
      <c r="B5" s="26" t="s">
        <v>38</v>
      </c>
      <c r="C5" s="28">
        <v>46054</v>
      </c>
      <c r="D5" s="29">
        <f>VLOOKUP(A5,Consultant!A2:H6,8,0)</f>
        <v>69800</v>
      </c>
      <c r="E5" s="29">
        <v>154710100018477</v>
      </c>
      <c r="F5" s="27" t="s">
        <v>42</v>
      </c>
      <c r="G5" s="27" t="s">
        <v>43</v>
      </c>
      <c r="H5" s="27"/>
    </row>
    <row r="6" spans="1:8" x14ac:dyDescent="0.35">
      <c r="A6" s="26" t="s">
        <v>46</v>
      </c>
      <c r="B6" s="26" t="s">
        <v>47</v>
      </c>
      <c r="C6" s="28">
        <v>46066</v>
      </c>
      <c r="D6" s="29">
        <f>VLOOKUP(A6,Consultant!A2:H6,8,0)</f>
        <v>59800</v>
      </c>
      <c r="E6" s="31" t="s">
        <v>48</v>
      </c>
      <c r="F6" s="27" t="s">
        <v>49</v>
      </c>
      <c r="G6" s="27" t="s">
        <v>45</v>
      </c>
      <c r="H6" s="27"/>
    </row>
    <row r="7" spans="1:8" x14ac:dyDescent="0.35">
      <c r="A7" s="26" t="s">
        <v>37</v>
      </c>
      <c r="B7" s="26" t="s">
        <v>39</v>
      </c>
      <c r="C7" s="28">
        <v>46072</v>
      </c>
      <c r="D7" s="29">
        <f>VLOOKUP(A7,Consultant!A2:H6,8,0)</f>
        <v>79800</v>
      </c>
      <c r="E7" s="29">
        <v>770301501355</v>
      </c>
      <c r="F7" s="27" t="s">
        <v>44</v>
      </c>
      <c r="G7" s="27" t="s">
        <v>45</v>
      </c>
      <c r="H7" s="27"/>
    </row>
    <row r="8" spans="1:8" x14ac:dyDescent="0.35">
      <c r="A8" s="22" t="s">
        <v>98</v>
      </c>
      <c r="B8" s="23" t="s">
        <v>99</v>
      </c>
      <c r="C8" s="28">
        <v>46092</v>
      </c>
      <c r="D8" s="29">
        <f>VLOOKUP(A8,Consultant!A2:H6,8,0)</f>
        <v>13348.387096774193</v>
      </c>
      <c r="E8" s="29">
        <v>50100743220366</v>
      </c>
      <c r="F8" s="29" t="s">
        <v>124</v>
      </c>
      <c r="G8" s="29" t="s">
        <v>51</v>
      </c>
      <c r="H8" s="27"/>
    </row>
    <row r="9" spans="1:8" x14ac:dyDescent="0.35">
      <c r="A9" s="10" t="s">
        <v>56</v>
      </c>
      <c r="B9" s="11" t="s">
        <v>57</v>
      </c>
      <c r="C9" s="12">
        <v>46083</v>
      </c>
      <c r="D9" s="29">
        <f>VLOOKUP(A9,'Tech Employees'!A2:AF21,32,0)</f>
        <v>40117.750216450004</v>
      </c>
      <c r="E9" s="29">
        <v>3327101004003</v>
      </c>
      <c r="F9" s="29" t="s">
        <v>101</v>
      </c>
      <c r="G9" s="29" t="s">
        <v>102</v>
      </c>
      <c r="H9" s="27"/>
    </row>
    <row r="10" spans="1:8" x14ac:dyDescent="0.35">
      <c r="A10" s="10" t="s">
        <v>58</v>
      </c>
      <c r="B10" s="11" t="s">
        <v>59</v>
      </c>
      <c r="C10" s="12">
        <v>46083</v>
      </c>
      <c r="D10" s="29">
        <f>VLOOKUP(A10,'Tech Employees'!A3:AF41,32,0)</f>
        <v>40117.750216450004</v>
      </c>
      <c r="E10" s="29">
        <v>50100595290241</v>
      </c>
      <c r="F10" s="29" t="s">
        <v>103</v>
      </c>
      <c r="G10" s="29" t="s">
        <v>51</v>
      </c>
      <c r="H10" s="27"/>
    </row>
    <row r="11" spans="1:8" x14ac:dyDescent="0.35">
      <c r="A11" s="10" t="s">
        <v>60</v>
      </c>
      <c r="B11" s="11" t="s">
        <v>61</v>
      </c>
      <c r="C11" s="12">
        <v>46083</v>
      </c>
      <c r="D11" s="29">
        <f>VLOOKUP(A11,'Tech Employees'!A4:AF42,32,0)</f>
        <v>54757.0002886</v>
      </c>
      <c r="E11" s="29">
        <v>62428832885</v>
      </c>
      <c r="F11" s="29" t="s">
        <v>138</v>
      </c>
      <c r="G11" s="29" t="s">
        <v>106</v>
      </c>
      <c r="H11" s="27"/>
    </row>
    <row r="12" spans="1:8" x14ac:dyDescent="0.35">
      <c r="A12" s="10" t="s">
        <v>62</v>
      </c>
      <c r="B12" s="11" t="s">
        <v>63</v>
      </c>
      <c r="C12" s="12">
        <v>46083</v>
      </c>
      <c r="D12" s="29">
        <f>VLOOKUP(A12,'Tech Employees'!A5:AF43,32,0)</f>
        <v>19536.85066263</v>
      </c>
      <c r="E12" s="29">
        <v>62442668281</v>
      </c>
      <c r="F12" s="29" t="s">
        <v>139</v>
      </c>
      <c r="G12" s="29" t="s">
        <v>106</v>
      </c>
      <c r="H12" s="27"/>
    </row>
    <row r="13" spans="1:8" x14ac:dyDescent="0.35">
      <c r="A13" s="10" t="s">
        <v>64</v>
      </c>
      <c r="B13" s="11" t="s">
        <v>65</v>
      </c>
      <c r="C13" s="12">
        <v>46083</v>
      </c>
      <c r="D13" s="29">
        <f>VLOOKUP(A13,'Tech Employees'!A6:AF44,32,0)</f>
        <v>44997.500240499998</v>
      </c>
      <c r="E13" s="29">
        <v>77770116800885</v>
      </c>
      <c r="F13" s="29" t="s">
        <v>104</v>
      </c>
      <c r="G13" s="29" t="s">
        <v>122</v>
      </c>
      <c r="H13" s="27"/>
    </row>
    <row r="14" spans="1:8" x14ac:dyDescent="0.35">
      <c r="A14" s="10" t="s">
        <v>66</v>
      </c>
      <c r="B14" s="11" t="s">
        <v>67</v>
      </c>
      <c r="C14" s="12">
        <v>46083</v>
      </c>
      <c r="D14" s="29">
        <f>VLOOKUP(A14,'Tech Employees'!A7:AF45,32,0)</f>
        <v>40117.750216450004</v>
      </c>
      <c r="E14" s="29">
        <v>41085488775</v>
      </c>
      <c r="F14" s="29" t="s">
        <v>105</v>
      </c>
      <c r="G14" s="29" t="s">
        <v>106</v>
      </c>
      <c r="H14" s="27"/>
    </row>
    <row r="15" spans="1:8" x14ac:dyDescent="0.35">
      <c r="A15" s="10" t="s">
        <v>68</v>
      </c>
      <c r="B15" s="11" t="s">
        <v>69</v>
      </c>
      <c r="C15" s="12">
        <v>46083</v>
      </c>
      <c r="D15" s="29">
        <f>VLOOKUP(A15,'Tech Employees'!A8:AF46,32,0)</f>
        <v>40117.750216450004</v>
      </c>
      <c r="E15" s="29">
        <v>62297418711</v>
      </c>
      <c r="F15" s="29" t="s">
        <v>107</v>
      </c>
      <c r="G15" s="29" t="s">
        <v>106</v>
      </c>
      <c r="H15" s="27"/>
    </row>
    <row r="16" spans="1:8" x14ac:dyDescent="0.35">
      <c r="A16" s="10" t="s">
        <v>70</v>
      </c>
      <c r="B16" s="11" t="s">
        <v>71</v>
      </c>
      <c r="C16" s="12">
        <v>46083</v>
      </c>
      <c r="D16" s="29">
        <f>VLOOKUP(A16,'Tech Employees'!A9:AF47,32,0)</f>
        <v>40117.750216450004</v>
      </c>
      <c r="E16" s="35" t="s">
        <v>145</v>
      </c>
      <c r="F16" s="29" t="s">
        <v>126</v>
      </c>
      <c r="G16" s="29" t="s">
        <v>127</v>
      </c>
      <c r="H16" s="27"/>
    </row>
    <row r="17" spans="1:8" x14ac:dyDescent="0.35">
      <c r="A17" s="10" t="s">
        <v>72</v>
      </c>
      <c r="B17" s="11" t="s">
        <v>73</v>
      </c>
      <c r="C17" s="12">
        <v>46083</v>
      </c>
      <c r="D17" s="29">
        <f>VLOOKUP(A17,'Tech Employees'!A10:AF48,32,0)</f>
        <v>40117.750216450004</v>
      </c>
      <c r="E17" s="29">
        <v>159502740717</v>
      </c>
      <c r="F17" s="29" t="s">
        <v>108</v>
      </c>
      <c r="G17" s="29" t="s">
        <v>109</v>
      </c>
      <c r="H17" s="27"/>
    </row>
    <row r="18" spans="1:8" x14ac:dyDescent="0.35">
      <c r="A18" s="10" t="s">
        <v>74</v>
      </c>
      <c r="B18" s="11" t="s">
        <v>75</v>
      </c>
      <c r="C18" s="12">
        <v>46083</v>
      </c>
      <c r="D18" s="29">
        <f>VLOOKUP(A18,'Tech Employees'!A11:AF49,32,0)</f>
        <v>44997.500240499998</v>
      </c>
      <c r="E18" s="29">
        <v>39569845546</v>
      </c>
      <c r="F18" s="29" t="s">
        <v>110</v>
      </c>
      <c r="G18" s="29" t="s">
        <v>106</v>
      </c>
      <c r="H18" s="27"/>
    </row>
    <row r="19" spans="1:8" x14ac:dyDescent="0.35">
      <c r="A19" s="10" t="s">
        <v>76</v>
      </c>
      <c r="B19" s="11" t="s">
        <v>77</v>
      </c>
      <c r="C19" s="12">
        <v>46083</v>
      </c>
      <c r="D19" s="29">
        <f>VLOOKUP(A19,'Tech Employees'!A12:AF50,32,0)</f>
        <v>44997.500240499998</v>
      </c>
      <c r="E19" s="29">
        <v>50100565431077</v>
      </c>
      <c r="F19" s="29" t="s">
        <v>111</v>
      </c>
      <c r="G19" s="29" t="s">
        <v>51</v>
      </c>
      <c r="H19" s="27"/>
    </row>
    <row r="20" spans="1:8" x14ac:dyDescent="0.35">
      <c r="A20" s="10" t="s">
        <v>78</v>
      </c>
      <c r="B20" s="11" t="s">
        <v>79</v>
      </c>
      <c r="C20" s="12">
        <v>46083</v>
      </c>
      <c r="D20" s="29">
        <f>VLOOKUP(A20,'Tech Employees'!A13:AF51,32,0)</f>
        <v>54757.0002886</v>
      </c>
      <c r="E20" s="29">
        <v>41202390653</v>
      </c>
      <c r="F20" s="29" t="s">
        <v>112</v>
      </c>
      <c r="G20" s="29" t="s">
        <v>106</v>
      </c>
      <c r="H20" s="27"/>
    </row>
    <row r="21" spans="1:8" x14ac:dyDescent="0.35">
      <c r="A21" s="10" t="s">
        <v>80</v>
      </c>
      <c r="B21" s="11" t="s">
        <v>81</v>
      </c>
      <c r="C21" s="12">
        <v>46083</v>
      </c>
      <c r="D21" s="29">
        <f>VLOOKUP(A21,'Tech Employees'!A14:AF52,32,0)</f>
        <v>54757.0002886</v>
      </c>
      <c r="E21" s="29">
        <v>615728726</v>
      </c>
      <c r="F21" s="29" t="s">
        <v>113</v>
      </c>
      <c r="G21" s="29" t="s">
        <v>114</v>
      </c>
      <c r="H21" s="27"/>
    </row>
    <row r="22" spans="1:8" x14ac:dyDescent="0.35">
      <c r="A22" s="10" t="s">
        <v>82</v>
      </c>
      <c r="B22" s="11" t="s">
        <v>83</v>
      </c>
      <c r="C22" s="12">
        <v>46083</v>
      </c>
      <c r="D22" s="29">
        <f>VLOOKUP(A22,'Tech Employees'!A15:AF53,32,0)</f>
        <v>12586.206055258875</v>
      </c>
      <c r="E22" s="29">
        <v>9147600708</v>
      </c>
      <c r="F22" s="29" t="s">
        <v>115</v>
      </c>
      <c r="G22" s="29" t="s">
        <v>116</v>
      </c>
      <c r="H22" s="27"/>
    </row>
    <row r="23" spans="1:8" x14ac:dyDescent="0.35">
      <c r="A23" s="10" t="s">
        <v>84</v>
      </c>
      <c r="B23" s="11" t="s">
        <v>85</v>
      </c>
      <c r="C23" s="12">
        <v>46083</v>
      </c>
      <c r="D23" s="29">
        <f>VLOOKUP(A23,'Tech Employees'!A16:AF54,32,0)</f>
        <v>30358.250168350001</v>
      </c>
      <c r="E23" s="29">
        <v>7445588605</v>
      </c>
      <c r="F23" s="29" t="s">
        <v>117</v>
      </c>
      <c r="G23" s="29" t="s">
        <v>116</v>
      </c>
      <c r="H23" s="27"/>
    </row>
    <row r="24" spans="1:8" x14ac:dyDescent="0.35">
      <c r="A24" s="10" t="s">
        <v>86</v>
      </c>
      <c r="B24" s="11" t="s">
        <v>87</v>
      </c>
      <c r="C24" s="12">
        <v>46083</v>
      </c>
      <c r="D24" s="29">
        <f>VLOOKUP(A24,'Tech Employees'!A17:AF55,32,0)</f>
        <v>30358.250168350001</v>
      </c>
      <c r="E24" s="29">
        <v>4495101004331</v>
      </c>
      <c r="F24" s="29" t="s">
        <v>118</v>
      </c>
      <c r="G24" s="29" t="s">
        <v>102</v>
      </c>
      <c r="H24" s="27"/>
    </row>
    <row r="25" spans="1:8" x14ac:dyDescent="0.35">
      <c r="A25" s="10" t="s">
        <v>88</v>
      </c>
      <c r="B25" s="10" t="s">
        <v>89</v>
      </c>
      <c r="C25" s="12">
        <v>46083</v>
      </c>
      <c r="D25" s="29">
        <f>VLOOKUP(A25,'Tech Employees'!A18:AF56,32,0)</f>
        <v>19536.85066263</v>
      </c>
      <c r="E25" s="29">
        <v>37182972098</v>
      </c>
      <c r="F25" s="29" t="s">
        <v>137</v>
      </c>
      <c r="G25" s="29" t="s">
        <v>106</v>
      </c>
      <c r="H25" s="27"/>
    </row>
    <row r="26" spans="1:8" x14ac:dyDescent="0.35">
      <c r="A26" s="10" t="s">
        <v>90</v>
      </c>
      <c r="B26" s="10" t="s">
        <v>91</v>
      </c>
      <c r="C26" s="12">
        <v>46083</v>
      </c>
      <c r="D26" s="29">
        <f>VLOOKUP(A26,'Tech Employees'!A19:AF57,32,0)</f>
        <v>30358.250168350001</v>
      </c>
      <c r="E26" s="29">
        <v>39971511897</v>
      </c>
      <c r="F26" s="29" t="s">
        <v>119</v>
      </c>
      <c r="G26" s="29" t="s">
        <v>106</v>
      </c>
      <c r="H26" s="27"/>
    </row>
    <row r="27" spans="1:8" x14ac:dyDescent="0.35">
      <c r="A27" s="10" t="s">
        <v>92</v>
      </c>
      <c r="B27" s="10" t="s">
        <v>93</v>
      </c>
      <c r="C27" s="12">
        <v>46083</v>
      </c>
      <c r="D27" s="29">
        <f>VLOOKUP(A27,'Tech Employees'!A20:AF58,32,0)</f>
        <v>54757.0002886</v>
      </c>
      <c r="E27" s="29">
        <v>41536691505</v>
      </c>
      <c r="F27" s="29" t="s">
        <v>120</v>
      </c>
      <c r="G27" s="29" t="s">
        <v>106</v>
      </c>
      <c r="H27" s="27"/>
    </row>
    <row r="28" spans="1:8" x14ac:dyDescent="0.35">
      <c r="A28" s="10" t="s">
        <v>94</v>
      </c>
      <c r="B28" s="10" t="s">
        <v>95</v>
      </c>
      <c r="C28" s="12">
        <v>46083</v>
      </c>
      <c r="D28" s="29">
        <f>VLOOKUP(A28,'Tech Employees'!A21:AF59,32,0)</f>
        <v>54757.0002886</v>
      </c>
      <c r="E28" s="29">
        <v>50100141200194</v>
      </c>
      <c r="F28" s="29" t="s">
        <v>121</v>
      </c>
      <c r="G28" s="29" t="s">
        <v>51</v>
      </c>
      <c r="H28" s="27"/>
    </row>
    <row r="29" spans="1:8" x14ac:dyDescent="0.35">
      <c r="A29" s="6"/>
      <c r="B29" s="6"/>
      <c r="C29" s="2"/>
      <c r="D29" s="4"/>
      <c r="E29" s="4"/>
    </row>
    <row r="30" spans="1:8" x14ac:dyDescent="0.35">
      <c r="B30" s="1" t="s">
        <v>34</v>
      </c>
      <c r="C30" s="1"/>
      <c r="D30" s="5">
        <f>SUM(D2:D28)</f>
        <v>1241531.8700531884</v>
      </c>
    </row>
  </sheetData>
  <pageMargins left="0.7" right="0.7" top="0.75" bottom="0.75" header="0.3" footer="0.3"/>
  <pageSetup orientation="portrait" r:id="rId1"/>
  <ignoredErrors>
    <ignoredError sqref="D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0"/>
  <sheetViews>
    <sheetView workbookViewId="0">
      <selection activeCell="G14" sqref="G14"/>
    </sheetView>
  </sheetViews>
  <sheetFormatPr defaultRowHeight="14.5" x14ac:dyDescent="0.35"/>
  <cols>
    <col min="1" max="1" width="4.453125" customWidth="1"/>
    <col min="2" max="2" width="16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2.36328125" bestFit="1" customWidth="1"/>
    <col min="8" max="8" width="21.54296875" bestFit="1" customWidth="1"/>
    <col min="9" max="9" width="22" bestFit="1" customWidth="1"/>
  </cols>
  <sheetData>
    <row r="1" spans="1:10" x14ac:dyDescent="0.35">
      <c r="A1" s="36" t="s">
        <v>128</v>
      </c>
      <c r="B1" s="36" t="s">
        <v>129</v>
      </c>
      <c r="C1" s="36" t="s">
        <v>130</v>
      </c>
      <c r="D1" s="36" t="s">
        <v>131</v>
      </c>
      <c r="E1" s="36" t="s">
        <v>132</v>
      </c>
      <c r="F1" s="24" t="s">
        <v>29</v>
      </c>
      <c r="G1" s="24" t="s">
        <v>30</v>
      </c>
      <c r="H1" s="24" t="s">
        <v>148</v>
      </c>
      <c r="I1" s="24" t="s">
        <v>150</v>
      </c>
      <c r="J1" s="24" t="s">
        <v>158</v>
      </c>
    </row>
    <row r="2" spans="1:10" x14ac:dyDescent="0.35">
      <c r="A2" s="27">
        <v>1</v>
      </c>
      <c r="B2" s="27" t="s">
        <v>125</v>
      </c>
      <c r="C2" s="37"/>
      <c r="D2" s="27"/>
      <c r="E2" s="27">
        <v>230000</v>
      </c>
      <c r="F2" s="27">
        <v>32862142889</v>
      </c>
      <c r="G2" s="27" t="s">
        <v>175</v>
      </c>
      <c r="H2" s="27" t="s">
        <v>176</v>
      </c>
      <c r="I2" s="27" t="s">
        <v>151</v>
      </c>
      <c r="J2" s="27" t="s">
        <v>159</v>
      </c>
    </row>
    <row r="3" spans="1:10" x14ac:dyDescent="0.35">
      <c r="A3" s="27">
        <v>2</v>
      </c>
      <c r="B3" s="27" t="s">
        <v>133</v>
      </c>
      <c r="C3" s="37">
        <v>1</v>
      </c>
      <c r="D3" s="27">
        <v>1200</v>
      </c>
      <c r="E3" s="27">
        <f t="shared" ref="E3:E8" si="0">C3*D3</f>
        <v>1200</v>
      </c>
      <c r="F3" s="38" t="s">
        <v>152</v>
      </c>
      <c r="G3" s="27" t="s">
        <v>153</v>
      </c>
      <c r="H3" s="27" t="s">
        <v>154</v>
      </c>
      <c r="I3" s="27" t="s">
        <v>45</v>
      </c>
      <c r="J3" s="27" t="s">
        <v>160</v>
      </c>
    </row>
    <row r="4" spans="1:10" x14ac:dyDescent="0.35">
      <c r="A4" s="27">
        <v>3</v>
      </c>
      <c r="B4" s="27" t="s">
        <v>134</v>
      </c>
      <c r="C4" s="37">
        <v>1</v>
      </c>
      <c r="D4" s="27">
        <v>1200</v>
      </c>
      <c r="E4" s="27">
        <f t="shared" si="0"/>
        <v>1200</v>
      </c>
      <c r="F4" s="29">
        <v>653101004326</v>
      </c>
      <c r="G4" s="27" t="s">
        <v>155</v>
      </c>
      <c r="H4" s="27" t="s">
        <v>156</v>
      </c>
      <c r="I4" s="27" t="s">
        <v>45</v>
      </c>
      <c r="J4" s="27" t="s">
        <v>161</v>
      </c>
    </row>
    <row r="5" spans="1:10" x14ac:dyDescent="0.35">
      <c r="A5" s="27">
        <v>4</v>
      </c>
      <c r="B5" s="27" t="s">
        <v>135</v>
      </c>
      <c r="C5" s="37">
        <v>1</v>
      </c>
      <c r="D5" s="27">
        <v>1000</v>
      </c>
      <c r="E5" s="27">
        <f t="shared" si="0"/>
        <v>1000</v>
      </c>
      <c r="F5" s="27">
        <v>23310559930</v>
      </c>
      <c r="G5" s="27" t="s">
        <v>164</v>
      </c>
      <c r="H5" s="27" t="s">
        <v>165</v>
      </c>
      <c r="I5" s="27" t="s">
        <v>166</v>
      </c>
      <c r="J5" s="27" t="s">
        <v>162</v>
      </c>
    </row>
    <row r="6" spans="1:10" x14ac:dyDescent="0.35">
      <c r="A6" s="27">
        <v>5</v>
      </c>
      <c r="B6" s="27" t="s">
        <v>136</v>
      </c>
      <c r="C6" s="37">
        <v>1</v>
      </c>
      <c r="D6" s="27">
        <v>1000</v>
      </c>
      <c r="E6" s="27">
        <f t="shared" si="0"/>
        <v>1000</v>
      </c>
      <c r="F6" s="27">
        <v>814649188</v>
      </c>
      <c r="G6" s="27" t="s">
        <v>146</v>
      </c>
      <c r="H6" s="27" t="s">
        <v>147</v>
      </c>
      <c r="I6" s="27" t="s">
        <v>149</v>
      </c>
      <c r="J6" s="27" t="s">
        <v>163</v>
      </c>
    </row>
    <row r="7" spans="1:10" x14ac:dyDescent="0.35">
      <c r="A7" s="27">
        <v>6</v>
      </c>
      <c r="B7" s="27" t="s">
        <v>177</v>
      </c>
      <c r="C7" s="37">
        <v>1</v>
      </c>
      <c r="D7" s="27">
        <v>1000</v>
      </c>
      <c r="E7" s="27">
        <f t="shared" si="0"/>
        <v>1000</v>
      </c>
      <c r="F7" s="27"/>
      <c r="G7" s="27"/>
      <c r="H7" s="27"/>
      <c r="I7" s="27"/>
      <c r="J7" s="27"/>
    </row>
    <row r="8" spans="1:10" x14ac:dyDescent="0.35">
      <c r="A8" s="27">
        <v>7</v>
      </c>
      <c r="B8" s="27" t="s">
        <v>178</v>
      </c>
      <c r="C8" s="37">
        <v>1</v>
      </c>
      <c r="D8" s="27">
        <v>800</v>
      </c>
      <c r="E8" s="27">
        <f t="shared" si="0"/>
        <v>800</v>
      </c>
      <c r="F8" s="27"/>
      <c r="G8" s="27"/>
      <c r="H8" s="27"/>
      <c r="I8" s="27"/>
      <c r="J8" s="27"/>
    </row>
    <row r="9" spans="1:10" x14ac:dyDescent="0.35">
      <c r="C9" s="34"/>
    </row>
    <row r="10" spans="1:10" x14ac:dyDescent="0.35">
      <c r="E10" s="1">
        <f>SUM(E2:E9)</f>
        <v>236200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5C68-159C-483B-9BC0-F025950CF4B9}">
  <dimension ref="A1:I2"/>
  <sheetViews>
    <sheetView workbookViewId="0">
      <selection activeCell="D9" sqref="D9"/>
    </sheetView>
  </sheetViews>
  <sheetFormatPr defaultRowHeight="14.5" x14ac:dyDescent="0.35"/>
  <cols>
    <col min="3" max="3" width="30.6328125" bestFit="1" customWidth="1"/>
    <col min="4" max="4" width="17.54296875" bestFit="1" customWidth="1"/>
    <col min="5" max="5" width="12.36328125" bestFit="1" customWidth="1"/>
  </cols>
  <sheetData>
    <row r="1" spans="1:9" x14ac:dyDescent="0.35">
      <c r="A1" s="36" t="s">
        <v>128</v>
      </c>
      <c r="B1" s="36" t="s">
        <v>167</v>
      </c>
      <c r="C1" s="36" t="s">
        <v>169</v>
      </c>
      <c r="D1" s="36" t="s">
        <v>171</v>
      </c>
      <c r="E1" s="36" t="s">
        <v>172</v>
      </c>
      <c r="F1" s="36" t="s">
        <v>150</v>
      </c>
      <c r="G1" s="36" t="s">
        <v>173</v>
      </c>
      <c r="H1" s="36" t="s">
        <v>179</v>
      </c>
      <c r="I1" s="36" t="s">
        <v>28</v>
      </c>
    </row>
    <row r="2" spans="1:9" x14ac:dyDescent="0.35">
      <c r="A2" s="27">
        <v>1</v>
      </c>
      <c r="B2" s="27" t="s">
        <v>168</v>
      </c>
      <c r="C2" s="27" t="s">
        <v>170</v>
      </c>
      <c r="D2" s="29">
        <v>50200062999445</v>
      </c>
      <c r="E2" s="27" t="s">
        <v>174</v>
      </c>
      <c r="F2" s="27" t="s">
        <v>157</v>
      </c>
      <c r="G2" s="27">
        <v>160000</v>
      </c>
      <c r="H2" s="27">
        <f>G2*0.18</f>
        <v>28800</v>
      </c>
      <c r="I2" s="27">
        <f>G2+H2</f>
        <v>188800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Consultant</vt:lpstr>
      <vt:lpstr>Tech Employees</vt:lpstr>
      <vt:lpstr>Payment</vt:lpstr>
      <vt:lpstr>Trainers</vt:lpstr>
      <vt:lpstr>Rental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2026-04-13T04:12:01Z</dcterms:modified>
</cp:coreProperties>
</file>